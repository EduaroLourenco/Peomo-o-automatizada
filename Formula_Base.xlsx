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.shortcut-targets-by-id\1wuEF_LwjGeyjoz9qP1OfgRYzaXiWbL3z\E-COMMERCE Probel\02_Canais de Venda\01_Campanhas 2026\02_Mercado Livre\"/>
    </mc:Choice>
  </mc:AlternateContent>
  <xr:revisionPtr revIDLastSave="0" documentId="13_ncr:1_{696039D3-E86F-4435-8C58-A3B5EF062019}" xr6:coauthVersionLast="47" xr6:coauthVersionMax="47" xr10:uidLastSave="{00000000-0000-0000-0000-000000000000}"/>
  <bookViews>
    <workbookView xWindow="-120" yWindow="-120" windowWidth="29040" windowHeight="15720" xr2:uid="{2B532251-AA37-4EEA-B814-B3B3A970B85E}"/>
  </bookViews>
  <sheets>
    <sheet name="Planilha para aprovação" sheetId="1" r:id="rId1"/>
    <sheet name="Base MLB" sheetId="2" r:id="rId2"/>
    <sheet name="Planilha CP Meli" sheetId="5" r:id="rId3"/>
    <sheet name="Boa forma" sheetId="10" r:id="rId4"/>
    <sheet name="Base com preços" sheetId="9" r:id="rId5"/>
  </sheets>
  <definedNames>
    <definedName name="_xlnm._FilterDatabase" localSheetId="1" hidden="1">'Base MLB'!$A$1:$C$1066</definedName>
    <definedName name="_xlnm._FilterDatabase" localSheetId="2" hidden="1">'Planilha CP Meli'!$A$5:$K$125</definedName>
    <definedName name="_xlnm._FilterDatabase" localSheetId="0" hidden="1">'Planilha para aprovação'!$A$2:$L$300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" i="1" l="1"/>
  <c r="D22" i="1" s="1"/>
  <c r="A52" i="1"/>
  <c r="D52" i="1" s="1"/>
  <c r="B52" i="1"/>
  <c r="C52" i="1"/>
  <c r="I52" i="1"/>
  <c r="A126" i="1"/>
  <c r="D126" i="1" s="1"/>
  <c r="B126" i="1"/>
  <c r="C126" i="1"/>
  <c r="I126" i="1"/>
  <c r="A124" i="1"/>
  <c r="B124" i="1"/>
  <c r="C124" i="1"/>
  <c r="I124" i="1"/>
  <c r="A226" i="1"/>
  <c r="B226" i="1"/>
  <c r="C226" i="1"/>
  <c r="I226" i="1"/>
  <c r="A217" i="1"/>
  <c r="E217" i="1" s="1"/>
  <c r="B217" i="1"/>
  <c r="C217" i="1"/>
  <c r="I217" i="1"/>
  <c r="A105" i="1"/>
  <c r="E105" i="1" s="1"/>
  <c r="B105" i="1"/>
  <c r="C105" i="1"/>
  <c r="I105" i="1"/>
  <c r="A60" i="1"/>
  <c r="E60" i="1" s="1"/>
  <c r="B60" i="1"/>
  <c r="C60" i="1"/>
  <c r="I60" i="1"/>
  <c r="A114" i="1"/>
  <c r="D114" i="1" s="1"/>
  <c r="B114" i="1"/>
  <c r="C114" i="1"/>
  <c r="I114" i="1"/>
  <c r="A133" i="1"/>
  <c r="D133" i="1" s="1"/>
  <c r="B133" i="1"/>
  <c r="C133" i="1"/>
  <c r="I133" i="1"/>
  <c r="A134" i="1"/>
  <c r="D134" i="1" s="1"/>
  <c r="B134" i="1"/>
  <c r="C134" i="1"/>
  <c r="I134" i="1"/>
  <c r="A135" i="1"/>
  <c r="D135" i="1" s="1"/>
  <c r="B135" i="1"/>
  <c r="C135" i="1"/>
  <c r="I135" i="1"/>
  <c r="A136" i="1"/>
  <c r="E136" i="1" s="1"/>
  <c r="B136" i="1"/>
  <c r="C136" i="1"/>
  <c r="I136" i="1"/>
  <c r="A43" i="1"/>
  <c r="D43" i="1" s="1"/>
  <c r="B43" i="1"/>
  <c r="C43" i="1"/>
  <c r="I43" i="1"/>
  <c r="A193" i="1"/>
  <c r="D193" i="1" s="1"/>
  <c r="B193" i="1"/>
  <c r="C193" i="1"/>
  <c r="I193" i="1"/>
  <c r="A139" i="1"/>
  <c r="B139" i="1"/>
  <c r="C139" i="1"/>
  <c r="I139" i="1"/>
  <c r="A140" i="1"/>
  <c r="B140" i="1"/>
  <c r="C140" i="1"/>
  <c r="I140" i="1"/>
  <c r="A141" i="1"/>
  <c r="B141" i="1"/>
  <c r="C141" i="1"/>
  <c r="I141" i="1"/>
  <c r="A142" i="1"/>
  <c r="E142" i="1" s="1"/>
  <c r="B142" i="1"/>
  <c r="C142" i="1"/>
  <c r="I142" i="1"/>
  <c r="A143" i="1"/>
  <c r="E143" i="1" s="1"/>
  <c r="B143" i="1"/>
  <c r="C143" i="1"/>
  <c r="I143" i="1"/>
  <c r="A46" i="1"/>
  <c r="D46" i="1" s="1"/>
  <c r="B46" i="1"/>
  <c r="C46" i="1"/>
  <c r="I46" i="1"/>
  <c r="A145" i="1"/>
  <c r="D145" i="1" s="1"/>
  <c r="B145" i="1"/>
  <c r="C145" i="1"/>
  <c r="I145" i="1"/>
  <c r="A146" i="1"/>
  <c r="E146" i="1" s="1"/>
  <c r="B146" i="1"/>
  <c r="C146" i="1"/>
  <c r="I146" i="1"/>
  <c r="A147" i="1"/>
  <c r="D147" i="1" s="1"/>
  <c r="B147" i="1"/>
  <c r="C147" i="1"/>
  <c r="I147" i="1"/>
  <c r="A213" i="1"/>
  <c r="D213" i="1" s="1"/>
  <c r="B213" i="1"/>
  <c r="C213" i="1"/>
  <c r="I213" i="1"/>
  <c r="A156" i="1"/>
  <c r="E156" i="1" s="1"/>
  <c r="B156" i="1"/>
  <c r="C156" i="1"/>
  <c r="I156" i="1"/>
  <c r="A150" i="1"/>
  <c r="D150" i="1" s="1"/>
  <c r="B150" i="1"/>
  <c r="C150" i="1"/>
  <c r="I150" i="1"/>
  <c r="A151" i="1"/>
  <c r="B151" i="1"/>
  <c r="C151" i="1"/>
  <c r="I151" i="1"/>
  <c r="A152" i="1"/>
  <c r="B152" i="1"/>
  <c r="C152" i="1"/>
  <c r="I152" i="1"/>
  <c r="A153" i="1"/>
  <c r="B153" i="1"/>
  <c r="C153" i="1"/>
  <c r="I153" i="1"/>
  <c r="A228" i="1"/>
  <c r="E228" i="1" s="1"/>
  <c r="B228" i="1"/>
  <c r="C228" i="1"/>
  <c r="I228" i="1"/>
  <c r="A155" i="1"/>
  <c r="E155" i="1" s="1"/>
  <c r="B155" i="1"/>
  <c r="C155" i="1"/>
  <c r="I155" i="1"/>
  <c r="A8" i="1"/>
  <c r="D8" i="1" s="1"/>
  <c r="B8" i="1"/>
  <c r="C8" i="1"/>
  <c r="I8" i="1"/>
  <c r="A157" i="1"/>
  <c r="E157" i="1" s="1"/>
  <c r="B157" i="1"/>
  <c r="C157" i="1"/>
  <c r="I157" i="1"/>
  <c r="A164" i="1"/>
  <c r="D164" i="1" s="1"/>
  <c r="B164" i="1"/>
  <c r="C164" i="1"/>
  <c r="I164" i="1"/>
  <c r="A159" i="1"/>
  <c r="E159" i="1" s="1"/>
  <c r="B159" i="1"/>
  <c r="C159" i="1"/>
  <c r="I159" i="1"/>
  <c r="A160" i="1"/>
  <c r="E160" i="1" s="1"/>
  <c r="B160" i="1"/>
  <c r="C160" i="1"/>
  <c r="I160" i="1"/>
  <c r="A161" i="1"/>
  <c r="E161" i="1" s="1"/>
  <c r="B161" i="1"/>
  <c r="C161" i="1"/>
  <c r="I161" i="1"/>
  <c r="A162" i="1"/>
  <c r="D162" i="1" s="1"/>
  <c r="B162" i="1"/>
  <c r="C162" i="1"/>
  <c r="I162" i="1"/>
  <c r="A163" i="1"/>
  <c r="B163" i="1"/>
  <c r="C163" i="1"/>
  <c r="I163" i="1"/>
  <c r="A4" i="1"/>
  <c r="B4" i="1"/>
  <c r="C4" i="1"/>
  <c r="I4" i="1"/>
  <c r="A201" i="1"/>
  <c r="B201" i="1"/>
  <c r="C201" i="1"/>
  <c r="I201" i="1"/>
  <c r="A166" i="1"/>
  <c r="E166" i="1" s="1"/>
  <c r="B166" i="1"/>
  <c r="C166" i="1"/>
  <c r="I166" i="1"/>
  <c r="A167" i="1"/>
  <c r="D167" i="1" s="1"/>
  <c r="B167" i="1"/>
  <c r="C167" i="1"/>
  <c r="I167" i="1"/>
  <c r="A168" i="1"/>
  <c r="E168" i="1" s="1"/>
  <c r="B168" i="1"/>
  <c r="C168" i="1"/>
  <c r="I168" i="1"/>
  <c r="A169" i="1"/>
  <c r="E169" i="1" s="1"/>
  <c r="B169" i="1"/>
  <c r="C169" i="1"/>
  <c r="I169" i="1"/>
  <c r="A170" i="1"/>
  <c r="D170" i="1" s="1"/>
  <c r="B170" i="1"/>
  <c r="C170" i="1"/>
  <c r="I170" i="1"/>
  <c r="A171" i="1"/>
  <c r="E171" i="1" s="1"/>
  <c r="B171" i="1"/>
  <c r="C171" i="1"/>
  <c r="I171" i="1"/>
  <c r="A172" i="1"/>
  <c r="E172" i="1" s="1"/>
  <c r="B172" i="1"/>
  <c r="C172" i="1"/>
  <c r="I172" i="1"/>
  <c r="A173" i="1"/>
  <c r="E173" i="1" s="1"/>
  <c r="B173" i="1"/>
  <c r="C173" i="1"/>
  <c r="I173" i="1"/>
  <c r="A200" i="1"/>
  <c r="D200" i="1" s="1"/>
  <c r="B200" i="1"/>
  <c r="C200" i="1"/>
  <c r="I200" i="1"/>
  <c r="A175" i="1"/>
  <c r="B175" i="1"/>
  <c r="C175" i="1"/>
  <c r="I175" i="1"/>
  <c r="A176" i="1"/>
  <c r="B176" i="1"/>
  <c r="C176" i="1"/>
  <c r="I176" i="1"/>
  <c r="A177" i="1"/>
  <c r="B177" i="1"/>
  <c r="C177" i="1"/>
  <c r="I177" i="1"/>
  <c r="A178" i="1"/>
  <c r="E178" i="1" s="1"/>
  <c r="B178" i="1"/>
  <c r="C178" i="1"/>
  <c r="I178" i="1"/>
  <c r="A179" i="1"/>
  <c r="E179" i="1" s="1"/>
  <c r="B179" i="1"/>
  <c r="C179" i="1"/>
  <c r="I179" i="1"/>
  <c r="A180" i="1"/>
  <c r="D180" i="1" s="1"/>
  <c r="B180" i="1"/>
  <c r="C180" i="1"/>
  <c r="I180" i="1"/>
  <c r="A181" i="1"/>
  <c r="D181" i="1" s="1"/>
  <c r="B181" i="1"/>
  <c r="C181" i="1"/>
  <c r="I181" i="1"/>
  <c r="A182" i="1"/>
  <c r="D182" i="1" s="1"/>
  <c r="B182" i="1"/>
  <c r="C182" i="1"/>
  <c r="I182" i="1"/>
  <c r="A183" i="1"/>
  <c r="E183" i="1" s="1"/>
  <c r="B183" i="1"/>
  <c r="C183" i="1"/>
  <c r="I183" i="1"/>
  <c r="A184" i="1"/>
  <c r="E184" i="1" s="1"/>
  <c r="B184" i="1"/>
  <c r="C184" i="1"/>
  <c r="I184" i="1"/>
  <c r="A185" i="1"/>
  <c r="E185" i="1" s="1"/>
  <c r="B185" i="1"/>
  <c r="C185" i="1"/>
  <c r="I185" i="1"/>
  <c r="A186" i="1"/>
  <c r="D186" i="1" s="1"/>
  <c r="B186" i="1"/>
  <c r="C186" i="1"/>
  <c r="I186" i="1"/>
  <c r="A187" i="1"/>
  <c r="B187" i="1"/>
  <c r="C187" i="1"/>
  <c r="I187" i="1"/>
  <c r="A188" i="1"/>
  <c r="B188" i="1"/>
  <c r="C188" i="1"/>
  <c r="I188" i="1"/>
  <c r="A96" i="1"/>
  <c r="B96" i="1"/>
  <c r="C96" i="1"/>
  <c r="I96" i="1"/>
  <c r="A116" i="1"/>
  <c r="E116" i="1" s="1"/>
  <c r="B116" i="1"/>
  <c r="C116" i="1"/>
  <c r="I116" i="1"/>
  <c r="A191" i="1"/>
  <c r="E191" i="1" s="1"/>
  <c r="B191" i="1"/>
  <c r="C191" i="1"/>
  <c r="I191" i="1"/>
  <c r="A192" i="1"/>
  <c r="D192" i="1" s="1"/>
  <c r="B192" i="1"/>
  <c r="C192" i="1"/>
  <c r="I192" i="1"/>
  <c r="A17" i="1"/>
  <c r="D17" i="1" s="1"/>
  <c r="B17" i="1"/>
  <c r="C17" i="1"/>
  <c r="I17" i="1"/>
  <c r="A90" i="1"/>
  <c r="E90" i="1" s="1"/>
  <c r="B90" i="1"/>
  <c r="C90" i="1"/>
  <c r="I90" i="1"/>
  <c r="A195" i="1"/>
  <c r="D195" i="1" s="1"/>
  <c r="B195" i="1"/>
  <c r="C195" i="1"/>
  <c r="I195" i="1"/>
  <c r="A196" i="1"/>
  <c r="D196" i="1" s="1"/>
  <c r="B196" i="1"/>
  <c r="C196" i="1"/>
  <c r="I196" i="1"/>
  <c r="A197" i="1"/>
  <c r="D197" i="1" s="1"/>
  <c r="B197" i="1"/>
  <c r="C197" i="1"/>
  <c r="I197" i="1"/>
  <c r="A198" i="1"/>
  <c r="D198" i="1" s="1"/>
  <c r="B198" i="1"/>
  <c r="C198" i="1"/>
  <c r="I198" i="1"/>
  <c r="A199" i="1"/>
  <c r="B199" i="1"/>
  <c r="C199" i="1"/>
  <c r="I199" i="1"/>
  <c r="A39" i="1"/>
  <c r="B39" i="1"/>
  <c r="C39" i="1"/>
  <c r="I39" i="1"/>
  <c r="A121" i="1"/>
  <c r="B121" i="1"/>
  <c r="C121" i="1"/>
  <c r="I121" i="1"/>
  <c r="A202" i="1"/>
  <c r="E202" i="1" s="1"/>
  <c r="B202" i="1"/>
  <c r="C202" i="1"/>
  <c r="I202" i="1"/>
  <c r="A7" i="1"/>
  <c r="D7" i="1" s="1"/>
  <c r="B7" i="1"/>
  <c r="C7" i="1"/>
  <c r="I7" i="1"/>
  <c r="A204" i="1"/>
  <c r="D204" i="1" s="1"/>
  <c r="B204" i="1"/>
  <c r="C204" i="1"/>
  <c r="I204" i="1"/>
  <c r="A205" i="1"/>
  <c r="D205" i="1" s="1"/>
  <c r="B205" i="1"/>
  <c r="C205" i="1"/>
  <c r="I205" i="1"/>
  <c r="A206" i="1"/>
  <c r="D206" i="1" s="1"/>
  <c r="B206" i="1"/>
  <c r="C206" i="1"/>
  <c r="I206" i="1"/>
  <c r="A207" i="1"/>
  <c r="E207" i="1" s="1"/>
  <c r="B207" i="1"/>
  <c r="C207" i="1"/>
  <c r="I207" i="1"/>
  <c r="A208" i="1"/>
  <c r="D208" i="1" s="1"/>
  <c r="B208" i="1"/>
  <c r="C208" i="1"/>
  <c r="I208" i="1"/>
  <c r="A112" i="1"/>
  <c r="D112" i="1" s="1"/>
  <c r="B112" i="1"/>
  <c r="C112" i="1"/>
  <c r="I112" i="1"/>
  <c r="A30" i="1"/>
  <c r="D30" i="1" s="1"/>
  <c r="B30" i="1"/>
  <c r="C30" i="1"/>
  <c r="I30" i="1"/>
  <c r="A211" i="1"/>
  <c r="B211" i="1"/>
  <c r="C211" i="1"/>
  <c r="I211" i="1"/>
  <c r="A212" i="1"/>
  <c r="B212" i="1"/>
  <c r="C212" i="1"/>
  <c r="I212" i="1"/>
  <c r="A6" i="1"/>
  <c r="B6" i="1"/>
  <c r="C6" i="1"/>
  <c r="I6" i="1"/>
  <c r="A56" i="1"/>
  <c r="E56" i="1" s="1"/>
  <c r="B56" i="1"/>
  <c r="C56" i="1"/>
  <c r="I56" i="1"/>
  <c r="A215" i="1"/>
  <c r="D215" i="1" s="1"/>
  <c r="B215" i="1"/>
  <c r="C215" i="1"/>
  <c r="I215" i="1"/>
  <c r="A216" i="1"/>
  <c r="E216" i="1" s="1"/>
  <c r="B216" i="1"/>
  <c r="C216" i="1"/>
  <c r="I216" i="1"/>
  <c r="A218" i="1"/>
  <c r="B218" i="1"/>
  <c r="C218" i="1"/>
  <c r="I218" i="1"/>
  <c r="A158" i="1"/>
  <c r="E158" i="1" s="1"/>
  <c r="B158" i="1"/>
  <c r="C158" i="1"/>
  <c r="I158" i="1"/>
  <c r="A219" i="1"/>
  <c r="D219" i="1" s="1"/>
  <c r="B219" i="1"/>
  <c r="C219" i="1"/>
  <c r="I219" i="1"/>
  <c r="A220" i="1"/>
  <c r="E220" i="1" s="1"/>
  <c r="B220" i="1"/>
  <c r="C220" i="1"/>
  <c r="I220" i="1"/>
  <c r="A221" i="1"/>
  <c r="E221" i="1" s="1"/>
  <c r="B221" i="1"/>
  <c r="C221" i="1"/>
  <c r="I221" i="1"/>
  <c r="A222" i="1"/>
  <c r="D222" i="1" s="1"/>
  <c r="B222" i="1"/>
  <c r="C222" i="1"/>
  <c r="I222" i="1"/>
  <c r="A223" i="1"/>
  <c r="B223" i="1"/>
  <c r="C223" i="1"/>
  <c r="I223" i="1"/>
  <c r="A63" i="1"/>
  <c r="B63" i="1"/>
  <c r="C63" i="1"/>
  <c r="I63" i="1"/>
  <c r="A225" i="1"/>
  <c r="B225" i="1"/>
  <c r="C225" i="1"/>
  <c r="I225" i="1"/>
  <c r="A210" i="1"/>
  <c r="E210" i="1" s="1"/>
  <c r="B210" i="1"/>
  <c r="C210" i="1"/>
  <c r="I210" i="1"/>
  <c r="A138" i="1"/>
  <c r="D138" i="1" s="1"/>
  <c r="B138" i="1"/>
  <c r="C138" i="1"/>
  <c r="I138" i="1"/>
  <c r="A149" i="1"/>
  <c r="B149" i="1"/>
  <c r="C149" i="1"/>
  <c r="I149" i="1"/>
  <c r="A109" i="1"/>
  <c r="D109" i="1" s="1"/>
  <c r="B109" i="1"/>
  <c r="C109" i="1"/>
  <c r="I109" i="1"/>
  <c r="A57" i="1"/>
  <c r="D57" i="1" s="1"/>
  <c r="B57" i="1"/>
  <c r="C57" i="1"/>
  <c r="I57" i="1"/>
  <c r="A231" i="1"/>
  <c r="D231" i="1" s="1"/>
  <c r="B231" i="1"/>
  <c r="C231" i="1"/>
  <c r="I231" i="1"/>
  <c r="A232" i="1"/>
  <c r="D232" i="1" s="1"/>
  <c r="B232" i="1"/>
  <c r="C232" i="1"/>
  <c r="I232" i="1"/>
  <c r="A233" i="1"/>
  <c r="D233" i="1" s="1"/>
  <c r="B233" i="1"/>
  <c r="C233" i="1"/>
  <c r="I233" i="1"/>
  <c r="A234" i="1"/>
  <c r="D234" i="1" s="1"/>
  <c r="B234" i="1"/>
  <c r="C234" i="1"/>
  <c r="I234" i="1"/>
  <c r="A235" i="1"/>
  <c r="B235" i="1"/>
  <c r="C235" i="1"/>
  <c r="I235" i="1"/>
  <c r="A236" i="1"/>
  <c r="B236" i="1"/>
  <c r="C236" i="1"/>
  <c r="I236" i="1"/>
  <c r="A237" i="1"/>
  <c r="B237" i="1"/>
  <c r="C237" i="1"/>
  <c r="I237" i="1"/>
  <c r="A238" i="1"/>
  <c r="E238" i="1" s="1"/>
  <c r="B238" i="1"/>
  <c r="C238" i="1"/>
  <c r="I238" i="1"/>
  <c r="A239" i="1"/>
  <c r="B239" i="1"/>
  <c r="C239" i="1"/>
  <c r="I239" i="1"/>
  <c r="A240" i="1"/>
  <c r="D240" i="1" s="1"/>
  <c r="B240" i="1"/>
  <c r="C240" i="1"/>
  <c r="I240" i="1"/>
  <c r="A241" i="1"/>
  <c r="E241" i="1" s="1"/>
  <c r="B241" i="1"/>
  <c r="C241" i="1"/>
  <c r="I241" i="1"/>
  <c r="A10" i="1"/>
  <c r="B10" i="1"/>
  <c r="C10" i="1"/>
  <c r="I10" i="1"/>
  <c r="A243" i="1"/>
  <c r="D243" i="1" s="1"/>
  <c r="B243" i="1"/>
  <c r="C243" i="1"/>
  <c r="I243" i="1"/>
  <c r="A244" i="1"/>
  <c r="D244" i="1" s="1"/>
  <c r="B244" i="1"/>
  <c r="C244" i="1"/>
  <c r="I244" i="1"/>
  <c r="A125" i="1"/>
  <c r="D125" i="1" s="1"/>
  <c r="B125" i="1"/>
  <c r="C125" i="1"/>
  <c r="I125" i="1"/>
  <c r="A64" i="1"/>
  <c r="D64" i="1" s="1"/>
  <c r="B64" i="1"/>
  <c r="C64" i="1"/>
  <c r="I64" i="1"/>
  <c r="A247" i="1"/>
  <c r="B247" i="1"/>
  <c r="C247" i="1"/>
  <c r="I247" i="1"/>
  <c r="A248" i="1"/>
  <c r="B248" i="1"/>
  <c r="C248" i="1"/>
  <c r="I248" i="1"/>
  <c r="A249" i="1"/>
  <c r="B249" i="1"/>
  <c r="C249" i="1"/>
  <c r="I249" i="1"/>
  <c r="A250" i="1"/>
  <c r="B250" i="1"/>
  <c r="C250" i="1"/>
  <c r="I250" i="1"/>
  <c r="A251" i="1"/>
  <c r="D251" i="1" s="1"/>
  <c r="B251" i="1"/>
  <c r="C251" i="1"/>
  <c r="I251" i="1"/>
  <c r="A252" i="1"/>
  <c r="E252" i="1" s="1"/>
  <c r="B252" i="1"/>
  <c r="C252" i="1"/>
  <c r="I252" i="1"/>
  <c r="A253" i="1"/>
  <c r="B253" i="1"/>
  <c r="C253" i="1"/>
  <c r="I253" i="1"/>
  <c r="A254" i="1"/>
  <c r="D254" i="1" s="1"/>
  <c r="B254" i="1"/>
  <c r="C254" i="1"/>
  <c r="I254" i="1"/>
  <c r="A255" i="1"/>
  <c r="E255" i="1" s="1"/>
  <c r="B255" i="1"/>
  <c r="C255" i="1"/>
  <c r="I255" i="1"/>
  <c r="A256" i="1"/>
  <c r="E256" i="1" s="1"/>
  <c r="B256" i="1"/>
  <c r="C256" i="1"/>
  <c r="I256" i="1"/>
  <c r="A257" i="1"/>
  <c r="D257" i="1" s="1"/>
  <c r="B257" i="1"/>
  <c r="C257" i="1"/>
  <c r="I257" i="1"/>
  <c r="A258" i="1"/>
  <c r="B258" i="1"/>
  <c r="C258" i="1"/>
  <c r="I258" i="1"/>
  <c r="A259" i="1"/>
  <c r="B259" i="1"/>
  <c r="C259" i="1"/>
  <c r="I259" i="1"/>
  <c r="A260" i="1"/>
  <c r="B260" i="1"/>
  <c r="C260" i="1"/>
  <c r="I260" i="1"/>
  <c r="A261" i="1"/>
  <c r="E261" i="1" s="1"/>
  <c r="B261" i="1"/>
  <c r="C261" i="1"/>
  <c r="I261" i="1"/>
  <c r="A262" i="1"/>
  <c r="D262" i="1" s="1"/>
  <c r="B262" i="1"/>
  <c r="C262" i="1"/>
  <c r="I262" i="1"/>
  <c r="A263" i="1"/>
  <c r="B263" i="1"/>
  <c r="C263" i="1"/>
  <c r="I263" i="1"/>
  <c r="A264" i="1"/>
  <c r="E264" i="1" s="1"/>
  <c r="B264" i="1"/>
  <c r="C264" i="1"/>
  <c r="I264" i="1"/>
  <c r="A265" i="1"/>
  <c r="D265" i="1" s="1"/>
  <c r="B265" i="1"/>
  <c r="C265" i="1"/>
  <c r="I265" i="1"/>
  <c r="A266" i="1"/>
  <c r="D266" i="1" s="1"/>
  <c r="B266" i="1"/>
  <c r="C266" i="1"/>
  <c r="I266" i="1"/>
  <c r="A267" i="1"/>
  <c r="E267" i="1" s="1"/>
  <c r="B267" i="1"/>
  <c r="C267" i="1"/>
  <c r="I267" i="1"/>
  <c r="A268" i="1"/>
  <c r="E268" i="1" s="1"/>
  <c r="B268" i="1"/>
  <c r="C268" i="1"/>
  <c r="I268" i="1"/>
  <c r="A269" i="1"/>
  <c r="E269" i="1" s="1"/>
  <c r="B269" i="1"/>
  <c r="C269" i="1"/>
  <c r="I269" i="1"/>
  <c r="A270" i="1"/>
  <c r="E270" i="1" s="1"/>
  <c r="B270" i="1"/>
  <c r="C270" i="1"/>
  <c r="I270" i="1"/>
  <c r="A271" i="1"/>
  <c r="D271" i="1" s="1"/>
  <c r="B271" i="1"/>
  <c r="C271" i="1"/>
  <c r="I271" i="1"/>
  <c r="A272" i="1"/>
  <c r="D272" i="1" s="1"/>
  <c r="B272" i="1"/>
  <c r="C272" i="1"/>
  <c r="I272" i="1"/>
  <c r="A273" i="1"/>
  <c r="E273" i="1" s="1"/>
  <c r="B273" i="1"/>
  <c r="C273" i="1"/>
  <c r="I273" i="1"/>
  <c r="A274" i="1"/>
  <c r="E274" i="1" s="1"/>
  <c r="B274" i="1"/>
  <c r="C274" i="1"/>
  <c r="I274" i="1"/>
  <c r="A275" i="1"/>
  <c r="E275" i="1" s="1"/>
  <c r="B275" i="1"/>
  <c r="C275" i="1"/>
  <c r="I275" i="1"/>
  <c r="A276" i="1"/>
  <c r="D276" i="1" s="1"/>
  <c r="B276" i="1"/>
  <c r="C276" i="1"/>
  <c r="I276" i="1"/>
  <c r="A277" i="1"/>
  <c r="B277" i="1"/>
  <c r="C277" i="1"/>
  <c r="I277" i="1"/>
  <c r="A278" i="1"/>
  <c r="B278" i="1"/>
  <c r="C278" i="1"/>
  <c r="I278" i="1"/>
  <c r="A279" i="1"/>
  <c r="B279" i="1"/>
  <c r="C279" i="1"/>
  <c r="I279" i="1"/>
  <c r="A280" i="1"/>
  <c r="E280" i="1" s="1"/>
  <c r="B280" i="1"/>
  <c r="C280" i="1"/>
  <c r="I280" i="1"/>
  <c r="A281" i="1"/>
  <c r="D281" i="1" s="1"/>
  <c r="B281" i="1"/>
  <c r="C281" i="1"/>
  <c r="I281" i="1"/>
  <c r="A282" i="1"/>
  <c r="D282" i="1" s="1"/>
  <c r="B282" i="1"/>
  <c r="C282" i="1"/>
  <c r="I282" i="1"/>
  <c r="A283" i="1"/>
  <c r="D283" i="1" s="1"/>
  <c r="B283" i="1"/>
  <c r="C283" i="1"/>
  <c r="I283" i="1"/>
  <c r="A284" i="1"/>
  <c r="D284" i="1" s="1"/>
  <c r="B284" i="1"/>
  <c r="C284" i="1"/>
  <c r="I284" i="1"/>
  <c r="A285" i="1"/>
  <c r="E285" i="1" s="1"/>
  <c r="B285" i="1"/>
  <c r="C285" i="1"/>
  <c r="I285" i="1"/>
  <c r="A286" i="1"/>
  <c r="E286" i="1" s="1"/>
  <c r="B286" i="1"/>
  <c r="C286" i="1"/>
  <c r="I286" i="1"/>
  <c r="A287" i="1"/>
  <c r="D287" i="1" s="1"/>
  <c r="B287" i="1"/>
  <c r="C287" i="1"/>
  <c r="I287" i="1"/>
  <c r="A288" i="1"/>
  <c r="E288" i="1" s="1"/>
  <c r="B288" i="1"/>
  <c r="C288" i="1"/>
  <c r="I288" i="1"/>
  <c r="A289" i="1"/>
  <c r="B289" i="1"/>
  <c r="C289" i="1"/>
  <c r="I289" i="1"/>
  <c r="A290" i="1"/>
  <c r="B290" i="1"/>
  <c r="C290" i="1"/>
  <c r="I290" i="1"/>
  <c r="A291" i="1"/>
  <c r="B291" i="1"/>
  <c r="C291" i="1"/>
  <c r="I291" i="1"/>
  <c r="A292" i="1"/>
  <c r="E292" i="1" s="1"/>
  <c r="B292" i="1"/>
  <c r="C292" i="1"/>
  <c r="I292" i="1"/>
  <c r="A293" i="1"/>
  <c r="E293" i="1" s="1"/>
  <c r="B293" i="1"/>
  <c r="C293" i="1"/>
  <c r="I293" i="1"/>
  <c r="A294" i="1"/>
  <c r="E294" i="1" s="1"/>
  <c r="B294" i="1"/>
  <c r="C294" i="1"/>
  <c r="I294" i="1"/>
  <c r="A295" i="1"/>
  <c r="D295" i="1" s="1"/>
  <c r="B295" i="1"/>
  <c r="C295" i="1"/>
  <c r="I295" i="1"/>
  <c r="A296" i="1"/>
  <c r="E296" i="1" s="1"/>
  <c r="B296" i="1"/>
  <c r="C296" i="1"/>
  <c r="I296" i="1"/>
  <c r="A297" i="1"/>
  <c r="D297" i="1" s="1"/>
  <c r="B297" i="1"/>
  <c r="C297" i="1"/>
  <c r="I297" i="1"/>
  <c r="A298" i="1"/>
  <c r="E298" i="1" s="1"/>
  <c r="B298" i="1"/>
  <c r="C298" i="1"/>
  <c r="I298" i="1"/>
  <c r="A299" i="1"/>
  <c r="D299" i="1" s="1"/>
  <c r="B299" i="1"/>
  <c r="C299" i="1"/>
  <c r="I299" i="1"/>
  <c r="A300" i="1"/>
  <c r="D300" i="1" s="1"/>
  <c r="B300" i="1"/>
  <c r="C300" i="1"/>
  <c r="I300" i="1"/>
  <c r="A3" i="1"/>
  <c r="D3" i="1" s="1"/>
  <c r="A41" i="1"/>
  <c r="D41" i="1" s="1"/>
  <c r="A44" i="1"/>
  <c r="E44" i="1" s="1"/>
  <c r="A53" i="1"/>
  <c r="D53" i="1" s="1"/>
  <c r="A27" i="1"/>
  <c r="E27" i="1" s="1"/>
  <c r="A33" i="1"/>
  <c r="E33" i="1" s="1"/>
  <c r="A32" i="1"/>
  <c r="D32" i="1" s="1"/>
  <c r="A89" i="1"/>
  <c r="E89" i="1" s="1"/>
  <c r="A59" i="1"/>
  <c r="E59" i="1" s="1"/>
  <c r="A58" i="1"/>
  <c r="E58" i="1" s="1"/>
  <c r="A82" i="1"/>
  <c r="E82" i="1" s="1"/>
  <c r="A36" i="1"/>
  <c r="E36" i="1" s="1"/>
  <c r="A93" i="1"/>
  <c r="D93" i="1" s="1"/>
  <c r="A65" i="1"/>
  <c r="D65" i="1" s="1"/>
  <c r="A45" i="1"/>
  <c r="E45" i="1" s="1"/>
  <c r="A23" i="1"/>
  <c r="D23" i="1" s="1"/>
  <c r="A18" i="1"/>
  <c r="E18" i="1" s="1"/>
  <c r="A19" i="1"/>
  <c r="E19" i="1" s="1"/>
  <c r="A54" i="1"/>
  <c r="D54" i="1" s="1"/>
  <c r="A48" i="1"/>
  <c r="A55" i="1"/>
  <c r="E55" i="1" s="1"/>
  <c r="A101" i="1"/>
  <c r="E101" i="1" s="1"/>
  <c r="A66" i="1"/>
  <c r="E66" i="1" s="1"/>
  <c r="A67" i="1"/>
  <c r="E67" i="1" s="1"/>
  <c r="A78" i="1"/>
  <c r="D78" i="1" s="1"/>
  <c r="A40" i="1"/>
  <c r="D40" i="1" s="1"/>
  <c r="A31" i="1"/>
  <c r="E31" i="1" s="1"/>
  <c r="A51" i="1"/>
  <c r="D51" i="1" s="1"/>
  <c r="A61" i="1"/>
  <c r="D61" i="1" s="1"/>
  <c r="A50" i="1"/>
  <c r="E50" i="1" s="1"/>
  <c r="A49" i="1"/>
  <c r="D49" i="1" s="1"/>
  <c r="A35" i="1"/>
  <c r="E35" i="1" s="1"/>
  <c r="A230" i="1"/>
  <c r="D230" i="1" s="1"/>
  <c r="A34" i="1"/>
  <c r="E34" i="1" s="1"/>
  <c r="A71" i="1"/>
  <c r="E71" i="1" s="1"/>
  <c r="A38" i="1"/>
  <c r="E38" i="1" s="1"/>
  <c r="A77" i="1"/>
  <c r="D77" i="1" s="1"/>
  <c r="A47" i="1"/>
  <c r="E47" i="1" s="1"/>
  <c r="A76" i="1"/>
  <c r="E76" i="1" s="1"/>
  <c r="A87" i="1"/>
  <c r="D87" i="1" s="1"/>
  <c r="A69" i="1"/>
  <c r="E69" i="1" s="1"/>
  <c r="A83" i="1"/>
  <c r="D83" i="1" s="1"/>
  <c r="A81" i="1"/>
  <c r="D81" i="1" s="1"/>
  <c r="A75" i="1"/>
  <c r="E75" i="1" s="1"/>
  <c r="A42" i="1"/>
  <c r="D42" i="1" s="1"/>
  <c r="A95" i="1"/>
  <c r="E95" i="1" s="1"/>
  <c r="A79" i="1"/>
  <c r="E79" i="1" s="1"/>
  <c r="A73" i="1"/>
  <c r="E73" i="1" s="1"/>
  <c r="A94" i="1"/>
  <c r="D94" i="1" s="1"/>
  <c r="A15" i="1"/>
  <c r="D15" i="1" s="1"/>
  <c r="A29" i="1"/>
  <c r="E29" i="1" s="1"/>
  <c r="A62" i="1"/>
  <c r="D62" i="1" s="1"/>
  <c r="A100" i="1"/>
  <c r="E100" i="1" s="1"/>
  <c r="A98" i="1"/>
  <c r="E98" i="1" s="1"/>
  <c r="A68" i="1"/>
  <c r="D68" i="1" s="1"/>
  <c r="A103" i="1"/>
  <c r="A80" i="1"/>
  <c r="A70" i="1"/>
  <c r="E70" i="1" s="1"/>
  <c r="A28" i="1"/>
  <c r="E28" i="1" s="1"/>
  <c r="A84" i="1"/>
  <c r="D84" i="1" s="1"/>
  <c r="A72" i="1"/>
  <c r="E72" i="1" s="1"/>
  <c r="A229" i="1"/>
  <c r="E229" i="1" s="1"/>
  <c r="A214" i="1"/>
  <c r="E214" i="1" s="1"/>
  <c r="A102" i="1"/>
  <c r="E102" i="1" s="1"/>
  <c r="A137" i="1"/>
  <c r="E137" i="1" s="1"/>
  <c r="A144" i="1"/>
  <c r="D144" i="1" s="1"/>
  <c r="A21" i="1"/>
  <c r="E21" i="1" s="1"/>
  <c r="A20" i="1"/>
  <c r="E20" i="1" s="1"/>
  <c r="A11" i="1"/>
  <c r="A9" i="1"/>
  <c r="E9" i="1" s="1"/>
  <c r="A99" i="1"/>
  <c r="E99" i="1" s="1"/>
  <c r="A13" i="1"/>
  <c r="D13" i="1" s="1"/>
  <c r="A104" i="1"/>
  <c r="D104" i="1" s="1"/>
  <c r="A16" i="1"/>
  <c r="A130" i="1"/>
  <c r="A131" i="1"/>
  <c r="D131" i="1" s="1"/>
  <c r="A24" i="1"/>
  <c r="D24" i="1" s="1"/>
  <c r="A113" i="1"/>
  <c r="D113" i="1" s="1"/>
  <c r="A115" i="1"/>
  <c r="A14" i="1"/>
  <c r="A25" i="1"/>
  <c r="A26" i="1"/>
  <c r="A5" i="1"/>
  <c r="A129" i="1"/>
  <c r="D129" i="1" s="1"/>
  <c r="A91" i="1"/>
  <c r="D91" i="1" s="1"/>
  <c r="A86" i="1"/>
  <c r="E86" i="1" s="1"/>
  <c r="A110" i="1"/>
  <c r="D110" i="1" s="1"/>
  <c r="A148" i="1"/>
  <c r="E148" i="1" s="1"/>
  <c r="A92" i="1"/>
  <c r="E92" i="1" s="1"/>
  <c r="A189" i="1"/>
  <c r="D189" i="1" s="1"/>
  <c r="A224" i="1"/>
  <c r="E224" i="1" s="1"/>
  <c r="A165" i="1"/>
  <c r="D165" i="1" s="1"/>
  <c r="A245" i="1"/>
  <c r="E245" i="1" s="1"/>
  <c r="A111" i="1"/>
  <c r="E111" i="1" s="1"/>
  <c r="A117" i="1"/>
  <c r="E117" i="1" s="1"/>
  <c r="A127" i="1"/>
  <c r="D127" i="1" s="1"/>
  <c r="A128" i="1"/>
  <c r="E128" i="1" s="1"/>
  <c r="A203" i="1"/>
  <c r="E203" i="1" s="1"/>
  <c r="A194" i="1"/>
  <c r="D194" i="1" s="1"/>
  <c r="A246" i="1"/>
  <c r="E246" i="1" s="1"/>
  <c r="A74" i="1"/>
  <c r="E74" i="1" s="1"/>
  <c r="A106" i="1"/>
  <c r="D106" i="1" s="1"/>
  <c r="A97" i="1"/>
  <c r="E97" i="1" s="1"/>
  <c r="A108" i="1"/>
  <c r="E108" i="1" s="1"/>
  <c r="A154" i="1"/>
  <c r="E154" i="1" s="1"/>
  <c r="A174" i="1"/>
  <c r="E174" i="1" s="1"/>
  <c r="A209" i="1"/>
  <c r="E209" i="1" s="1"/>
  <c r="A242" i="1"/>
  <c r="D242" i="1" s="1"/>
  <c r="A37" i="1"/>
  <c r="D37" i="1" s="1"/>
  <c r="A107" i="1"/>
  <c r="E107" i="1" s="1"/>
  <c r="A132" i="1"/>
  <c r="D132" i="1" s="1"/>
  <c r="A120" i="1"/>
  <c r="E120" i="1" s="1"/>
  <c r="A227" i="1"/>
  <c r="D227" i="1" s="1"/>
  <c r="A85" i="1"/>
  <c r="D85" i="1" s="1"/>
  <c r="A118" i="1"/>
  <c r="E118" i="1" s="1"/>
  <c r="A88" i="1"/>
  <c r="E88" i="1" s="1"/>
  <c r="A119" i="1"/>
  <c r="E119" i="1" s="1"/>
  <c r="A12" i="1"/>
  <c r="E12" i="1" s="1"/>
  <c r="A122" i="1"/>
  <c r="E122" i="1" s="1"/>
  <c r="A123" i="1"/>
  <c r="D123" i="1" s="1"/>
  <c r="A190" i="1"/>
  <c r="E190" i="1" s="1"/>
  <c r="B41" i="1"/>
  <c r="B44" i="1"/>
  <c r="B53" i="1"/>
  <c r="B27" i="1"/>
  <c r="B33" i="1"/>
  <c r="B32" i="1"/>
  <c r="B89" i="1"/>
  <c r="B59" i="1"/>
  <c r="B58" i="1"/>
  <c r="B82" i="1"/>
  <c r="B36" i="1"/>
  <c r="B93" i="1"/>
  <c r="B65" i="1"/>
  <c r="B45" i="1"/>
  <c r="B23" i="1"/>
  <c r="B18" i="1"/>
  <c r="B19" i="1"/>
  <c r="B54" i="1"/>
  <c r="B48" i="1"/>
  <c r="B55" i="1"/>
  <c r="B101" i="1"/>
  <c r="B66" i="1"/>
  <c r="B67" i="1"/>
  <c r="B78" i="1"/>
  <c r="B40" i="1"/>
  <c r="B31" i="1"/>
  <c r="B51" i="1"/>
  <c r="B61" i="1"/>
  <c r="B50" i="1"/>
  <c r="B49" i="1"/>
  <c r="B35" i="1"/>
  <c r="B230" i="1"/>
  <c r="B34" i="1"/>
  <c r="B71" i="1"/>
  <c r="B38" i="1"/>
  <c r="B77" i="1"/>
  <c r="B47" i="1"/>
  <c r="B76" i="1"/>
  <c r="B87" i="1"/>
  <c r="B69" i="1"/>
  <c r="B83" i="1"/>
  <c r="B81" i="1"/>
  <c r="B75" i="1"/>
  <c r="B42" i="1"/>
  <c r="B95" i="1"/>
  <c r="B79" i="1"/>
  <c r="B73" i="1"/>
  <c r="B94" i="1"/>
  <c r="B15" i="1"/>
  <c r="B29" i="1"/>
  <c r="B62" i="1"/>
  <c r="B100" i="1"/>
  <c r="B98" i="1"/>
  <c r="B68" i="1"/>
  <c r="B103" i="1"/>
  <c r="B22" i="1"/>
  <c r="B80" i="1"/>
  <c r="B70" i="1"/>
  <c r="B28" i="1"/>
  <c r="B84" i="1"/>
  <c r="B72" i="1"/>
  <c r="B229" i="1"/>
  <c r="B214" i="1"/>
  <c r="B102" i="1"/>
  <c r="B137" i="1"/>
  <c r="B144" i="1"/>
  <c r="B21" i="1"/>
  <c r="B20" i="1"/>
  <c r="B11" i="1"/>
  <c r="B9" i="1"/>
  <c r="B99" i="1"/>
  <c r="B13" i="1"/>
  <c r="B104" i="1"/>
  <c r="B16" i="1"/>
  <c r="B130" i="1"/>
  <c r="B131" i="1"/>
  <c r="B24" i="1"/>
  <c r="B113" i="1"/>
  <c r="B115" i="1"/>
  <c r="B14" i="1"/>
  <c r="B25" i="1"/>
  <c r="B26" i="1"/>
  <c r="B5" i="1"/>
  <c r="B129" i="1"/>
  <c r="B91" i="1"/>
  <c r="B86" i="1"/>
  <c r="B110" i="1"/>
  <c r="B148" i="1"/>
  <c r="B92" i="1"/>
  <c r="B189" i="1"/>
  <c r="B224" i="1"/>
  <c r="B165" i="1"/>
  <c r="B245" i="1"/>
  <c r="B111" i="1"/>
  <c r="B117" i="1"/>
  <c r="B127" i="1"/>
  <c r="B128" i="1"/>
  <c r="B203" i="1"/>
  <c r="B194" i="1"/>
  <c r="B246" i="1"/>
  <c r="B74" i="1"/>
  <c r="B106" i="1"/>
  <c r="B97" i="1"/>
  <c r="B108" i="1"/>
  <c r="B154" i="1"/>
  <c r="B174" i="1"/>
  <c r="B209" i="1"/>
  <c r="B242" i="1"/>
  <c r="B37" i="1"/>
  <c r="B107" i="1"/>
  <c r="B132" i="1"/>
  <c r="B120" i="1"/>
  <c r="B227" i="1"/>
  <c r="B85" i="1"/>
  <c r="B118" i="1"/>
  <c r="B88" i="1"/>
  <c r="B119" i="1"/>
  <c r="B12" i="1"/>
  <c r="B122" i="1"/>
  <c r="B123" i="1"/>
  <c r="B190" i="1"/>
  <c r="C41" i="1"/>
  <c r="C44" i="1"/>
  <c r="C53" i="1"/>
  <c r="C27" i="1"/>
  <c r="C33" i="1"/>
  <c r="C32" i="1"/>
  <c r="C89" i="1"/>
  <c r="C59" i="1"/>
  <c r="C58" i="1"/>
  <c r="C82" i="1"/>
  <c r="C36" i="1"/>
  <c r="C93" i="1"/>
  <c r="C65" i="1"/>
  <c r="C45" i="1"/>
  <c r="C23" i="1"/>
  <c r="C18" i="1"/>
  <c r="C19" i="1"/>
  <c r="C54" i="1"/>
  <c r="C48" i="1"/>
  <c r="C55" i="1"/>
  <c r="C101" i="1"/>
  <c r="C66" i="1"/>
  <c r="C67" i="1"/>
  <c r="C78" i="1"/>
  <c r="C40" i="1"/>
  <c r="C31" i="1"/>
  <c r="C51" i="1"/>
  <c r="C61" i="1"/>
  <c r="C50" i="1"/>
  <c r="C49" i="1"/>
  <c r="C35" i="1"/>
  <c r="C230" i="1"/>
  <c r="C34" i="1"/>
  <c r="C71" i="1"/>
  <c r="C38" i="1"/>
  <c r="C77" i="1"/>
  <c r="C47" i="1"/>
  <c r="C76" i="1"/>
  <c r="C87" i="1"/>
  <c r="C69" i="1"/>
  <c r="C83" i="1"/>
  <c r="C81" i="1"/>
  <c r="C75" i="1"/>
  <c r="C42" i="1"/>
  <c r="C95" i="1"/>
  <c r="C79" i="1"/>
  <c r="C73" i="1"/>
  <c r="C94" i="1"/>
  <c r="C15" i="1"/>
  <c r="C29" i="1"/>
  <c r="C62" i="1"/>
  <c r="C100" i="1"/>
  <c r="C98" i="1"/>
  <c r="C68" i="1"/>
  <c r="C103" i="1"/>
  <c r="C22" i="1"/>
  <c r="C80" i="1"/>
  <c r="C70" i="1"/>
  <c r="C28" i="1"/>
  <c r="C84" i="1"/>
  <c r="C72" i="1"/>
  <c r="C229" i="1"/>
  <c r="C214" i="1"/>
  <c r="C102" i="1"/>
  <c r="C137" i="1"/>
  <c r="C144" i="1"/>
  <c r="C21" i="1"/>
  <c r="C20" i="1"/>
  <c r="C11" i="1"/>
  <c r="C9" i="1"/>
  <c r="C99" i="1"/>
  <c r="C13" i="1"/>
  <c r="C104" i="1"/>
  <c r="C16" i="1"/>
  <c r="C130" i="1"/>
  <c r="C131" i="1"/>
  <c r="C24" i="1"/>
  <c r="C113" i="1"/>
  <c r="C115" i="1"/>
  <c r="C14" i="1"/>
  <c r="C25" i="1"/>
  <c r="C26" i="1"/>
  <c r="C5" i="1"/>
  <c r="C129" i="1"/>
  <c r="C91" i="1"/>
  <c r="C86" i="1"/>
  <c r="C110" i="1"/>
  <c r="C148" i="1"/>
  <c r="C92" i="1"/>
  <c r="C189" i="1"/>
  <c r="C224" i="1"/>
  <c r="C165" i="1"/>
  <c r="C245" i="1"/>
  <c r="C111" i="1"/>
  <c r="C117" i="1"/>
  <c r="C127" i="1"/>
  <c r="C128" i="1"/>
  <c r="C203" i="1"/>
  <c r="C194" i="1"/>
  <c r="C246" i="1"/>
  <c r="C74" i="1"/>
  <c r="C106" i="1"/>
  <c r="C97" i="1"/>
  <c r="C108" i="1"/>
  <c r="C154" i="1"/>
  <c r="C174" i="1"/>
  <c r="C209" i="1"/>
  <c r="C242" i="1"/>
  <c r="C37" i="1"/>
  <c r="C107" i="1"/>
  <c r="C132" i="1"/>
  <c r="C120" i="1"/>
  <c r="C227" i="1"/>
  <c r="C85" i="1"/>
  <c r="C118" i="1"/>
  <c r="C88" i="1"/>
  <c r="C119" i="1"/>
  <c r="C12" i="1"/>
  <c r="C122" i="1"/>
  <c r="C123" i="1"/>
  <c r="C190" i="1"/>
  <c r="I41" i="1"/>
  <c r="I44" i="1"/>
  <c r="I53" i="1"/>
  <c r="I27" i="1"/>
  <c r="I33" i="1"/>
  <c r="I32" i="1"/>
  <c r="I89" i="1"/>
  <c r="I59" i="1"/>
  <c r="I58" i="1"/>
  <c r="I82" i="1"/>
  <c r="I36" i="1"/>
  <c r="I93" i="1"/>
  <c r="I65" i="1"/>
  <c r="I45" i="1"/>
  <c r="I23" i="1"/>
  <c r="I18" i="1"/>
  <c r="I19" i="1"/>
  <c r="I54" i="1"/>
  <c r="I48" i="1"/>
  <c r="I55" i="1"/>
  <c r="I101" i="1"/>
  <c r="I66" i="1"/>
  <c r="I67" i="1"/>
  <c r="I78" i="1"/>
  <c r="I40" i="1"/>
  <c r="I31" i="1"/>
  <c r="I51" i="1"/>
  <c r="I61" i="1"/>
  <c r="I50" i="1"/>
  <c r="I49" i="1"/>
  <c r="I35" i="1"/>
  <c r="I230" i="1"/>
  <c r="I34" i="1"/>
  <c r="I71" i="1"/>
  <c r="I38" i="1"/>
  <c r="I77" i="1"/>
  <c r="I47" i="1"/>
  <c r="I76" i="1"/>
  <c r="I87" i="1"/>
  <c r="I69" i="1"/>
  <c r="I83" i="1"/>
  <c r="I81" i="1"/>
  <c r="I75" i="1"/>
  <c r="I42" i="1"/>
  <c r="I95" i="1"/>
  <c r="I79" i="1"/>
  <c r="I73" i="1"/>
  <c r="I94" i="1"/>
  <c r="I15" i="1"/>
  <c r="I29" i="1"/>
  <c r="I62" i="1"/>
  <c r="I100" i="1"/>
  <c r="I98" i="1"/>
  <c r="I68" i="1"/>
  <c r="I103" i="1"/>
  <c r="I22" i="1"/>
  <c r="I80" i="1"/>
  <c r="I70" i="1"/>
  <c r="I28" i="1"/>
  <c r="I84" i="1"/>
  <c r="I72" i="1"/>
  <c r="I229" i="1"/>
  <c r="I214" i="1"/>
  <c r="I102" i="1"/>
  <c r="I137" i="1"/>
  <c r="I144" i="1"/>
  <c r="I21" i="1"/>
  <c r="I20" i="1"/>
  <c r="I11" i="1"/>
  <c r="I9" i="1"/>
  <c r="I99" i="1"/>
  <c r="I13" i="1"/>
  <c r="I104" i="1"/>
  <c r="I16" i="1"/>
  <c r="I130" i="1"/>
  <c r="I131" i="1"/>
  <c r="I24" i="1"/>
  <c r="I113" i="1"/>
  <c r="I115" i="1"/>
  <c r="I14" i="1"/>
  <c r="I25" i="1"/>
  <c r="I26" i="1"/>
  <c r="I5" i="1"/>
  <c r="I129" i="1"/>
  <c r="I91" i="1"/>
  <c r="I86" i="1"/>
  <c r="I110" i="1"/>
  <c r="I148" i="1"/>
  <c r="I92" i="1"/>
  <c r="I189" i="1"/>
  <c r="I224" i="1"/>
  <c r="I165" i="1"/>
  <c r="I245" i="1"/>
  <c r="I111" i="1"/>
  <c r="I117" i="1"/>
  <c r="I127" i="1"/>
  <c r="I128" i="1"/>
  <c r="I203" i="1"/>
  <c r="I194" i="1"/>
  <c r="I246" i="1"/>
  <c r="I74" i="1"/>
  <c r="I106" i="1"/>
  <c r="I97" i="1"/>
  <c r="I108" i="1"/>
  <c r="I154" i="1"/>
  <c r="I174" i="1"/>
  <c r="I209" i="1"/>
  <c r="I242" i="1"/>
  <c r="I37" i="1"/>
  <c r="I107" i="1"/>
  <c r="I132" i="1"/>
  <c r="I120" i="1"/>
  <c r="I227" i="1"/>
  <c r="I85" i="1"/>
  <c r="I118" i="1"/>
  <c r="I88" i="1"/>
  <c r="I119" i="1"/>
  <c r="I12" i="1"/>
  <c r="I122" i="1"/>
  <c r="I123" i="1"/>
  <c r="I190" i="1"/>
  <c r="I3" i="1"/>
  <c r="C3" i="1"/>
  <c r="B3" i="1"/>
  <c r="F258" i="1" l="1"/>
  <c r="F287" i="1"/>
  <c r="F284" i="1"/>
  <c r="F10" i="1"/>
  <c r="F253" i="1"/>
  <c r="F247" i="1"/>
  <c r="F273" i="1"/>
  <c r="H273" i="1" s="1"/>
  <c r="D268" i="1"/>
  <c r="F299" i="1"/>
  <c r="D298" i="1"/>
  <c r="F270" i="1"/>
  <c r="G270" i="1" s="1"/>
  <c r="J270" i="1" s="1"/>
  <c r="F289" i="1"/>
  <c r="D288" i="1"/>
  <c r="E65" i="1"/>
  <c r="E287" i="1"/>
  <c r="D267" i="1"/>
  <c r="D274" i="1"/>
  <c r="E265" i="1"/>
  <c r="E48" i="1"/>
  <c r="E16" i="1"/>
  <c r="E5" i="1"/>
  <c r="E83" i="1"/>
  <c r="E11" i="1"/>
  <c r="E26" i="1"/>
  <c r="E130" i="1"/>
  <c r="E25" i="1"/>
  <c r="E80" i="1"/>
  <c r="E115" i="1"/>
  <c r="E103" i="1"/>
  <c r="E14" i="1"/>
  <c r="F264" i="1"/>
  <c r="H264" i="1" s="1"/>
  <c r="D294" i="1"/>
  <c r="F283" i="1"/>
  <c r="F266" i="1"/>
  <c r="D296" i="1"/>
  <c r="D285" i="1"/>
  <c r="F263" i="1"/>
  <c r="F282" i="1"/>
  <c r="F276" i="1"/>
  <c r="F275" i="1"/>
  <c r="G275" i="1" s="1"/>
  <c r="J275" i="1" s="1"/>
  <c r="D273" i="1"/>
  <c r="F265" i="1"/>
  <c r="E262" i="1"/>
  <c r="F281" i="1"/>
  <c r="D275" i="1"/>
  <c r="F267" i="1"/>
  <c r="G267" i="1" s="1"/>
  <c r="J267" i="1" s="1"/>
  <c r="F300" i="1"/>
  <c r="D44" i="1"/>
  <c r="F294" i="1"/>
  <c r="G294" i="1" s="1"/>
  <c r="J294" i="1" s="1"/>
  <c r="F288" i="1"/>
  <c r="F286" i="1"/>
  <c r="G286" i="1" s="1"/>
  <c r="J286" i="1" s="1"/>
  <c r="F271" i="1"/>
  <c r="D286" i="1"/>
  <c r="E281" i="1"/>
  <c r="F261" i="1"/>
  <c r="H261" i="1" s="1"/>
  <c r="D246" i="1"/>
  <c r="E300" i="1"/>
  <c r="D293" i="1"/>
  <c r="F260" i="1"/>
  <c r="F295" i="1"/>
  <c r="E297" i="1"/>
  <c r="F285" i="1"/>
  <c r="H285" i="1" s="1"/>
  <c r="F272" i="1"/>
  <c r="D269" i="1"/>
  <c r="F274" i="1"/>
  <c r="G274" i="1" s="1"/>
  <c r="J274" i="1" s="1"/>
  <c r="F112" i="1"/>
  <c r="D103" i="1"/>
  <c r="E194" i="1"/>
  <c r="E299" i="1"/>
  <c r="E266" i="1"/>
  <c r="F297" i="1"/>
  <c r="F293" i="1"/>
  <c r="G293" i="1" s="1"/>
  <c r="J293" i="1" s="1"/>
  <c r="F280" i="1"/>
  <c r="G280" i="1" s="1"/>
  <c r="J280" i="1" s="1"/>
  <c r="D256" i="1"/>
  <c r="F290" i="1"/>
  <c r="F277" i="1"/>
  <c r="E53" i="1"/>
  <c r="D292" i="1"/>
  <c r="E284" i="1"/>
  <c r="F292" i="1"/>
  <c r="H292" i="1" s="1"/>
  <c r="F298" i="1"/>
  <c r="H298" i="1" s="1"/>
  <c r="F296" i="1"/>
  <c r="H296" i="1" s="1"/>
  <c r="F278" i="1"/>
  <c r="E276" i="1"/>
  <c r="D270" i="1"/>
  <c r="F268" i="1"/>
  <c r="G268" i="1" s="1"/>
  <c r="J268" i="1" s="1"/>
  <c r="F257" i="1"/>
  <c r="F259" i="1"/>
  <c r="D31" i="1"/>
  <c r="D76" i="1"/>
  <c r="D45" i="1"/>
  <c r="D14" i="1"/>
  <c r="D29" i="1"/>
  <c r="E52" i="1"/>
  <c r="D74" i="1"/>
  <c r="E24" i="1"/>
  <c r="F243" i="1"/>
  <c r="D35" i="1"/>
  <c r="D48" i="1"/>
  <c r="D105" i="1"/>
  <c r="D190" i="1"/>
  <c r="E40" i="1"/>
  <c r="D203" i="1"/>
  <c r="D19" i="1"/>
  <c r="D128" i="1"/>
  <c r="E227" i="1"/>
  <c r="D137" i="1"/>
  <c r="E37" i="1"/>
  <c r="D72" i="1"/>
  <c r="D130" i="1"/>
  <c r="D69" i="1"/>
  <c r="E22" i="1"/>
  <c r="F30" i="1"/>
  <c r="D89" i="1"/>
  <c r="E3" i="1"/>
  <c r="D20" i="1"/>
  <c r="D27" i="1"/>
  <c r="E62" i="1"/>
  <c r="D88" i="1"/>
  <c r="D102" i="1"/>
  <c r="F254" i="1"/>
  <c r="D108" i="1"/>
  <c r="D214" i="1"/>
  <c r="E132" i="1"/>
  <c r="E230" i="1"/>
  <c r="F125" i="1"/>
  <c r="E42" i="1"/>
  <c r="D55" i="1"/>
  <c r="E51" i="1"/>
  <c r="D59" i="1"/>
  <c r="E165" i="1"/>
  <c r="D100" i="1"/>
  <c r="D18" i="1"/>
  <c r="E110" i="1"/>
  <c r="E23" i="1"/>
  <c r="D47" i="1"/>
  <c r="E15" i="1"/>
  <c r="D216" i="1"/>
  <c r="F3" i="1"/>
  <c r="D92" i="1"/>
  <c r="D50" i="1"/>
  <c r="F239" i="1"/>
  <c r="D148" i="1"/>
  <c r="D98" i="1"/>
  <c r="D33" i="1"/>
  <c r="E91" i="1"/>
  <c r="E61" i="1"/>
  <c r="D255" i="1"/>
  <c r="F250" i="1"/>
  <c r="F255" i="1"/>
  <c r="H255" i="1" s="1"/>
  <c r="D101" i="1"/>
  <c r="E104" i="1"/>
  <c r="D252" i="1"/>
  <c r="D238" i="1"/>
  <c r="F252" i="1"/>
  <c r="G252" i="1" s="1"/>
  <c r="J252" i="1" s="1"/>
  <c r="E64" i="1"/>
  <c r="F233" i="1"/>
  <c r="D9" i="1"/>
  <c r="D241" i="1"/>
  <c r="D179" i="1"/>
  <c r="F241" i="1"/>
  <c r="H241" i="1" s="1"/>
  <c r="F235" i="1"/>
  <c r="D71" i="1"/>
  <c r="F231" i="1"/>
  <c r="E30" i="1"/>
  <c r="E197" i="1"/>
  <c r="F90" i="1"/>
  <c r="G90" i="1" s="1"/>
  <c r="J90" i="1" s="1"/>
  <c r="F159" i="1"/>
  <c r="G159" i="1" s="1"/>
  <c r="J159" i="1" s="1"/>
  <c r="E234" i="1"/>
  <c r="E205" i="1"/>
  <c r="F205" i="1"/>
  <c r="F202" i="1"/>
  <c r="G202" i="1" s="1"/>
  <c r="J202" i="1" s="1"/>
  <c r="F187" i="1"/>
  <c r="F178" i="1"/>
  <c r="G178" i="1" s="1"/>
  <c r="J178" i="1" s="1"/>
  <c r="D172" i="1"/>
  <c r="D158" i="1"/>
  <c r="F136" i="1"/>
  <c r="H136" i="1" s="1"/>
  <c r="F183" i="1"/>
  <c r="G183" i="1" s="1"/>
  <c r="J183" i="1" s="1"/>
  <c r="E125" i="1"/>
  <c r="E243" i="1"/>
  <c r="F232" i="1"/>
  <c r="F162" i="1"/>
  <c r="D159" i="1"/>
  <c r="D86" i="1"/>
  <c r="D229" i="1"/>
  <c r="F64" i="1"/>
  <c r="F57" i="1"/>
  <c r="F216" i="1"/>
  <c r="H216" i="1" s="1"/>
  <c r="F8" i="1"/>
  <c r="E150" i="1"/>
  <c r="D207" i="1"/>
  <c r="E257" i="1"/>
  <c r="F217" i="1"/>
  <c r="H217" i="1" s="1"/>
  <c r="F126" i="1"/>
  <c r="D107" i="1"/>
  <c r="F251" i="1"/>
  <c r="F248" i="1"/>
  <c r="E244" i="1"/>
  <c r="E240" i="1"/>
  <c r="E164" i="1"/>
  <c r="D16" i="1"/>
  <c r="F106" i="1"/>
  <c r="F113" i="1"/>
  <c r="F81" i="1"/>
  <c r="F49" i="1"/>
  <c r="F244" i="1"/>
  <c r="D160" i="1"/>
  <c r="F227" i="1"/>
  <c r="F74" i="1"/>
  <c r="H74" i="1" s="1"/>
  <c r="F92" i="1"/>
  <c r="H92" i="1" s="1"/>
  <c r="F24" i="1"/>
  <c r="F137" i="1"/>
  <c r="H137" i="1" s="1"/>
  <c r="F98" i="1"/>
  <c r="H98" i="1" s="1"/>
  <c r="F83" i="1"/>
  <c r="F50" i="1"/>
  <c r="G50" i="1" s="1"/>
  <c r="J50" i="1" s="1"/>
  <c r="F19" i="1"/>
  <c r="G19" i="1" s="1"/>
  <c r="J19" i="1" s="1"/>
  <c r="F33" i="1"/>
  <c r="H33" i="1" s="1"/>
  <c r="D168" i="1"/>
  <c r="D21" i="1"/>
  <c r="F256" i="1"/>
  <c r="H256" i="1" s="1"/>
  <c r="F149" i="1"/>
  <c r="E222" i="1"/>
  <c r="F219" i="1"/>
  <c r="F197" i="1"/>
  <c r="D191" i="1"/>
  <c r="F185" i="1"/>
  <c r="H185" i="1" s="1"/>
  <c r="E162" i="1"/>
  <c r="F234" i="1"/>
  <c r="F222" i="1"/>
  <c r="F172" i="1"/>
  <c r="H172" i="1" s="1"/>
  <c r="F193" i="1"/>
  <c r="F114" i="1"/>
  <c r="D161" i="1"/>
  <c r="E232" i="1"/>
  <c r="E57" i="1"/>
  <c r="F208" i="1"/>
  <c r="F96" i="1"/>
  <c r="D183" i="1"/>
  <c r="F169" i="1"/>
  <c r="G169" i="1" s="1"/>
  <c r="J169" i="1" s="1"/>
  <c r="F161" i="1"/>
  <c r="G161" i="1" s="1"/>
  <c r="J161" i="1" s="1"/>
  <c r="E213" i="1"/>
  <c r="D143" i="1"/>
  <c r="D166" i="1"/>
  <c r="F134" i="1"/>
  <c r="F238" i="1"/>
  <c r="H238" i="1" s="1"/>
  <c r="D171" i="1"/>
  <c r="E17" i="1"/>
  <c r="F240" i="1"/>
  <c r="E233" i="1"/>
  <c r="F109" i="1"/>
  <c r="E231" i="1"/>
  <c r="E147" i="1"/>
  <c r="D220" i="1"/>
  <c r="E195" i="1"/>
  <c r="D116" i="1"/>
  <c r="D156" i="1"/>
  <c r="F218" i="1"/>
  <c r="F116" i="1"/>
  <c r="G116" i="1" s="1"/>
  <c r="J116" i="1" s="1"/>
  <c r="F184" i="1"/>
  <c r="G184" i="1" s="1"/>
  <c r="J184" i="1" s="1"/>
  <c r="F170" i="1"/>
  <c r="D157" i="1"/>
  <c r="F12" i="1"/>
  <c r="H12" i="1" s="1"/>
  <c r="F174" i="1"/>
  <c r="H174" i="1" s="1"/>
  <c r="F111" i="1"/>
  <c r="H111" i="1" s="1"/>
  <c r="F26" i="1"/>
  <c r="F9" i="1"/>
  <c r="H9" i="1" s="1"/>
  <c r="F70" i="1"/>
  <c r="H70" i="1" s="1"/>
  <c r="F79" i="1"/>
  <c r="G79" i="1" s="1"/>
  <c r="J79" i="1" s="1"/>
  <c r="F71" i="1"/>
  <c r="G71" i="1" s="1"/>
  <c r="J71" i="1" s="1"/>
  <c r="F66" i="1"/>
  <c r="G66" i="1" s="1"/>
  <c r="J66" i="1" s="1"/>
  <c r="F82" i="1"/>
  <c r="G82" i="1" s="1"/>
  <c r="J82" i="1" s="1"/>
  <c r="D169" i="1"/>
  <c r="F156" i="1"/>
  <c r="H156" i="1" s="1"/>
  <c r="F139" i="1"/>
  <c r="E138" i="1"/>
  <c r="F192" i="1"/>
  <c r="F182" i="1"/>
  <c r="E112" i="1"/>
  <c r="E196" i="1"/>
  <c r="F173" i="1"/>
  <c r="H173" i="1" s="1"/>
  <c r="D228" i="1"/>
  <c r="F46" i="1"/>
  <c r="E87" i="1"/>
  <c r="F56" i="1"/>
  <c r="H56" i="1" s="1"/>
  <c r="F204" i="1"/>
  <c r="F121" i="1"/>
  <c r="E198" i="1"/>
  <c r="D90" i="1"/>
  <c r="D184" i="1"/>
  <c r="D173" i="1"/>
  <c r="F228" i="1"/>
  <c r="G228" i="1" s="1"/>
  <c r="J228" i="1" s="1"/>
  <c r="F151" i="1"/>
  <c r="D136" i="1"/>
  <c r="F60" i="1"/>
  <c r="G60" i="1" s="1"/>
  <c r="J60" i="1" s="1"/>
  <c r="F221" i="1"/>
  <c r="H221" i="1" s="1"/>
  <c r="F198" i="1"/>
  <c r="F146" i="1"/>
  <c r="H146" i="1" s="1"/>
  <c r="E193" i="1"/>
  <c r="D221" i="1"/>
  <c r="F186" i="1"/>
  <c r="F181" i="1"/>
  <c r="D146" i="1"/>
  <c r="F133" i="1"/>
  <c r="D210" i="1"/>
  <c r="F223" i="1"/>
  <c r="F6" i="1"/>
  <c r="F195" i="1"/>
  <c r="F213" i="1"/>
  <c r="F43" i="1"/>
  <c r="F135" i="1"/>
  <c r="D120" i="1"/>
  <c r="F220" i="1"/>
  <c r="G220" i="1" s="1"/>
  <c r="J220" i="1" s="1"/>
  <c r="F158" i="1"/>
  <c r="H158" i="1" s="1"/>
  <c r="D185" i="1"/>
  <c r="F180" i="1"/>
  <c r="D155" i="1"/>
  <c r="F145" i="1"/>
  <c r="E43" i="1"/>
  <c r="E114" i="1"/>
  <c r="F199" i="1"/>
  <c r="E200" i="1"/>
  <c r="F147" i="1"/>
  <c r="F17" i="1"/>
  <c r="D60" i="1"/>
  <c r="E219" i="1"/>
  <c r="E215" i="1"/>
  <c r="F207" i="1"/>
  <c r="H207" i="1" s="1"/>
  <c r="F179" i="1"/>
  <c r="H179" i="1" s="1"/>
  <c r="F160" i="1"/>
  <c r="H160" i="1" s="1"/>
  <c r="E41" i="1"/>
  <c r="F225" i="1"/>
  <c r="E186" i="1"/>
  <c r="F176" i="1"/>
  <c r="F166" i="1"/>
  <c r="H166" i="1" s="1"/>
  <c r="F163" i="1"/>
  <c r="F226" i="1"/>
  <c r="F215" i="1"/>
  <c r="E46" i="1"/>
  <c r="E134" i="1"/>
  <c r="F132" i="1"/>
  <c r="F194" i="1"/>
  <c r="F110" i="1"/>
  <c r="F130" i="1"/>
  <c r="F214" i="1"/>
  <c r="H214" i="1" s="1"/>
  <c r="F62" i="1"/>
  <c r="F87" i="1"/>
  <c r="F51" i="1"/>
  <c r="F23" i="1"/>
  <c r="F53" i="1"/>
  <c r="F138" i="1"/>
  <c r="F206" i="1"/>
  <c r="D202" i="1"/>
  <c r="F196" i="1"/>
  <c r="F168" i="1"/>
  <c r="G168" i="1" s="1"/>
  <c r="J168" i="1" s="1"/>
  <c r="F142" i="1"/>
  <c r="G142" i="1" s="1"/>
  <c r="J142" i="1" s="1"/>
  <c r="E208" i="1"/>
  <c r="E204" i="1"/>
  <c r="E182" i="1"/>
  <c r="E180" i="1"/>
  <c r="F65" i="1"/>
  <c r="F41" i="1"/>
  <c r="F107" i="1"/>
  <c r="G107" i="1" s="1"/>
  <c r="J107" i="1" s="1"/>
  <c r="F203" i="1"/>
  <c r="G203" i="1" s="1"/>
  <c r="J203" i="1" s="1"/>
  <c r="F86" i="1"/>
  <c r="H86" i="1" s="1"/>
  <c r="F16" i="1"/>
  <c r="F229" i="1"/>
  <c r="H229" i="1" s="1"/>
  <c r="F29" i="1"/>
  <c r="H29" i="1" s="1"/>
  <c r="F76" i="1"/>
  <c r="H76" i="1" s="1"/>
  <c r="F31" i="1"/>
  <c r="H31" i="1" s="1"/>
  <c r="F44" i="1"/>
  <c r="H44" i="1" s="1"/>
  <c r="F175" i="1"/>
  <c r="F201" i="1"/>
  <c r="F153" i="1"/>
  <c r="F105" i="1"/>
  <c r="G105" i="1" s="1"/>
  <c r="J105" i="1" s="1"/>
  <c r="F124" i="1"/>
  <c r="F52" i="1"/>
  <c r="F211" i="1"/>
  <c r="F167" i="1"/>
  <c r="F157" i="1"/>
  <c r="G157" i="1" s="1"/>
  <c r="J157" i="1" s="1"/>
  <c r="F155" i="1"/>
  <c r="H155" i="1" s="1"/>
  <c r="F210" i="1"/>
  <c r="H210" i="1" s="1"/>
  <c r="F150" i="1"/>
  <c r="E135" i="1"/>
  <c r="F177" i="1"/>
  <c r="F171" i="1"/>
  <c r="G171" i="1" s="1"/>
  <c r="J171" i="1" s="1"/>
  <c r="E133" i="1"/>
  <c r="F7" i="1"/>
  <c r="F191" i="1"/>
  <c r="H191" i="1" s="1"/>
  <c r="F200" i="1"/>
  <c r="F164" i="1"/>
  <c r="F143" i="1"/>
  <c r="G143" i="1" s="1"/>
  <c r="J143" i="1" s="1"/>
  <c r="E251" i="1"/>
  <c r="D218" i="1"/>
  <c r="E218" i="1"/>
  <c r="D236" i="1"/>
  <c r="E236" i="1"/>
  <c r="D223" i="1"/>
  <c r="E223" i="1"/>
  <c r="E277" i="1"/>
  <c r="D277" i="1"/>
  <c r="D253" i="1"/>
  <c r="E253" i="1"/>
  <c r="D149" i="1"/>
  <c r="E149" i="1"/>
  <c r="D260" i="1"/>
  <c r="E260" i="1"/>
  <c r="F249" i="1"/>
  <c r="D263" i="1"/>
  <c r="E263" i="1"/>
  <c r="E254" i="1"/>
  <c r="F237" i="1"/>
  <c r="E109" i="1"/>
  <c r="F63" i="1"/>
  <c r="F212" i="1"/>
  <c r="D39" i="1"/>
  <c r="E39" i="1"/>
  <c r="D278" i="1"/>
  <c r="E278" i="1"/>
  <c r="E282" i="1"/>
  <c r="E271" i="1"/>
  <c r="D264" i="1"/>
  <c r="D247" i="1"/>
  <c r="E247" i="1"/>
  <c r="D239" i="1"/>
  <c r="E239" i="1"/>
  <c r="F141" i="1"/>
  <c r="F279" i="1"/>
  <c r="D261" i="1"/>
  <c r="D258" i="1"/>
  <c r="E258" i="1"/>
  <c r="H258" i="1" s="1"/>
  <c r="E237" i="1"/>
  <c r="D237" i="1"/>
  <c r="D212" i="1"/>
  <c r="E212" i="1"/>
  <c r="E201" i="1"/>
  <c r="D201" i="1"/>
  <c r="D176" i="1"/>
  <c r="E176" i="1"/>
  <c r="F291" i="1"/>
  <c r="E283" i="1"/>
  <c r="D10" i="1"/>
  <c r="E10" i="1"/>
  <c r="E295" i="1"/>
  <c r="D280" i="1"/>
  <c r="E272" i="1"/>
  <c r="D259" i="1"/>
  <c r="E259" i="1"/>
  <c r="E250" i="1"/>
  <c r="D250" i="1"/>
  <c r="D248" i="1"/>
  <c r="E248" i="1"/>
  <c r="E225" i="1"/>
  <c r="D225" i="1"/>
  <c r="E289" i="1"/>
  <c r="D289" i="1"/>
  <c r="D290" i="1"/>
  <c r="E290" i="1"/>
  <c r="D279" i="1"/>
  <c r="E279" i="1"/>
  <c r="D291" i="1"/>
  <c r="E291" i="1"/>
  <c r="F269" i="1"/>
  <c r="H269" i="1" s="1"/>
  <c r="E121" i="1"/>
  <c r="D121" i="1"/>
  <c r="D211" i="1"/>
  <c r="E211" i="1"/>
  <c r="D175" i="1"/>
  <c r="E175" i="1"/>
  <c r="D140" i="1"/>
  <c r="E140" i="1"/>
  <c r="D187" i="1"/>
  <c r="E187" i="1"/>
  <c r="D151" i="1"/>
  <c r="E151" i="1"/>
  <c r="D226" i="1"/>
  <c r="E226" i="1"/>
  <c r="F188" i="1"/>
  <c r="F152" i="1"/>
  <c r="E141" i="1"/>
  <c r="D141" i="1"/>
  <c r="E249" i="1"/>
  <c r="D249" i="1"/>
  <c r="E6" i="1"/>
  <c r="D6" i="1"/>
  <c r="D188" i="1"/>
  <c r="E188" i="1"/>
  <c r="D152" i="1"/>
  <c r="E152" i="1"/>
  <c r="D235" i="1"/>
  <c r="E235" i="1"/>
  <c r="E206" i="1"/>
  <c r="E7" i="1"/>
  <c r="D199" i="1"/>
  <c r="E199" i="1"/>
  <c r="E192" i="1"/>
  <c r="E181" i="1"/>
  <c r="E170" i="1"/>
  <c r="E167" i="1"/>
  <c r="D163" i="1"/>
  <c r="E163" i="1"/>
  <c r="E8" i="1"/>
  <c r="E145" i="1"/>
  <c r="D142" i="1"/>
  <c r="D124" i="1"/>
  <c r="E124" i="1"/>
  <c r="F262" i="1"/>
  <c r="F236" i="1"/>
  <c r="D56" i="1"/>
  <c r="F39" i="1"/>
  <c r="D178" i="1"/>
  <c r="F4" i="1"/>
  <c r="D139" i="1"/>
  <c r="E139" i="1"/>
  <c r="D63" i="1"/>
  <c r="E63" i="1"/>
  <c r="E177" i="1"/>
  <c r="D177" i="1"/>
  <c r="F140" i="1"/>
  <c r="E96" i="1"/>
  <c r="D96" i="1"/>
  <c r="D4" i="1"/>
  <c r="E4" i="1"/>
  <c r="E153" i="1"/>
  <c r="D153" i="1"/>
  <c r="D217" i="1"/>
  <c r="E126" i="1"/>
  <c r="D97" i="1"/>
  <c r="D118" i="1"/>
  <c r="D224" i="1"/>
  <c r="E32" i="1"/>
  <c r="D245" i="1"/>
  <c r="E131" i="1"/>
  <c r="D174" i="1"/>
  <c r="D34" i="1"/>
  <c r="D154" i="1"/>
  <c r="D12" i="1"/>
  <c r="D79" i="1"/>
  <c r="D82" i="1"/>
  <c r="D66" i="1"/>
  <c r="D5" i="1"/>
  <c r="D26" i="1"/>
  <c r="D70" i="1"/>
  <c r="D38" i="1"/>
  <c r="E49" i="1"/>
  <c r="F27" i="1"/>
  <c r="G27" i="1" s="1"/>
  <c r="J27" i="1" s="1"/>
  <c r="F88" i="1"/>
  <c r="H88" i="1" s="1"/>
  <c r="F108" i="1"/>
  <c r="G108" i="1" s="1"/>
  <c r="J108" i="1" s="1"/>
  <c r="F165" i="1"/>
  <c r="F14" i="1"/>
  <c r="F20" i="1"/>
  <c r="H20" i="1" s="1"/>
  <c r="F22" i="1"/>
  <c r="F42" i="1"/>
  <c r="F230" i="1"/>
  <c r="F55" i="1"/>
  <c r="G55" i="1" s="1"/>
  <c r="J55" i="1" s="1"/>
  <c r="F59" i="1"/>
  <c r="G59" i="1" s="1"/>
  <c r="J59" i="1" s="1"/>
  <c r="D111" i="1"/>
  <c r="D115" i="1"/>
  <c r="D75" i="1"/>
  <c r="E54" i="1"/>
  <c r="F118" i="1"/>
  <c r="H118" i="1" s="1"/>
  <c r="F97" i="1"/>
  <c r="G97" i="1" s="1"/>
  <c r="J97" i="1" s="1"/>
  <c r="F224" i="1"/>
  <c r="H224" i="1" s="1"/>
  <c r="F115" i="1"/>
  <c r="F21" i="1"/>
  <c r="G21" i="1" s="1"/>
  <c r="J21" i="1" s="1"/>
  <c r="F103" i="1"/>
  <c r="F75" i="1"/>
  <c r="G75" i="1" s="1"/>
  <c r="J75" i="1" s="1"/>
  <c r="F35" i="1"/>
  <c r="G35" i="1" s="1"/>
  <c r="J35" i="1" s="1"/>
  <c r="F48" i="1"/>
  <c r="F89" i="1"/>
  <c r="G89" i="1" s="1"/>
  <c r="J89" i="1" s="1"/>
  <c r="E113" i="1"/>
  <c r="F120" i="1"/>
  <c r="H120" i="1" s="1"/>
  <c r="F131" i="1"/>
  <c r="F45" i="1"/>
  <c r="G45" i="1" s="1"/>
  <c r="J45" i="1" s="1"/>
  <c r="E81" i="1"/>
  <c r="D73" i="1"/>
  <c r="F85" i="1"/>
  <c r="F144" i="1"/>
  <c r="F32" i="1"/>
  <c r="F69" i="1"/>
  <c r="G69" i="1" s="1"/>
  <c r="J69" i="1" s="1"/>
  <c r="D28" i="1"/>
  <c r="E85" i="1"/>
  <c r="D122" i="1"/>
  <c r="D36" i="1"/>
  <c r="F190" i="1"/>
  <c r="H190" i="1" s="1"/>
  <c r="F37" i="1"/>
  <c r="F128" i="1"/>
  <c r="H128" i="1" s="1"/>
  <c r="F91" i="1"/>
  <c r="F104" i="1"/>
  <c r="F72" i="1"/>
  <c r="G72" i="1" s="1"/>
  <c r="J72" i="1" s="1"/>
  <c r="F15" i="1"/>
  <c r="F47" i="1"/>
  <c r="H47" i="1" s="1"/>
  <c r="F40" i="1"/>
  <c r="D209" i="1"/>
  <c r="D99" i="1"/>
  <c r="E144" i="1"/>
  <c r="D67" i="1"/>
  <c r="F119" i="1"/>
  <c r="G119" i="1" s="1"/>
  <c r="J119" i="1" s="1"/>
  <c r="F154" i="1"/>
  <c r="H154" i="1" s="1"/>
  <c r="F245" i="1"/>
  <c r="G245" i="1" s="1"/>
  <c r="J245" i="1" s="1"/>
  <c r="F25" i="1"/>
  <c r="F11" i="1"/>
  <c r="F80" i="1"/>
  <c r="F95" i="1"/>
  <c r="G95" i="1" s="1"/>
  <c r="J95" i="1" s="1"/>
  <c r="F34" i="1"/>
  <c r="G34" i="1" s="1"/>
  <c r="J34" i="1" s="1"/>
  <c r="F101" i="1"/>
  <c r="H101" i="1" s="1"/>
  <c r="F58" i="1"/>
  <c r="G58" i="1" s="1"/>
  <c r="J58" i="1" s="1"/>
  <c r="E106" i="1"/>
  <c r="F189" i="1"/>
  <c r="F68" i="1"/>
  <c r="F54" i="1"/>
  <c r="F246" i="1"/>
  <c r="G246" i="1" s="1"/>
  <c r="J246" i="1" s="1"/>
  <c r="F148" i="1"/>
  <c r="G148" i="1" s="1"/>
  <c r="J148" i="1" s="1"/>
  <c r="F102" i="1"/>
  <c r="G102" i="1" s="1"/>
  <c r="J102" i="1" s="1"/>
  <c r="F100" i="1"/>
  <c r="G100" i="1" s="1"/>
  <c r="J100" i="1" s="1"/>
  <c r="F61" i="1"/>
  <c r="F18" i="1"/>
  <c r="G18" i="1" s="1"/>
  <c r="J18" i="1" s="1"/>
  <c r="D80" i="1"/>
  <c r="E68" i="1"/>
  <c r="D119" i="1"/>
  <c r="D95" i="1"/>
  <c r="D11" i="1"/>
  <c r="D117" i="1"/>
  <c r="D25" i="1"/>
  <c r="D58" i="1"/>
  <c r="E189" i="1"/>
  <c r="E123" i="1"/>
  <c r="E242" i="1"/>
  <c r="E127" i="1"/>
  <c r="E129" i="1"/>
  <c r="E13" i="1"/>
  <c r="E84" i="1"/>
  <c r="E94" i="1"/>
  <c r="E77" i="1"/>
  <c r="E78" i="1"/>
  <c r="E93" i="1"/>
  <c r="F122" i="1"/>
  <c r="H122" i="1" s="1"/>
  <c r="F209" i="1"/>
  <c r="H209" i="1" s="1"/>
  <c r="F117" i="1"/>
  <c r="H117" i="1" s="1"/>
  <c r="F5" i="1"/>
  <c r="F99" i="1"/>
  <c r="G99" i="1" s="1"/>
  <c r="J99" i="1" s="1"/>
  <c r="F28" i="1"/>
  <c r="H28" i="1" s="1"/>
  <c r="F73" i="1"/>
  <c r="G73" i="1" s="1"/>
  <c r="J73" i="1" s="1"/>
  <c r="F38" i="1"/>
  <c r="G38" i="1" s="1"/>
  <c r="J38" i="1" s="1"/>
  <c r="F67" i="1"/>
  <c r="H67" i="1" s="1"/>
  <c r="F36" i="1"/>
  <c r="H36" i="1" s="1"/>
  <c r="F123" i="1"/>
  <c r="F242" i="1"/>
  <c r="F127" i="1"/>
  <c r="F129" i="1"/>
  <c r="F13" i="1"/>
  <c r="F84" i="1"/>
  <c r="F94" i="1"/>
  <c r="F77" i="1"/>
  <c r="F78" i="1"/>
  <c r="F93" i="1"/>
  <c r="H287" i="1" l="1"/>
  <c r="H284" i="1"/>
  <c r="H219" i="1"/>
  <c r="H212" i="1"/>
  <c r="H46" i="1"/>
  <c r="H10" i="1"/>
  <c r="H94" i="1"/>
  <c r="H225" i="1"/>
  <c r="H4" i="1"/>
  <c r="H143" i="1"/>
  <c r="H123" i="1"/>
  <c r="H215" i="1"/>
  <c r="H195" i="1"/>
  <c r="H275" i="1"/>
  <c r="H62" i="1"/>
  <c r="H227" i="1"/>
  <c r="H52" i="1"/>
  <c r="G216" i="1"/>
  <c r="J216" i="1" s="1"/>
  <c r="H110" i="1"/>
  <c r="H32" i="1"/>
  <c r="H91" i="1"/>
  <c r="H189" i="1"/>
  <c r="H249" i="1"/>
  <c r="H213" i="1"/>
  <c r="H234" i="1"/>
  <c r="H297" i="1"/>
  <c r="H130" i="1"/>
  <c r="H60" i="1"/>
  <c r="H183" i="1"/>
  <c r="H73" i="1"/>
  <c r="H186" i="1"/>
  <c r="H164" i="1"/>
  <c r="H104" i="1"/>
  <c r="H194" i="1"/>
  <c r="H16" i="1"/>
  <c r="H82" i="1"/>
  <c r="H289" i="1"/>
  <c r="H294" i="1"/>
  <c r="H68" i="1"/>
  <c r="H188" i="1"/>
  <c r="H176" i="1"/>
  <c r="H40" i="1"/>
  <c r="H14" i="1"/>
  <c r="H59" i="1"/>
  <c r="H142" i="1"/>
  <c r="H286" i="1"/>
  <c r="H169" i="1"/>
  <c r="G292" i="1"/>
  <c r="H192" i="1"/>
  <c r="H220" i="1"/>
  <c r="H25" i="1"/>
  <c r="H65" i="1"/>
  <c r="H293" i="1"/>
  <c r="H203" i="1"/>
  <c r="G263" i="1"/>
  <c r="H263" i="1"/>
  <c r="G251" i="1"/>
  <c r="J251" i="1" s="1"/>
  <c r="K251" i="1" s="1"/>
  <c r="L251" i="1" s="1"/>
  <c r="H251" i="1"/>
  <c r="G13" i="1"/>
  <c r="J13" i="1" s="1"/>
  <c r="H13" i="1"/>
  <c r="G232" i="1"/>
  <c r="J232" i="1" s="1"/>
  <c r="H232" i="1"/>
  <c r="G244" i="1"/>
  <c r="J244" i="1" s="1"/>
  <c r="K244" i="1" s="1"/>
  <c r="L244" i="1" s="1"/>
  <c r="H244" i="1"/>
  <c r="G129" i="1"/>
  <c r="J129" i="1" s="1"/>
  <c r="H129" i="1"/>
  <c r="G127" i="1"/>
  <c r="J127" i="1" s="1"/>
  <c r="H127" i="1"/>
  <c r="H242" i="1"/>
  <c r="G96" i="1"/>
  <c r="J96" i="1" s="1"/>
  <c r="H96" i="1"/>
  <c r="H6" i="1"/>
  <c r="H279" i="1"/>
  <c r="G259" i="1"/>
  <c r="J259" i="1" s="1"/>
  <c r="H259" i="1"/>
  <c r="H201" i="1"/>
  <c r="G247" i="1"/>
  <c r="H247" i="1"/>
  <c r="G277" i="1"/>
  <c r="J277" i="1" s="1"/>
  <c r="H277" i="1"/>
  <c r="G134" i="1"/>
  <c r="J134" i="1" s="1"/>
  <c r="H134" i="1"/>
  <c r="H196" i="1"/>
  <c r="H61" i="1"/>
  <c r="H23" i="1"/>
  <c r="H80" i="1"/>
  <c r="H50" i="1"/>
  <c r="H288" i="1"/>
  <c r="H35" i="1"/>
  <c r="H171" i="1"/>
  <c r="H105" i="1"/>
  <c r="H202" i="1"/>
  <c r="G177" i="1"/>
  <c r="J177" i="1" s="1"/>
  <c r="H177" i="1"/>
  <c r="G7" i="1"/>
  <c r="J7" i="1" s="1"/>
  <c r="H7" i="1"/>
  <c r="G175" i="1"/>
  <c r="J175" i="1" s="1"/>
  <c r="H175" i="1"/>
  <c r="G271" i="1"/>
  <c r="H271" i="1"/>
  <c r="G236" i="1"/>
  <c r="J236" i="1" s="1"/>
  <c r="H236" i="1"/>
  <c r="H147" i="1"/>
  <c r="G257" i="1"/>
  <c r="H257" i="1"/>
  <c r="G243" i="1"/>
  <c r="J243" i="1" s="1"/>
  <c r="K243" i="1" s="1"/>
  <c r="L243" i="1" s="1"/>
  <c r="H243" i="1"/>
  <c r="H64" i="1"/>
  <c r="H37" i="1"/>
  <c r="H24" i="1"/>
  <c r="G276" i="1"/>
  <c r="J276" i="1" s="1"/>
  <c r="K276" i="1" s="1"/>
  <c r="L276" i="1" s="1"/>
  <c r="H276" i="1"/>
  <c r="H26" i="1"/>
  <c r="H252" i="1"/>
  <c r="H55" i="1"/>
  <c r="H108" i="1"/>
  <c r="H66" i="1"/>
  <c r="H228" i="1"/>
  <c r="G199" i="1"/>
  <c r="J199" i="1" s="1"/>
  <c r="H199" i="1"/>
  <c r="G223" i="1"/>
  <c r="J223" i="1" s="1"/>
  <c r="H223" i="1"/>
  <c r="H58" i="1"/>
  <c r="H107" i="1"/>
  <c r="H93" i="1"/>
  <c r="G63" i="1"/>
  <c r="J63" i="1" s="1"/>
  <c r="H63" i="1"/>
  <c r="G206" i="1"/>
  <c r="J206" i="1" s="1"/>
  <c r="H206" i="1"/>
  <c r="H141" i="1"/>
  <c r="G295" i="1"/>
  <c r="J295" i="1" s="1"/>
  <c r="K295" i="1" s="1"/>
  <c r="L295" i="1" s="1"/>
  <c r="H295" i="1"/>
  <c r="G237" i="1"/>
  <c r="J237" i="1" s="1"/>
  <c r="H237" i="1"/>
  <c r="G282" i="1"/>
  <c r="J282" i="1" s="1"/>
  <c r="K282" i="1" s="1"/>
  <c r="L282" i="1" s="1"/>
  <c r="H282" i="1"/>
  <c r="G135" i="1"/>
  <c r="J135" i="1" s="1"/>
  <c r="H135" i="1"/>
  <c r="G180" i="1"/>
  <c r="J180" i="1" s="1"/>
  <c r="H180" i="1"/>
  <c r="G198" i="1"/>
  <c r="J198" i="1" s="1"/>
  <c r="H198" i="1"/>
  <c r="G138" i="1"/>
  <c r="J138" i="1" s="1"/>
  <c r="H138" i="1"/>
  <c r="G231" i="1"/>
  <c r="J231" i="1" s="1"/>
  <c r="H231" i="1"/>
  <c r="G162" i="1"/>
  <c r="J162" i="1" s="1"/>
  <c r="H162" i="1"/>
  <c r="H125" i="1"/>
  <c r="H165" i="1"/>
  <c r="H11" i="1"/>
  <c r="H245" i="1"/>
  <c r="H27" i="1"/>
  <c r="H168" i="1"/>
  <c r="H34" i="1"/>
  <c r="H71" i="1"/>
  <c r="H157" i="1"/>
  <c r="H197" i="1"/>
  <c r="K267" i="1"/>
  <c r="L267" i="1" s="1"/>
  <c r="H83" i="1"/>
  <c r="H267" i="1"/>
  <c r="H18" i="1"/>
  <c r="H95" i="1"/>
  <c r="H79" i="1"/>
  <c r="H45" i="1"/>
  <c r="G112" i="1"/>
  <c r="J112" i="1" s="1"/>
  <c r="H112" i="1"/>
  <c r="G124" i="1"/>
  <c r="J124" i="1" s="1"/>
  <c r="H124" i="1"/>
  <c r="G235" i="1"/>
  <c r="J235" i="1" s="1"/>
  <c r="H235" i="1"/>
  <c r="G278" i="1"/>
  <c r="H278" i="1"/>
  <c r="G260" i="1"/>
  <c r="J260" i="1" s="1"/>
  <c r="K260" i="1" s="1"/>
  <c r="L260" i="1" s="1"/>
  <c r="H260" i="1"/>
  <c r="G218" i="1"/>
  <c r="J218" i="1" s="1"/>
  <c r="H218" i="1"/>
  <c r="G182" i="1"/>
  <c r="J182" i="1" s="1"/>
  <c r="H182" i="1"/>
  <c r="G193" i="1"/>
  <c r="J193" i="1" s="1"/>
  <c r="H193" i="1"/>
  <c r="H150" i="1"/>
  <c r="G266" i="1"/>
  <c r="J266" i="1" s="1"/>
  <c r="K266" i="1" s="1"/>
  <c r="L266" i="1" s="1"/>
  <c r="H266" i="1"/>
  <c r="G77" i="1"/>
  <c r="J77" i="1" s="1"/>
  <c r="H77" i="1"/>
  <c r="G139" i="1"/>
  <c r="J139" i="1" s="1"/>
  <c r="H139" i="1"/>
  <c r="G8" i="1"/>
  <c r="J8" i="1" s="1"/>
  <c r="H8" i="1"/>
  <c r="G204" i="1"/>
  <c r="J204" i="1" s="1"/>
  <c r="H204" i="1"/>
  <c r="G200" i="1"/>
  <c r="J200" i="1" s="1"/>
  <c r="H200" i="1"/>
  <c r="G233" i="1"/>
  <c r="J233" i="1" s="1"/>
  <c r="H233" i="1"/>
  <c r="G30" i="1"/>
  <c r="J30" i="1" s="1"/>
  <c r="H30" i="1"/>
  <c r="H51" i="1"/>
  <c r="G299" i="1"/>
  <c r="H299" i="1"/>
  <c r="H300" i="1"/>
  <c r="H5" i="1"/>
  <c r="G44" i="1"/>
  <c r="J44" i="1" s="1"/>
  <c r="H161" i="1"/>
  <c r="H21" i="1"/>
  <c r="H119" i="1"/>
  <c r="H69" i="1"/>
  <c r="H140" i="1"/>
  <c r="G133" i="1"/>
  <c r="J133" i="1" s="1"/>
  <c r="H133" i="1"/>
  <c r="G290" i="1"/>
  <c r="H290" i="1"/>
  <c r="G78" i="1"/>
  <c r="J78" i="1" s="1"/>
  <c r="H78" i="1"/>
  <c r="G126" i="1"/>
  <c r="J126" i="1" s="1"/>
  <c r="H126" i="1"/>
  <c r="G211" i="1"/>
  <c r="J211" i="1" s="1"/>
  <c r="H211" i="1"/>
  <c r="G163" i="1"/>
  <c r="J163" i="1" s="1"/>
  <c r="H163" i="1"/>
  <c r="H102" i="1"/>
  <c r="H100" i="1"/>
  <c r="H99" i="1"/>
  <c r="H268" i="1"/>
  <c r="G254" i="1"/>
  <c r="J254" i="1" s="1"/>
  <c r="K254" i="1" s="1"/>
  <c r="L254" i="1" s="1"/>
  <c r="H254" i="1"/>
  <c r="G272" i="1"/>
  <c r="H272" i="1"/>
  <c r="G145" i="1"/>
  <c r="J145" i="1" s="1"/>
  <c r="H145" i="1"/>
  <c r="G283" i="1"/>
  <c r="H283" i="1"/>
  <c r="G84" i="1"/>
  <c r="J84" i="1" s="1"/>
  <c r="H84" i="1"/>
  <c r="G106" i="1"/>
  <c r="J106" i="1" s="1"/>
  <c r="H106" i="1"/>
  <c r="G144" i="1"/>
  <c r="J144" i="1" s="1"/>
  <c r="H144" i="1"/>
  <c r="H54" i="1"/>
  <c r="G153" i="1"/>
  <c r="J153" i="1" s="1"/>
  <c r="H153" i="1"/>
  <c r="G121" i="1"/>
  <c r="J121" i="1" s="1"/>
  <c r="H121" i="1"/>
  <c r="G248" i="1"/>
  <c r="J248" i="1" s="1"/>
  <c r="K248" i="1" s="1"/>
  <c r="L248" i="1" s="1"/>
  <c r="H248" i="1"/>
  <c r="G114" i="1"/>
  <c r="J114" i="1" s="1"/>
  <c r="H114" i="1"/>
  <c r="G87" i="1"/>
  <c r="J87" i="1" s="1"/>
  <c r="H87" i="1"/>
  <c r="G17" i="1"/>
  <c r="J17" i="1" s="1"/>
  <c r="H17" i="1"/>
  <c r="G57" i="1"/>
  <c r="J57" i="1" s="1"/>
  <c r="H57" i="1"/>
  <c r="G240" i="1"/>
  <c r="J240" i="1" s="1"/>
  <c r="K240" i="1" s="1"/>
  <c r="L240" i="1" s="1"/>
  <c r="H240" i="1"/>
  <c r="G42" i="1"/>
  <c r="J42" i="1" s="1"/>
  <c r="H42" i="1"/>
  <c r="H3" i="1"/>
  <c r="G262" i="1"/>
  <c r="H262" i="1"/>
  <c r="H48" i="1"/>
  <c r="H148" i="1"/>
  <c r="H97" i="1"/>
  <c r="H270" i="1"/>
  <c r="H274" i="1"/>
  <c r="G205" i="1"/>
  <c r="J205" i="1" s="1"/>
  <c r="H205" i="1"/>
  <c r="G226" i="1"/>
  <c r="J226" i="1" s="1"/>
  <c r="H226" i="1"/>
  <c r="G208" i="1"/>
  <c r="J208" i="1" s="1"/>
  <c r="H208" i="1"/>
  <c r="G253" i="1"/>
  <c r="H253" i="1"/>
  <c r="G41" i="1"/>
  <c r="J41" i="1" s="1"/>
  <c r="H41" i="1"/>
  <c r="G281" i="1"/>
  <c r="H281" i="1"/>
  <c r="H265" i="1"/>
  <c r="H246" i="1"/>
  <c r="H178" i="1"/>
  <c r="H280" i="1"/>
  <c r="H75" i="1"/>
  <c r="G149" i="1"/>
  <c r="J149" i="1" s="1"/>
  <c r="H149" i="1"/>
  <c r="G167" i="1"/>
  <c r="J167" i="1" s="1"/>
  <c r="H167" i="1"/>
  <c r="G222" i="1"/>
  <c r="J222" i="1" s="1"/>
  <c r="H222" i="1"/>
  <c r="H85" i="1"/>
  <c r="G170" i="1"/>
  <c r="J170" i="1" s="1"/>
  <c r="H170" i="1"/>
  <c r="H291" i="1"/>
  <c r="G239" i="1"/>
  <c r="J239" i="1" s="1"/>
  <c r="H239" i="1"/>
  <c r="H15" i="1"/>
  <c r="H230" i="1"/>
  <c r="H53" i="1"/>
  <c r="H103" i="1"/>
  <c r="H72" i="1"/>
  <c r="H184" i="1"/>
  <c r="G81" i="1"/>
  <c r="J81" i="1" s="1"/>
  <c r="H81" i="1"/>
  <c r="G152" i="1"/>
  <c r="J152" i="1" s="1"/>
  <c r="H152" i="1"/>
  <c r="G39" i="1"/>
  <c r="J39" i="1" s="1"/>
  <c r="H39" i="1"/>
  <c r="G113" i="1"/>
  <c r="J113" i="1" s="1"/>
  <c r="H113" i="1"/>
  <c r="G151" i="1"/>
  <c r="J151" i="1" s="1"/>
  <c r="H151" i="1"/>
  <c r="G43" i="1"/>
  <c r="J43" i="1" s="1"/>
  <c r="H43" i="1"/>
  <c r="G49" i="1"/>
  <c r="J49" i="1" s="1"/>
  <c r="H49" i="1"/>
  <c r="G131" i="1"/>
  <c r="J131" i="1" s="1"/>
  <c r="H131" i="1"/>
  <c r="G181" i="1"/>
  <c r="J181" i="1" s="1"/>
  <c r="H181" i="1"/>
  <c r="G187" i="1"/>
  <c r="J187" i="1" s="1"/>
  <c r="H187" i="1"/>
  <c r="G250" i="1"/>
  <c r="J250" i="1" s="1"/>
  <c r="K250" i="1" s="1"/>
  <c r="L250" i="1" s="1"/>
  <c r="H250" i="1"/>
  <c r="G109" i="1"/>
  <c r="J109" i="1" s="1"/>
  <c r="H109" i="1"/>
  <c r="H132" i="1"/>
  <c r="H22" i="1"/>
  <c r="H115" i="1"/>
  <c r="G288" i="1"/>
  <c r="H90" i="1"/>
  <c r="H19" i="1"/>
  <c r="H89" i="1"/>
  <c r="H159" i="1"/>
  <c r="H38" i="1"/>
  <c r="H116" i="1"/>
  <c r="G289" i="1"/>
  <c r="G10" i="1"/>
  <c r="G258" i="1"/>
  <c r="G150" i="1"/>
  <c r="J150" i="1" s="1"/>
  <c r="G197" i="1"/>
  <c r="J197" i="1" s="1"/>
  <c r="G62" i="1"/>
  <c r="J62" i="1" s="1"/>
  <c r="G227" i="1"/>
  <c r="J227" i="1" s="1"/>
  <c r="G52" i="1"/>
  <c r="J52" i="1" s="1"/>
  <c r="G83" i="1"/>
  <c r="J83" i="1" s="1"/>
  <c r="G12" i="1"/>
  <c r="J12" i="1" s="1"/>
  <c r="G51" i="1"/>
  <c r="J51" i="1" s="1"/>
  <c r="G300" i="1"/>
  <c r="G5" i="1"/>
  <c r="J5" i="1" s="1"/>
  <c r="G94" i="1"/>
  <c r="J94" i="1" s="1"/>
  <c r="G225" i="1"/>
  <c r="J225" i="1" s="1"/>
  <c r="G186" i="1"/>
  <c r="J186" i="1" s="1"/>
  <c r="G164" i="1"/>
  <c r="J164" i="1" s="1"/>
  <c r="G104" i="1"/>
  <c r="J104" i="1" s="1"/>
  <c r="G194" i="1"/>
  <c r="J194" i="1" s="1"/>
  <c r="G16" i="1"/>
  <c r="J16" i="1" s="1"/>
  <c r="G296" i="1"/>
  <c r="G98" i="1"/>
  <c r="J98" i="1" s="1"/>
  <c r="G36" i="1"/>
  <c r="J36" i="1" s="1"/>
  <c r="G3" i="1"/>
  <c r="J3" i="1" s="1"/>
  <c r="G284" i="1"/>
  <c r="G48" i="1"/>
  <c r="J48" i="1" s="1"/>
  <c r="G40" i="1"/>
  <c r="J40" i="1" s="1"/>
  <c r="G14" i="1"/>
  <c r="J14" i="1" s="1"/>
  <c r="G265" i="1"/>
  <c r="G154" i="1"/>
  <c r="J154" i="1" s="1"/>
  <c r="G146" i="1"/>
  <c r="J146" i="1" s="1"/>
  <c r="G255" i="1"/>
  <c r="G20" i="1"/>
  <c r="J20" i="1" s="1"/>
  <c r="G136" i="1"/>
  <c r="J136" i="1" s="1"/>
  <c r="G4" i="1"/>
  <c r="J4" i="1" s="1"/>
  <c r="G188" i="1"/>
  <c r="J188" i="1" s="1"/>
  <c r="G176" i="1"/>
  <c r="J176" i="1" s="1"/>
  <c r="G85" i="1"/>
  <c r="J85" i="1" s="1"/>
  <c r="G291" i="1"/>
  <c r="G15" i="1"/>
  <c r="J15" i="1" s="1"/>
  <c r="G230" i="1"/>
  <c r="J230" i="1" s="1"/>
  <c r="G53" i="1"/>
  <c r="J53" i="1" s="1"/>
  <c r="K274" i="1"/>
  <c r="L274" i="1" s="1"/>
  <c r="G103" i="1"/>
  <c r="J103" i="1" s="1"/>
  <c r="G298" i="1"/>
  <c r="G156" i="1"/>
  <c r="J156" i="1" s="1"/>
  <c r="G101" i="1"/>
  <c r="J101" i="1" s="1"/>
  <c r="G31" i="1"/>
  <c r="J31" i="1" s="1"/>
  <c r="G132" i="1"/>
  <c r="J132" i="1" s="1"/>
  <c r="G22" i="1"/>
  <c r="J22" i="1" s="1"/>
  <c r="K275" i="1"/>
  <c r="L275" i="1" s="1"/>
  <c r="G115" i="1"/>
  <c r="J115" i="1" s="1"/>
  <c r="G56" i="1"/>
  <c r="J56" i="1" s="1"/>
  <c r="G155" i="1"/>
  <c r="J155" i="1" s="1"/>
  <c r="G88" i="1"/>
  <c r="J88" i="1" s="1"/>
  <c r="G28" i="1"/>
  <c r="J28" i="1" s="1"/>
  <c r="G76" i="1"/>
  <c r="J76" i="1" s="1"/>
  <c r="G242" i="1"/>
  <c r="J242" i="1" s="1"/>
  <c r="G192" i="1"/>
  <c r="J192" i="1" s="1"/>
  <c r="G6" i="1"/>
  <c r="J6" i="1" s="1"/>
  <c r="G279" i="1"/>
  <c r="J279" i="1" s="1"/>
  <c r="K279" i="1" s="1"/>
  <c r="L279" i="1" s="1"/>
  <c r="G201" i="1"/>
  <c r="J201" i="1" s="1"/>
  <c r="G196" i="1"/>
  <c r="J196" i="1" s="1"/>
  <c r="G61" i="1"/>
  <c r="J61" i="1" s="1"/>
  <c r="G23" i="1"/>
  <c r="J23" i="1" s="1"/>
  <c r="K286" i="1"/>
  <c r="L286" i="1" s="1"/>
  <c r="G80" i="1"/>
  <c r="J80" i="1" s="1"/>
  <c r="G287" i="1"/>
  <c r="G137" i="1"/>
  <c r="J137" i="1" s="1"/>
  <c r="G128" i="1"/>
  <c r="J128" i="1" s="1"/>
  <c r="G224" i="1"/>
  <c r="J224" i="1" s="1"/>
  <c r="G207" i="1"/>
  <c r="J207" i="1" s="1"/>
  <c r="G29" i="1"/>
  <c r="J29" i="1" s="1"/>
  <c r="G123" i="1"/>
  <c r="J123" i="1" s="1"/>
  <c r="G32" i="1"/>
  <c r="J32" i="1" s="1"/>
  <c r="G140" i="1"/>
  <c r="J140" i="1" s="1"/>
  <c r="G212" i="1"/>
  <c r="J212" i="1" s="1"/>
  <c r="G46" i="1"/>
  <c r="J46" i="1" s="1"/>
  <c r="G215" i="1"/>
  <c r="J215" i="1" s="1"/>
  <c r="G195" i="1"/>
  <c r="J195" i="1" s="1"/>
  <c r="G91" i="1"/>
  <c r="J91" i="1" s="1"/>
  <c r="G110" i="1"/>
  <c r="J110" i="1" s="1"/>
  <c r="K268" i="1"/>
  <c r="L268" i="1" s="1"/>
  <c r="G25" i="1"/>
  <c r="J25" i="1" s="1"/>
  <c r="G65" i="1"/>
  <c r="J65" i="1" s="1"/>
  <c r="G92" i="1"/>
  <c r="J92" i="1" s="1"/>
  <c r="G210" i="1"/>
  <c r="J210" i="1" s="1"/>
  <c r="G190" i="1"/>
  <c r="J190" i="1" s="1"/>
  <c r="G173" i="1"/>
  <c r="J173" i="1" s="1"/>
  <c r="G261" i="1"/>
  <c r="G70" i="1"/>
  <c r="J70" i="1" s="1"/>
  <c r="G117" i="1"/>
  <c r="J117" i="1" s="1"/>
  <c r="G160" i="1"/>
  <c r="J160" i="1" s="1"/>
  <c r="G214" i="1"/>
  <c r="J214" i="1" s="1"/>
  <c r="G189" i="1"/>
  <c r="J189" i="1" s="1"/>
  <c r="G249" i="1"/>
  <c r="J249" i="1" s="1"/>
  <c r="K249" i="1" s="1"/>
  <c r="L249" i="1" s="1"/>
  <c r="G219" i="1"/>
  <c r="J219" i="1" s="1"/>
  <c r="G213" i="1"/>
  <c r="J213" i="1" s="1"/>
  <c r="G234" i="1"/>
  <c r="J234" i="1" s="1"/>
  <c r="K280" i="1"/>
  <c r="L280" i="1" s="1"/>
  <c r="G297" i="1"/>
  <c r="K294" i="1"/>
  <c r="L294" i="1" s="1"/>
  <c r="G130" i="1"/>
  <c r="J130" i="1" s="1"/>
  <c r="G74" i="1"/>
  <c r="J74" i="1" s="1"/>
  <c r="G238" i="1"/>
  <c r="J238" i="1" s="1"/>
  <c r="G47" i="1"/>
  <c r="J47" i="1" s="1"/>
  <c r="G179" i="1"/>
  <c r="J179" i="1" s="1"/>
  <c r="G118" i="1"/>
  <c r="J118" i="1" s="1"/>
  <c r="G9" i="1"/>
  <c r="J9" i="1" s="1"/>
  <c r="G209" i="1"/>
  <c r="J209" i="1" s="1"/>
  <c r="G166" i="1"/>
  <c r="J166" i="1" s="1"/>
  <c r="G120" i="1"/>
  <c r="J120" i="1" s="1"/>
  <c r="G147" i="1"/>
  <c r="J147" i="1" s="1"/>
  <c r="G64" i="1"/>
  <c r="G37" i="1"/>
  <c r="J37" i="1" s="1"/>
  <c r="G24" i="1"/>
  <c r="J24" i="1" s="1"/>
  <c r="K293" i="1"/>
  <c r="L293" i="1" s="1"/>
  <c r="G26" i="1"/>
  <c r="J26" i="1" s="1"/>
  <c r="G221" i="1"/>
  <c r="J221" i="1" s="1"/>
  <c r="G285" i="1"/>
  <c r="G241" i="1"/>
  <c r="G229" i="1"/>
  <c r="J229" i="1" s="1"/>
  <c r="G185" i="1"/>
  <c r="J185" i="1" s="1"/>
  <c r="G273" i="1"/>
  <c r="G111" i="1"/>
  <c r="J111" i="1" s="1"/>
  <c r="G122" i="1"/>
  <c r="J122" i="1" s="1"/>
  <c r="G191" i="1"/>
  <c r="J191" i="1" s="1"/>
  <c r="G54" i="1"/>
  <c r="J54" i="1" s="1"/>
  <c r="G68" i="1"/>
  <c r="J68" i="1" s="1"/>
  <c r="G93" i="1"/>
  <c r="J93" i="1" s="1"/>
  <c r="G141" i="1"/>
  <c r="J141" i="1" s="1"/>
  <c r="G125" i="1"/>
  <c r="J125" i="1" s="1"/>
  <c r="K125" i="1" s="1"/>
  <c r="L125" i="1" s="1"/>
  <c r="K252" i="1"/>
  <c r="L252" i="1" s="1"/>
  <c r="G165" i="1"/>
  <c r="J165" i="1" s="1"/>
  <c r="G11" i="1"/>
  <c r="J11" i="1" s="1"/>
  <c r="K270" i="1"/>
  <c r="L270" i="1" s="1"/>
  <c r="G269" i="1"/>
  <c r="G256" i="1"/>
  <c r="G86" i="1"/>
  <c r="J86" i="1" s="1"/>
  <c r="G33" i="1"/>
  <c r="J33" i="1" s="1"/>
  <c r="G264" i="1"/>
  <c r="G217" i="1"/>
  <c r="J217" i="1" s="1"/>
  <c r="G174" i="1"/>
  <c r="J174" i="1" s="1"/>
  <c r="G67" i="1"/>
  <c r="J67" i="1" s="1"/>
  <c r="G172" i="1"/>
  <c r="J172" i="1" s="1"/>
  <c r="G158" i="1"/>
  <c r="J158" i="1" s="1"/>
  <c r="K259" i="1"/>
  <c r="L259" i="1" s="1"/>
  <c r="K277" i="1"/>
  <c r="L277" i="1" s="1"/>
  <c r="J292" i="1" l="1"/>
  <c r="K292" i="1" s="1"/>
  <c r="L292" i="1" s="1"/>
  <c r="J285" i="1"/>
  <c r="K285" i="1" s="1"/>
  <c r="L285" i="1" s="1"/>
  <c r="J300" i="1"/>
  <c r="K300" i="1" s="1"/>
  <c r="L300" i="1" s="1"/>
  <c r="J253" i="1"/>
  <c r="K253" i="1" s="1"/>
  <c r="L253" i="1" s="1"/>
  <c r="J272" i="1"/>
  <c r="K272" i="1" s="1"/>
  <c r="L272" i="1" s="1"/>
  <c r="J298" i="1"/>
  <c r="K298" i="1" s="1"/>
  <c r="L298" i="1" s="1"/>
  <c r="J296" i="1"/>
  <c r="K296" i="1" s="1"/>
  <c r="L296" i="1" s="1"/>
  <c r="J262" i="1"/>
  <c r="K262" i="1" s="1"/>
  <c r="L262" i="1" s="1"/>
  <c r="J290" i="1"/>
  <c r="K290" i="1" s="1"/>
  <c r="L290" i="1" s="1"/>
  <c r="J299" i="1"/>
  <c r="K299" i="1" s="1"/>
  <c r="L299" i="1" s="1"/>
  <c r="J257" i="1"/>
  <c r="K257" i="1" s="1"/>
  <c r="L257" i="1" s="1"/>
  <c r="J284" i="1"/>
  <c r="K284" i="1" s="1"/>
  <c r="L284" i="1" s="1"/>
  <c r="J289" i="1"/>
  <c r="K289" i="1" s="1"/>
  <c r="L289" i="1" s="1"/>
  <c r="J287" i="1"/>
  <c r="K287" i="1" s="1"/>
  <c r="L287" i="1" s="1"/>
  <c r="J255" i="1"/>
  <c r="K255" i="1" s="1"/>
  <c r="L255" i="1" s="1"/>
  <c r="J263" i="1"/>
  <c r="K263" i="1" s="1"/>
  <c r="L263" i="1" s="1"/>
  <c r="J273" i="1"/>
  <c r="K273" i="1" s="1"/>
  <c r="L273" i="1" s="1"/>
  <c r="J241" i="1"/>
  <c r="K241" i="1" s="1"/>
  <c r="L241" i="1" s="1"/>
  <c r="J264" i="1"/>
  <c r="K264" i="1" s="1"/>
  <c r="L264" i="1" s="1"/>
  <c r="J256" i="1"/>
  <c r="K256" i="1" s="1"/>
  <c r="L256" i="1" s="1"/>
  <c r="J64" i="1"/>
  <c r="K64" i="1" s="1"/>
  <c r="L64" i="1" s="1"/>
  <c r="J261" i="1"/>
  <c r="K261" i="1" s="1"/>
  <c r="L261" i="1" s="1"/>
  <c r="J288" i="1"/>
  <c r="K288" i="1" s="1"/>
  <c r="L288" i="1" s="1"/>
  <c r="J247" i="1"/>
  <c r="K247" i="1" s="1"/>
  <c r="L247" i="1" s="1"/>
  <c r="J269" i="1"/>
  <c r="K269" i="1" s="1"/>
  <c r="L269" i="1" s="1"/>
  <c r="J297" i="1"/>
  <c r="K297" i="1" s="1"/>
  <c r="L297" i="1" s="1"/>
  <c r="J265" i="1"/>
  <c r="K265" i="1" s="1"/>
  <c r="L265" i="1" s="1"/>
  <c r="J283" i="1"/>
  <c r="K283" i="1" s="1"/>
  <c r="L283" i="1" s="1"/>
  <c r="J278" i="1"/>
  <c r="K278" i="1" s="1"/>
  <c r="L278" i="1" s="1"/>
  <c r="J271" i="1"/>
  <c r="K271" i="1" s="1"/>
  <c r="L271" i="1" s="1"/>
  <c r="J291" i="1"/>
  <c r="K291" i="1" s="1"/>
  <c r="L291" i="1" s="1"/>
  <c r="J258" i="1"/>
  <c r="K258" i="1" s="1"/>
  <c r="L258" i="1" s="1"/>
  <c r="J10" i="1"/>
  <c r="K10" i="1" s="1"/>
  <c r="L10" i="1" s="1"/>
  <c r="J281" i="1"/>
  <c r="K281" i="1" s="1"/>
  <c r="L281" i="1" s="1"/>
  <c r="K3" i="1"/>
  <c r="L3" i="1" s="1"/>
  <c r="K234" i="1" l="1"/>
  <c r="L234" i="1" s="1"/>
  <c r="K239" i="1" l="1"/>
  <c r="L239" i="1" s="1"/>
  <c r="K57" i="1" l="1"/>
  <c r="L57" i="1" s="1"/>
  <c r="K235" i="1" l="1"/>
  <c r="L235" i="1" s="1"/>
  <c r="K237" i="1"/>
  <c r="L237" i="1" s="1"/>
  <c r="K233" i="1" l="1"/>
  <c r="L233" i="1" s="1"/>
  <c r="K232" i="1" l="1"/>
  <c r="L232" i="1" s="1"/>
  <c r="K231" i="1"/>
  <c r="L231" i="1" s="1"/>
  <c r="K236" i="1" l="1"/>
  <c r="L236" i="1" s="1"/>
  <c r="K238" i="1" l="1"/>
  <c r="L238" i="1" s="1"/>
  <c r="K27" i="1" l="1"/>
  <c r="L27" i="1" s="1"/>
  <c r="K75" i="1"/>
  <c r="L75" i="1" s="1"/>
  <c r="K230" i="1" l="1"/>
  <c r="L230" i="1" s="1"/>
  <c r="K41" i="1"/>
  <c r="L41" i="1" s="1"/>
  <c r="K216" i="1"/>
  <c r="L216" i="1" s="1"/>
  <c r="K85" i="1" l="1"/>
  <c r="L85" i="1" s="1"/>
  <c r="K13" i="1"/>
  <c r="L13" i="1" s="1"/>
  <c r="K104" i="1"/>
  <c r="L104" i="1" s="1"/>
  <c r="K214" i="1" l="1"/>
  <c r="L214" i="1" s="1"/>
  <c r="K219" i="1"/>
  <c r="L219" i="1" s="1"/>
  <c r="K183" i="1"/>
  <c r="L183" i="1" s="1"/>
  <c r="K160" i="1" l="1"/>
  <c r="L160" i="1" s="1"/>
  <c r="K159" i="1"/>
  <c r="L159" i="1" s="1"/>
  <c r="K25" i="1" l="1"/>
  <c r="L25" i="1" s="1"/>
  <c r="K128" i="1"/>
  <c r="L128" i="1" s="1"/>
  <c r="K221" i="1" l="1"/>
  <c r="L221" i="1" s="1"/>
  <c r="K63" i="1"/>
  <c r="L63" i="1" s="1"/>
  <c r="K109" i="1" l="1"/>
  <c r="L109" i="1" s="1"/>
  <c r="K146" i="1"/>
  <c r="L146" i="1" s="1"/>
  <c r="K95" i="1" l="1"/>
  <c r="L95" i="1" s="1"/>
  <c r="K122" i="1" l="1"/>
  <c r="L122" i="1" s="1"/>
  <c r="K164" i="1"/>
  <c r="L164" i="1" s="1"/>
  <c r="K165" i="1" l="1"/>
  <c r="L165" i="1" s="1"/>
  <c r="K107" i="1" l="1"/>
  <c r="L107" i="1" s="1"/>
  <c r="K246" i="1" l="1"/>
  <c r="L246" i="1" s="1"/>
  <c r="K16" i="1" l="1"/>
  <c r="L16" i="1" s="1"/>
  <c r="K49" i="1"/>
  <c r="L49" i="1" s="1"/>
  <c r="K151" i="1"/>
  <c r="L151" i="1" s="1"/>
  <c r="K35" i="1" l="1"/>
  <c r="L35" i="1" s="1"/>
  <c r="K144" i="1"/>
  <c r="L144" i="1" s="1"/>
  <c r="K102" i="1" l="1"/>
  <c r="L102" i="1" s="1"/>
  <c r="K115" i="1"/>
  <c r="L115" i="1" s="1"/>
  <c r="K157" i="1" l="1"/>
  <c r="L157" i="1" s="1"/>
  <c r="K190" i="1"/>
  <c r="L190" i="1" s="1"/>
  <c r="K88" i="1"/>
  <c r="L88" i="1" s="1"/>
  <c r="K123" i="1"/>
  <c r="L123" i="1" s="1"/>
  <c r="K127" i="1" l="1"/>
  <c r="L127" i="1" s="1"/>
  <c r="K137" i="1" l="1"/>
  <c r="L137" i="1" s="1"/>
  <c r="K21" i="1" l="1"/>
  <c r="L21" i="1" s="1"/>
  <c r="K199" i="1"/>
  <c r="L199" i="1" s="1"/>
  <c r="K156" i="1" l="1"/>
  <c r="L156" i="1" s="1"/>
  <c r="K74" i="1" l="1"/>
  <c r="L74" i="1" s="1"/>
  <c r="K12" i="1" l="1"/>
  <c r="L12" i="1" s="1"/>
  <c r="K8" i="1"/>
  <c r="L8" i="1" s="1"/>
  <c r="K31" i="1" l="1"/>
  <c r="L31" i="1" s="1"/>
  <c r="K62" i="1" l="1"/>
  <c r="L62" i="1" s="1"/>
  <c r="K15" i="1"/>
  <c r="L15" i="1" s="1"/>
  <c r="K9" i="1" l="1"/>
  <c r="L9" i="1" s="1"/>
  <c r="K92" i="1"/>
  <c r="L92" i="1" s="1"/>
  <c r="K203" i="1"/>
  <c r="L203" i="1" s="1"/>
  <c r="K229" i="1" l="1"/>
  <c r="L229" i="1" s="1"/>
  <c r="K169" i="1" l="1"/>
  <c r="L169" i="1" s="1"/>
  <c r="K180" i="1" l="1"/>
  <c r="L180" i="1" s="1"/>
  <c r="K39" i="1"/>
  <c r="L39" i="1" s="1"/>
  <c r="K213" i="1" l="1"/>
  <c r="L213" i="1" s="1"/>
  <c r="K142" i="1" l="1"/>
  <c r="L142" i="1" s="1"/>
  <c r="K177" i="1" l="1"/>
  <c r="L177" i="1" s="1"/>
  <c r="K220" i="1" l="1"/>
  <c r="L220" i="1" s="1"/>
  <c r="K140" i="1" l="1"/>
  <c r="L140" i="1" s="1"/>
  <c r="K139" i="1" l="1"/>
  <c r="L139" i="1" s="1"/>
  <c r="K218" i="1" l="1"/>
  <c r="L218" i="1" s="1"/>
  <c r="K99" i="1" l="1"/>
  <c r="L99" i="1" s="1"/>
  <c r="K79" i="1"/>
  <c r="L79" i="1" s="1"/>
  <c r="K24" i="1" l="1"/>
  <c r="L24" i="1" s="1"/>
  <c r="K91" i="1"/>
  <c r="L91" i="1" s="1"/>
  <c r="K30" i="1" l="1"/>
  <c r="L30" i="1" s="1"/>
  <c r="K44" i="1" l="1"/>
  <c r="L44" i="1" s="1"/>
  <c r="K53" i="1"/>
  <c r="L53" i="1" s="1"/>
  <c r="K82" i="1"/>
  <c r="L82" i="1" s="1"/>
  <c r="K58" i="1" l="1"/>
  <c r="L58" i="1" s="1"/>
  <c r="K138" i="1"/>
  <c r="L138" i="1" s="1"/>
  <c r="K225" i="1"/>
  <c r="L225" i="1" s="1"/>
  <c r="K129" i="1" l="1"/>
  <c r="L129" i="1" s="1"/>
  <c r="K130" i="1" l="1"/>
  <c r="L130" i="1" s="1"/>
  <c r="K194" i="1"/>
  <c r="L194" i="1" s="1"/>
  <c r="K72" i="1"/>
  <c r="L72" i="1" s="1"/>
  <c r="K28" i="1" l="1"/>
  <c r="L28" i="1" s="1"/>
  <c r="K73" i="1" l="1"/>
  <c r="L73" i="1" s="1"/>
  <c r="K205" i="1"/>
  <c r="L205" i="1" s="1"/>
  <c r="K121" i="1" l="1"/>
  <c r="L121" i="1" s="1"/>
  <c r="K202" i="1"/>
  <c r="L202" i="1" s="1"/>
  <c r="K114" i="1" l="1"/>
  <c r="L114" i="1" s="1"/>
  <c r="K171" i="1"/>
  <c r="L171" i="1" s="1"/>
  <c r="K46" i="1"/>
  <c r="L46" i="1" s="1"/>
  <c r="K47" i="1" l="1"/>
  <c r="L47" i="1" s="1"/>
  <c r="K20" i="1" l="1"/>
  <c r="L20" i="1" s="1"/>
  <c r="K22" i="1" l="1"/>
  <c r="L22" i="1" s="1"/>
  <c r="K29" i="1"/>
  <c r="L29" i="1" s="1"/>
  <c r="K100" i="1" l="1"/>
  <c r="L100" i="1" s="1"/>
  <c r="K40" i="1" l="1"/>
  <c r="L40" i="1" s="1"/>
  <c r="K226" i="1"/>
  <c r="L226" i="1" s="1"/>
  <c r="K242" i="1" l="1"/>
  <c r="L242" i="1" s="1"/>
  <c r="K37" i="1"/>
  <c r="L37" i="1" s="1"/>
  <c r="K212" i="1"/>
  <c r="L212" i="1" s="1"/>
  <c r="K153" i="1" l="1"/>
  <c r="L153" i="1" s="1"/>
  <c r="K6" i="1"/>
  <c r="L6" i="1" s="1"/>
  <c r="K118" i="1"/>
  <c r="L118" i="1" s="1"/>
  <c r="K150" i="1" l="1"/>
  <c r="L150" i="1" s="1"/>
  <c r="K170" i="1"/>
  <c r="L170" i="1" s="1"/>
  <c r="K187" i="1" l="1"/>
  <c r="L187" i="1" s="1"/>
  <c r="K200" i="1" l="1"/>
  <c r="L200" i="1" s="1"/>
  <c r="K106" i="1" l="1"/>
  <c r="L106" i="1" s="1"/>
  <c r="K155" i="1" l="1"/>
  <c r="L155" i="1" s="1"/>
  <c r="K207" i="1"/>
  <c r="L207" i="1" s="1"/>
  <c r="K145" i="1" l="1"/>
  <c r="L145" i="1" s="1"/>
  <c r="K147" i="1" l="1"/>
  <c r="L147" i="1" s="1"/>
  <c r="K83" i="1" l="1"/>
  <c r="L83" i="1" s="1"/>
  <c r="K61" i="1"/>
  <c r="L61" i="1" s="1"/>
  <c r="K185" i="1"/>
  <c r="L185" i="1" s="1"/>
  <c r="K7" i="1"/>
  <c r="L7" i="1" s="1"/>
  <c r="K204" i="1"/>
  <c r="L204" i="1" s="1"/>
  <c r="K94" i="1" l="1"/>
  <c r="L94" i="1" s="1"/>
  <c r="K80" i="1"/>
  <c r="L80" i="1" s="1"/>
  <c r="K108" i="1" l="1"/>
  <c r="L108" i="1" s="1"/>
  <c r="K174" i="1"/>
  <c r="L174" i="1" s="1"/>
  <c r="K33" i="1" l="1"/>
  <c r="L33" i="1" s="1"/>
  <c r="K101" i="1" l="1"/>
  <c r="L101" i="1" s="1"/>
  <c r="K134" i="1"/>
  <c r="L134" i="1" s="1"/>
  <c r="K133" i="1"/>
  <c r="L133" i="1" s="1"/>
  <c r="K112" i="1"/>
  <c r="L112" i="1" s="1"/>
  <c r="K184" i="1"/>
  <c r="L184" i="1" s="1"/>
  <c r="K166" i="1" l="1"/>
  <c r="L166" i="1" s="1"/>
  <c r="K179" i="1" l="1"/>
  <c r="L179" i="1" s="1"/>
  <c r="K135" i="1"/>
  <c r="L135" i="1" s="1"/>
  <c r="K113" i="1" l="1"/>
  <c r="L113" i="1" s="1"/>
  <c r="K98" i="1"/>
  <c r="L98" i="1" s="1"/>
  <c r="K14" i="1"/>
  <c r="L14" i="1" s="1"/>
  <c r="K206" i="1" l="1"/>
  <c r="L206" i="1" s="1"/>
  <c r="K178" i="1" l="1"/>
  <c r="L178" i="1" s="1"/>
  <c r="K168" i="1" l="1"/>
  <c r="L168" i="1" s="1"/>
  <c r="K175" i="1"/>
  <c r="L175" i="1" s="1"/>
  <c r="K87" i="1" l="1"/>
  <c r="L87" i="1" s="1"/>
  <c r="K120" i="1" l="1"/>
  <c r="L120" i="1" s="1"/>
  <c r="K227" i="1"/>
  <c r="L227" i="1" s="1"/>
  <c r="K158" i="1" l="1"/>
  <c r="L158" i="1" s="1"/>
  <c r="K163" i="1" l="1"/>
  <c r="L163" i="1" s="1"/>
  <c r="K223" i="1"/>
  <c r="L223" i="1" s="1"/>
  <c r="K11" i="1" l="1"/>
  <c r="L11" i="1" s="1"/>
  <c r="K89" i="1"/>
  <c r="L89" i="1" s="1"/>
  <c r="K51" i="1" l="1"/>
  <c r="L51" i="1" s="1"/>
  <c r="K42" i="1"/>
  <c r="L42" i="1" s="1"/>
  <c r="K222" i="1"/>
  <c r="L222" i="1" s="1"/>
  <c r="K119" i="1"/>
  <c r="L119" i="1" s="1"/>
  <c r="K19" i="1" l="1"/>
  <c r="L19" i="1" s="1"/>
  <c r="K84" i="1" l="1"/>
  <c r="L84" i="1" s="1"/>
  <c r="K76" i="1"/>
  <c r="L76" i="1" s="1"/>
  <c r="K18" i="1" l="1"/>
  <c r="L18" i="1" s="1"/>
  <c r="K124" i="1"/>
  <c r="L124" i="1" s="1"/>
  <c r="K116" i="1" l="1"/>
  <c r="L116" i="1" s="1"/>
  <c r="K196" i="1"/>
  <c r="L196" i="1" s="1"/>
  <c r="K48" i="1" l="1"/>
  <c r="L48" i="1" s="1"/>
  <c r="K71" i="1" l="1"/>
  <c r="L71" i="1" s="1"/>
  <c r="K26" i="1"/>
  <c r="L26" i="1" s="1"/>
  <c r="K208" i="1" l="1"/>
  <c r="L208" i="1" s="1"/>
  <c r="K136" i="1" l="1"/>
  <c r="L136" i="1" s="1"/>
  <c r="K176" i="1"/>
  <c r="L176" i="1" s="1"/>
  <c r="K143" i="1" l="1"/>
  <c r="L143" i="1" s="1"/>
  <c r="K34" i="1" l="1"/>
  <c r="L34" i="1" s="1"/>
  <c r="K77" i="1"/>
  <c r="L77" i="1" s="1"/>
  <c r="K188" i="1"/>
  <c r="L188" i="1" s="1"/>
  <c r="K50" i="1" l="1"/>
  <c r="L50" i="1" s="1"/>
  <c r="K59" i="1" l="1"/>
  <c r="L59" i="1" s="1"/>
  <c r="K32" i="1"/>
  <c r="L32" i="1" s="1"/>
  <c r="K86" i="1"/>
  <c r="L86" i="1" s="1"/>
  <c r="K148" i="1"/>
  <c r="L148" i="1" s="1"/>
  <c r="K162" i="1"/>
  <c r="L162" i="1" s="1"/>
  <c r="K161" i="1"/>
  <c r="L161" i="1" s="1"/>
  <c r="K97" i="1" l="1"/>
  <c r="L97" i="1" s="1"/>
  <c r="K154" i="1"/>
  <c r="L154" i="1" s="1"/>
  <c r="K52" i="1" l="1"/>
  <c r="L52" i="1" s="1"/>
  <c r="K217" i="1" l="1"/>
  <c r="L217" i="1" s="1"/>
  <c r="K105" i="1"/>
  <c r="L105" i="1" s="1"/>
  <c r="K103" i="1" l="1"/>
  <c r="L103" i="1" s="1"/>
  <c r="K131" i="1"/>
  <c r="L131" i="1" s="1"/>
  <c r="K68" i="1" l="1"/>
  <c r="L68" i="1" s="1"/>
  <c r="K45" i="1"/>
  <c r="L45" i="1" s="1"/>
  <c r="K201" i="1" l="1"/>
  <c r="L201" i="1" s="1"/>
  <c r="K167" i="1"/>
  <c r="L167" i="1" s="1"/>
  <c r="K193" i="1"/>
  <c r="L193" i="1" s="1"/>
  <c r="K93" i="1" l="1"/>
  <c r="L93" i="1" s="1"/>
  <c r="K54" i="1" l="1"/>
  <c r="L54" i="1" s="1"/>
  <c r="K69" i="1" l="1"/>
  <c r="L69" i="1" s="1"/>
  <c r="K198" i="1"/>
  <c r="L198" i="1" s="1"/>
  <c r="K126" i="1" l="1"/>
  <c r="L126" i="1" s="1"/>
  <c r="K141" i="1"/>
  <c r="L141" i="1" s="1"/>
  <c r="K173" i="1"/>
  <c r="L173" i="1" s="1"/>
  <c r="K181" i="1" l="1"/>
  <c r="L181" i="1" s="1"/>
  <c r="K228" i="1" l="1"/>
  <c r="L228" i="1" s="1"/>
  <c r="K192" i="1" l="1"/>
  <c r="L192" i="1" s="1"/>
  <c r="K152" i="1"/>
  <c r="L152" i="1" s="1"/>
  <c r="K197" i="1" l="1"/>
  <c r="L197" i="1" s="1"/>
  <c r="K132" i="1" l="1"/>
  <c r="L132" i="1" s="1"/>
  <c r="K5" i="1" l="1"/>
  <c r="L5" i="1" s="1"/>
  <c r="K117" i="1"/>
  <c r="L117" i="1" s="1"/>
  <c r="K182" i="1" l="1"/>
  <c r="L182" i="1" s="1"/>
  <c r="K78" i="1" l="1"/>
  <c r="L78" i="1" s="1"/>
  <c r="K60" i="1" l="1"/>
  <c r="L60" i="1" s="1"/>
  <c r="K23" i="1"/>
  <c r="L23" i="1" s="1"/>
  <c r="K211" i="1" l="1"/>
  <c r="L211" i="1" s="1"/>
  <c r="K17" i="1" l="1"/>
  <c r="L17" i="1" s="1"/>
  <c r="K245" i="1" l="1"/>
  <c r="L245" i="1" s="1"/>
  <c r="K110" i="1"/>
  <c r="L110" i="1" s="1"/>
  <c r="K191" i="1" l="1"/>
  <c r="L191" i="1" s="1"/>
  <c r="K224" i="1"/>
  <c r="L224" i="1" s="1"/>
  <c r="K210" i="1" l="1"/>
  <c r="L210" i="1" s="1"/>
  <c r="K195" i="1" l="1"/>
  <c r="L195" i="1" s="1"/>
  <c r="K215" i="1"/>
  <c r="L215" i="1" s="1"/>
  <c r="K186" i="1" l="1"/>
  <c r="L186" i="1" s="1"/>
  <c r="K70" i="1"/>
  <c r="L70" i="1" s="1"/>
  <c r="K43" i="1" l="1"/>
  <c r="L43" i="1" s="1"/>
  <c r="K36" i="1" l="1"/>
  <c r="L36" i="1" s="1"/>
  <c r="K55" i="1" l="1"/>
  <c r="L55" i="1" s="1"/>
  <c r="K189" i="1"/>
  <c r="L189" i="1" s="1"/>
  <c r="K111" i="1"/>
  <c r="L111" i="1" s="1"/>
  <c r="K56" i="1" l="1"/>
  <c r="L56" i="1" s="1"/>
  <c r="K90" i="1"/>
  <c r="L90" i="1" s="1"/>
  <c r="K38" i="1" l="1"/>
  <c r="L38" i="1" s="1"/>
  <c r="K81" i="1"/>
  <c r="L81" i="1" s="1"/>
  <c r="K65" i="1"/>
  <c r="L65" i="1" s="1"/>
  <c r="K149" i="1" l="1"/>
  <c r="L149" i="1" s="1"/>
  <c r="K96" i="1"/>
  <c r="L96" i="1" s="1"/>
  <c r="K66" i="1" l="1"/>
  <c r="L66" i="1" s="1"/>
  <c r="K67" i="1" l="1"/>
  <c r="L67" i="1" s="1"/>
  <c r="K209" i="1"/>
  <c r="L209" i="1" s="1"/>
  <c r="K4" i="1" l="1"/>
  <c r="L4" i="1" s="1"/>
  <c r="K172" i="1"/>
  <c r="L172" i="1" s="1"/>
</calcChain>
</file>

<file path=xl/sharedStrings.xml><?xml version="1.0" encoding="utf-8"?>
<sst xmlns="http://schemas.openxmlformats.org/spreadsheetml/2006/main" count="8012" uniqueCount="5172">
  <si>
    <t>MLB</t>
  </si>
  <si>
    <t>SKU</t>
  </si>
  <si>
    <t>Redução da tarifa</t>
  </si>
  <si>
    <t>Preço Final</t>
  </si>
  <si>
    <t>Preço segundo tabela</t>
  </si>
  <si>
    <t>Diferença</t>
  </si>
  <si>
    <t>Tipo de anuncio</t>
  </si>
  <si>
    <t>Comissão Padrão</t>
  </si>
  <si>
    <t>% de comissão reduzida</t>
  </si>
  <si>
    <t>Comissão a considerar</t>
  </si>
  <si>
    <t>Anúncio MLB</t>
  </si>
  <si>
    <t>Tipo de Anúncio</t>
  </si>
  <si>
    <t>MLB3563984623</t>
  </si>
  <si>
    <t>Clássico</t>
  </si>
  <si>
    <t>MLB4039588653</t>
  </si>
  <si>
    <t>MLB5337068004</t>
  </si>
  <si>
    <t>MLB4282219223</t>
  </si>
  <si>
    <t>MLB3967091117</t>
  </si>
  <si>
    <t>MLB5298314016</t>
  </si>
  <si>
    <t>MLB4039492363</t>
  </si>
  <si>
    <t>MLB4373183516</t>
  </si>
  <si>
    <t>MLB3564008305</t>
  </si>
  <si>
    <t>MLB4039492345</t>
  </si>
  <si>
    <t>MLB5336288854</t>
  </si>
  <si>
    <t>MLB4512899968</t>
  </si>
  <si>
    <t>MLB4474259246</t>
  </si>
  <si>
    <t>MLB3557446617</t>
  </si>
  <si>
    <t>MLB4512816928</t>
  </si>
  <si>
    <t>MLB4477549414</t>
  </si>
  <si>
    <t>MLB4512900004</t>
  </si>
  <si>
    <t>MLB3663586587</t>
  </si>
  <si>
    <t>MLB4616482958</t>
  </si>
  <si>
    <t>MLB4512830688</t>
  </si>
  <si>
    <t>MLB3608550071</t>
  </si>
  <si>
    <t>MLB6107729436</t>
  </si>
  <si>
    <t>MLB3995477629</t>
  </si>
  <si>
    <t>MLB4040640609</t>
  </si>
  <si>
    <t>MLB4264037393</t>
  </si>
  <si>
    <t>MLB5406476930</t>
  </si>
  <si>
    <t>MLB4069717851</t>
  </si>
  <si>
    <t>MLB4040545237</t>
  </si>
  <si>
    <t>MLB5393425080</t>
  </si>
  <si>
    <t>MLB5361280686</t>
  </si>
  <si>
    <t>MLB5335661584</t>
  </si>
  <si>
    <t>MLB5411376206</t>
  </si>
  <si>
    <t>MLB5398503598</t>
  </si>
  <si>
    <t>MLB5397764684</t>
  </si>
  <si>
    <t>MLB5363919580</t>
  </si>
  <si>
    <t>MLB5299288202</t>
  </si>
  <si>
    <t>MLB3983013763</t>
  </si>
  <si>
    <t>MLB4076885631</t>
  </si>
  <si>
    <t>MLB5398541324</t>
  </si>
  <si>
    <t>MLB5382536864</t>
  </si>
  <si>
    <t>MLB5362321078</t>
  </si>
  <si>
    <t>MLB4230644671</t>
  </si>
  <si>
    <t>MLB5720370888</t>
  </si>
  <si>
    <t>MLB4230403679</t>
  </si>
  <si>
    <t>MLB5720293440</t>
  </si>
  <si>
    <t>MLB4268257611</t>
  </si>
  <si>
    <t>MLB5720243284</t>
  </si>
  <si>
    <t>MLB3967123307</t>
  </si>
  <si>
    <t>MLB3967046961</t>
  </si>
  <si>
    <t>MLB5298185968</t>
  </si>
  <si>
    <t>MLB5335763250</t>
  </si>
  <si>
    <t>MLB4512886178</t>
  </si>
  <si>
    <t>MLB4512899268</t>
  </si>
  <si>
    <t>MLB4002167899</t>
  </si>
  <si>
    <t>MLB4039549407</t>
  </si>
  <si>
    <t>MLB4264013711</t>
  </si>
  <si>
    <t>MLB5398389312</t>
  </si>
  <si>
    <t>MLB4041858157</t>
  </si>
  <si>
    <t>MLB4474210830</t>
  </si>
  <si>
    <t>MLB5298199050</t>
  </si>
  <si>
    <t>MLB4474210774</t>
  </si>
  <si>
    <t>MLB5335624004</t>
  </si>
  <si>
    <t>MLB5720384064</t>
  </si>
  <si>
    <t>MLB5363868258</t>
  </si>
  <si>
    <t>MLB6046641844</t>
  </si>
  <si>
    <t>MLB5878585020</t>
  </si>
  <si>
    <t>MLB5406599970</t>
  </si>
  <si>
    <t>MLB5336288806</t>
  </si>
  <si>
    <t>MLB5459771808</t>
  </si>
  <si>
    <t>MLB5337117958</t>
  </si>
  <si>
    <t>MLB5965869314</t>
  </si>
  <si>
    <t>MLB5397589082</t>
  </si>
  <si>
    <t>MLB5965699436</t>
  </si>
  <si>
    <t>MLB3967118001</t>
  </si>
  <si>
    <t>MLB5827861008</t>
  </si>
  <si>
    <t>MLB3967096475</t>
  </si>
  <si>
    <t>MLB5298254542</t>
  </si>
  <si>
    <t>MLB5363868382</t>
  </si>
  <si>
    <t>MLB5298314914</t>
  </si>
  <si>
    <t>MLB5318186530</t>
  </si>
  <si>
    <t>MLB5331704914</t>
  </si>
  <si>
    <t>MLB3604708001</t>
  </si>
  <si>
    <t>MLB3990063141</t>
  </si>
  <si>
    <t>MLB4069067947</t>
  </si>
  <si>
    <t>MLB3608564225</t>
  </si>
  <si>
    <t>MLB3987898477</t>
  </si>
  <si>
    <t>MLB3575545935</t>
  </si>
  <si>
    <t>MLB3987777391</t>
  </si>
  <si>
    <t>MLB5505413516</t>
  </si>
  <si>
    <t>MLB3557395399</t>
  </si>
  <si>
    <t>MLB5362347028</t>
  </si>
  <si>
    <t>MLB3608808707</t>
  </si>
  <si>
    <t>MLB4060040723</t>
  </si>
  <si>
    <t>MLB5436464404</t>
  </si>
  <si>
    <t>MLB4041858217</t>
  </si>
  <si>
    <t>MLB3990024091</t>
  </si>
  <si>
    <t>MLB4040621039</t>
  </si>
  <si>
    <t>MLB4056409477</t>
  </si>
  <si>
    <t>MLB4041882773</t>
  </si>
  <si>
    <t>MLB4055089945</t>
  </si>
  <si>
    <t>MLB5411350712</t>
  </si>
  <si>
    <t>MLB5966613168</t>
  </si>
  <si>
    <t>MLB5442695206</t>
  </si>
  <si>
    <t>MLB4098328457</t>
  </si>
  <si>
    <t>MLB5442771068</t>
  </si>
  <si>
    <t>MLB5442768186</t>
  </si>
  <si>
    <t>MLB4512923790</t>
  </si>
  <si>
    <t>MLB4509856840</t>
  </si>
  <si>
    <t>MLB5720014884</t>
  </si>
  <si>
    <t>MLB5371885658</t>
  </si>
  <si>
    <t>MLB5317862162</t>
  </si>
  <si>
    <t>MLB4060172515</t>
  </si>
  <si>
    <t>MLB4057729057</t>
  </si>
  <si>
    <t>MLB5398503680</t>
  </si>
  <si>
    <t>MLB4040545257</t>
  </si>
  <si>
    <t>MLB4068944891</t>
  </si>
  <si>
    <t>MLB5904204422</t>
  </si>
  <si>
    <t>MLB5340482650</t>
  </si>
  <si>
    <t>MLB4041921157</t>
  </si>
  <si>
    <t>MLB4465780494</t>
  </si>
  <si>
    <t>MLB4048491113</t>
  </si>
  <si>
    <t>MLB5442669688</t>
  </si>
  <si>
    <t>MLB5442743986</t>
  </si>
  <si>
    <t>MLB4098328499</t>
  </si>
  <si>
    <t>MLB5442757948</t>
  </si>
  <si>
    <t>MLB5398389492</t>
  </si>
  <si>
    <t>MLB4098328299</t>
  </si>
  <si>
    <t>MLB5443270528</t>
  </si>
  <si>
    <t>MLB4389585576</t>
  </si>
  <si>
    <t>MLB4389598820</t>
  </si>
  <si>
    <t>MLB4389619464</t>
  </si>
  <si>
    <t>MLB4389569038</t>
  </si>
  <si>
    <t>MLB4389582388</t>
  </si>
  <si>
    <t>MLB4389547892</t>
  </si>
  <si>
    <t>MLB5411311544</t>
  </si>
  <si>
    <t>MLB4389585132</t>
  </si>
  <si>
    <t>MLB4465756826</t>
  </si>
  <si>
    <t>MLB5828879730</t>
  </si>
  <si>
    <t>MLB4465833320</t>
  </si>
  <si>
    <t>MLB4097956497</t>
  </si>
  <si>
    <t>MLB4465833280</t>
  </si>
  <si>
    <t>MLB3605363569</t>
  </si>
  <si>
    <t>MLB4512886362</t>
  </si>
  <si>
    <t>Premium</t>
  </si>
  <si>
    <t>MLB4474244930</t>
  </si>
  <si>
    <t>MLB4076944439</t>
  </si>
  <si>
    <t>MLB5398464924</t>
  </si>
  <si>
    <t>MLB5298152254</t>
  </si>
  <si>
    <t>MLB5829445302</t>
  </si>
  <si>
    <t>MLB4041895895</t>
  </si>
  <si>
    <t>MLB4474235756</t>
  </si>
  <si>
    <t>MLB5361160838</t>
  </si>
  <si>
    <t>MLB5335611544</t>
  </si>
  <si>
    <t>MLB5827889370</t>
  </si>
  <si>
    <t>MLB5720345282</t>
  </si>
  <si>
    <t>MLB3967044659</t>
  </si>
  <si>
    <t>MLB5298302142</t>
  </si>
  <si>
    <t>MLB5316925504</t>
  </si>
  <si>
    <t>MLB3976791547</t>
  </si>
  <si>
    <t>MLB3967020347</t>
  </si>
  <si>
    <t>MLB3967122055</t>
  </si>
  <si>
    <t>MLB5298185986</t>
  </si>
  <si>
    <t>MLB6046526884</t>
  </si>
  <si>
    <t>MLB4039601405</t>
  </si>
  <si>
    <t>MLB5335713184</t>
  </si>
  <si>
    <t>MLB5397705640</t>
  </si>
  <si>
    <t>MLB4041952973</t>
  </si>
  <si>
    <t>MLB5337179594</t>
  </si>
  <si>
    <t>MLB3967031817</t>
  </si>
  <si>
    <t>MLB5878572784</t>
  </si>
  <si>
    <t>MLB4048384071</t>
  </si>
  <si>
    <t>MLB4022875721</t>
  </si>
  <si>
    <t>MLB4512847310</t>
  </si>
  <si>
    <t>MLB3609607349</t>
  </si>
  <si>
    <t>MLB4512894854</t>
  </si>
  <si>
    <t>MLB3602895449</t>
  </si>
  <si>
    <t>MLB4335191578</t>
  </si>
  <si>
    <t>MLB4356635054</t>
  </si>
  <si>
    <t>MLB4002194747</t>
  </si>
  <si>
    <t>MLB4039492419</t>
  </si>
  <si>
    <t>MLB3563997485</t>
  </si>
  <si>
    <t>MLB5336326250</t>
  </si>
  <si>
    <t>MLB3663599169</t>
  </si>
  <si>
    <t>MLB4616431548</t>
  </si>
  <si>
    <t>MLB3569875743</t>
  </si>
  <si>
    <t>MLB3564020463</t>
  </si>
  <si>
    <t>MLB4466320126</t>
  </si>
  <si>
    <t>MLB4501165050</t>
  </si>
  <si>
    <t>MLB5756534468</t>
  </si>
  <si>
    <t>MLB5720358012</t>
  </si>
  <si>
    <t>MLB5411337348</t>
  </si>
  <si>
    <t>MLB5398439392</t>
  </si>
  <si>
    <t>MLB5756534382</t>
  </si>
  <si>
    <t>MLB5720306606</t>
  </si>
  <si>
    <t>MLB5406535530</t>
  </si>
  <si>
    <t>MLB5398465002</t>
  </si>
  <si>
    <t>MLB4024928807</t>
  </si>
  <si>
    <t>MLB5336200146</t>
  </si>
  <si>
    <t>MLB5362334150</t>
  </si>
  <si>
    <t>MLB5393282624</t>
  </si>
  <si>
    <t>MLB5386416788</t>
  </si>
  <si>
    <t>MLB5335713196</t>
  </si>
  <si>
    <t>MLB4076947595</t>
  </si>
  <si>
    <t>MLB5398401288</t>
  </si>
  <si>
    <t>MLB4267989673</t>
  </si>
  <si>
    <t>MLB5720345380</t>
  </si>
  <si>
    <t>MLB4041940179</t>
  </si>
  <si>
    <t>MLB5397752736</t>
  </si>
  <si>
    <t>MLB5829647452</t>
  </si>
  <si>
    <t>MLB4040640617</t>
  </si>
  <si>
    <t>MLB3967038991</t>
  </si>
  <si>
    <t>MLB5885752678</t>
  </si>
  <si>
    <t>MLB5382396826</t>
  </si>
  <si>
    <t>MLB4040664705</t>
  </si>
  <si>
    <t>MLB5316905364</t>
  </si>
  <si>
    <t>MLB3985595019</t>
  </si>
  <si>
    <t>MLB5298301152</t>
  </si>
  <si>
    <t>MLB4039453489</t>
  </si>
  <si>
    <t>MLB5309129616</t>
  </si>
  <si>
    <t>MLB6091349570</t>
  </si>
  <si>
    <t>MLB4512949726</t>
  </si>
  <si>
    <t>MLB3608855415</t>
  </si>
  <si>
    <t>MLB4979311904</t>
  </si>
  <si>
    <t>MLB3608832979</t>
  </si>
  <si>
    <t>MLB5333061006</t>
  </si>
  <si>
    <t>MLB5317927054</t>
  </si>
  <si>
    <t>MLB5720280434</t>
  </si>
  <si>
    <t>MLB5455184820</t>
  </si>
  <si>
    <t>MLB4048413499</t>
  </si>
  <si>
    <t>MLB5363932670</t>
  </si>
  <si>
    <t>MLB4465780896</t>
  </si>
  <si>
    <t>MLB3575519785</t>
  </si>
  <si>
    <t>MLB4334319940</t>
  </si>
  <si>
    <t>MLB4374003842</t>
  </si>
  <si>
    <t>MLB3575506839</t>
  </si>
  <si>
    <t>MLB5443336924</t>
  </si>
  <si>
    <t>MLB4040621045</t>
  </si>
  <si>
    <t>MLB5459747960</t>
  </si>
  <si>
    <t>MLB5443312438</t>
  </si>
  <si>
    <t>MLB5398464960</t>
  </si>
  <si>
    <t>MLB5411212844</t>
  </si>
  <si>
    <t>MLB3605566789</t>
  </si>
  <si>
    <t>MLB5384079832</t>
  </si>
  <si>
    <t>MLB4098328463</t>
  </si>
  <si>
    <t>MLB4098328283</t>
  </si>
  <si>
    <t>MLB5443312602</t>
  </si>
  <si>
    <t>MLB5442681544</t>
  </si>
  <si>
    <t>MLB4041940347</t>
  </si>
  <si>
    <t>MLB5398452304</t>
  </si>
  <si>
    <t>MLB5442657248</t>
  </si>
  <si>
    <t>MLB4041978499</t>
  </si>
  <si>
    <t>MLB4056357835</t>
  </si>
  <si>
    <t>MLB4069041981</t>
  </si>
  <si>
    <t>MLB4040569635</t>
  </si>
  <si>
    <t>MLB5298211856</t>
  </si>
  <si>
    <t>MLB4059234055</t>
  </si>
  <si>
    <t>MLB4097943823</t>
  </si>
  <si>
    <t>MLB5455288838</t>
  </si>
  <si>
    <t>MLB4057767969</t>
  </si>
  <si>
    <t>MLB4040621071</t>
  </si>
  <si>
    <t>MLB5318082798</t>
  </si>
  <si>
    <t>MLB4059161785</t>
  </si>
  <si>
    <t>MLB4041858219</t>
  </si>
  <si>
    <t>MLB5436524982</t>
  </si>
  <si>
    <t>MLB5379368986</t>
  </si>
  <si>
    <t>MLB5371937466</t>
  </si>
  <si>
    <t>MLB3987764847</t>
  </si>
  <si>
    <t>MLB5340383778</t>
  </si>
  <si>
    <t>MLB5472270260</t>
  </si>
  <si>
    <t>MLB3989946767</t>
  </si>
  <si>
    <t>MLB3987847987</t>
  </si>
  <si>
    <t>MLB3990089347</t>
  </si>
  <si>
    <t>MLB3595875065</t>
  </si>
  <si>
    <t>MLB4389647198</t>
  </si>
  <si>
    <t>MLB3588170741</t>
  </si>
  <si>
    <t>MLB3608625197</t>
  </si>
  <si>
    <t>MLB3595933755</t>
  </si>
  <si>
    <t>MLB3913581237</t>
  </si>
  <si>
    <t>MLB4501481134</t>
  </si>
  <si>
    <t>MLB3570548313</t>
  </si>
  <si>
    <t>MLB3569857989</t>
  </si>
  <si>
    <t>MLB4263985355</t>
  </si>
  <si>
    <t>MLB5187088646</t>
  </si>
  <si>
    <t>MLB3569800313</t>
  </si>
  <si>
    <t>MLB3482170647</t>
  </si>
  <si>
    <t>MLB4443041318</t>
  </si>
  <si>
    <t>MLB4069008265</t>
  </si>
  <si>
    <t>MLB3902399249</t>
  </si>
  <si>
    <t>MLB3580853983</t>
  </si>
  <si>
    <t>MLB4263577961</t>
  </si>
  <si>
    <t>MLB5273989912</t>
  </si>
  <si>
    <t>MLB3595908497</t>
  </si>
  <si>
    <t>MLB3569899253</t>
  </si>
  <si>
    <t>MLB3482208543</t>
  </si>
  <si>
    <t>MLB4130660210</t>
  </si>
  <si>
    <t>MLB3595895555</t>
  </si>
  <si>
    <t>MLB4501497272</t>
  </si>
  <si>
    <t>MLB3595899773</t>
  </si>
  <si>
    <t>MLB3902435363</t>
  </si>
  <si>
    <t>MLB4838805838</t>
  </si>
  <si>
    <t>MLB4130634656</t>
  </si>
  <si>
    <t>MLB5184890824</t>
  </si>
  <si>
    <t>MLB3595845505</t>
  </si>
  <si>
    <t>MLB5184852518</t>
  </si>
  <si>
    <t>MLB5383649144</t>
  </si>
  <si>
    <t>MLB5184891404</t>
  </si>
  <si>
    <t>MLB4266080051</t>
  </si>
  <si>
    <t>MLB5166616302</t>
  </si>
  <si>
    <t>MLB5184776312</t>
  </si>
  <si>
    <t>MLB5184788190</t>
  </si>
  <si>
    <t>MLB3618063605</t>
  </si>
  <si>
    <t>MLB4085707863</t>
  </si>
  <si>
    <t>MLB5904901678</t>
  </si>
  <si>
    <t>MLB5873522132</t>
  </si>
  <si>
    <t>MLB5294171436</t>
  </si>
  <si>
    <t>MLB5166603058</t>
  </si>
  <si>
    <t>MLB3595858305</t>
  </si>
  <si>
    <t>MLB4466355108</t>
  </si>
  <si>
    <t>MLB3595883579</t>
  </si>
  <si>
    <t>MLB5184890900</t>
  </si>
  <si>
    <t>MLB5184826252</t>
  </si>
  <si>
    <t>MLB5264878292</t>
  </si>
  <si>
    <t>MLB4264287777</t>
  </si>
  <si>
    <t>MLB3482209147</t>
  </si>
  <si>
    <t>MLB3595908405</t>
  </si>
  <si>
    <t>MLB5828879392</t>
  </si>
  <si>
    <t>MLB5344533220</t>
  </si>
  <si>
    <t>MLB3902408271</t>
  </si>
  <si>
    <t>MLB4530736830</t>
  </si>
  <si>
    <t>MLB3595937931</t>
  </si>
  <si>
    <t>MLB5459749696</t>
  </si>
  <si>
    <t>MLB4058746473</t>
  </si>
  <si>
    <t>MLB4373956568</t>
  </si>
  <si>
    <t>MLB3618576137</t>
  </si>
  <si>
    <t>MLB3473649127</t>
  </si>
  <si>
    <t>MLB3473610361</t>
  </si>
  <si>
    <t>MLB3473661733</t>
  </si>
  <si>
    <t>MLB4145029024</t>
  </si>
  <si>
    <t>MLB5459797156</t>
  </si>
  <si>
    <t>MLB3980137463</t>
  </si>
  <si>
    <t>MLB5294324986</t>
  </si>
  <si>
    <t>MLB4389645778</t>
  </si>
  <si>
    <t>MLB3575521231</t>
  </si>
  <si>
    <t>MLB3569827055</t>
  </si>
  <si>
    <t>MLB3618002351</t>
  </si>
  <si>
    <t>MLB5166487836</t>
  </si>
  <si>
    <t>MLB3482170181</t>
  </si>
  <si>
    <t>MLB3497231445</t>
  </si>
  <si>
    <t>MLB4389594666</t>
  </si>
  <si>
    <t>MLB3908144765</t>
  </si>
  <si>
    <t>MLB5166499592</t>
  </si>
  <si>
    <t>MLB3569932553</t>
  </si>
  <si>
    <t>MLB3473674599</t>
  </si>
  <si>
    <t>MLB3473786083</t>
  </si>
  <si>
    <t>MLB4130372982</t>
  </si>
  <si>
    <t>MLB5449119306</t>
  </si>
  <si>
    <t>MLB3569859257</t>
  </si>
  <si>
    <t>MLB4979612208</t>
  </si>
  <si>
    <t>MLB4130410220</t>
  </si>
  <si>
    <t>MLB4474198204</t>
  </si>
  <si>
    <t>MLB5286057002</t>
  </si>
  <si>
    <t>MLB3504999269</t>
  </si>
  <si>
    <t>MLB4474173344</t>
  </si>
  <si>
    <t>MLB5418204886</t>
  </si>
  <si>
    <t>MLB4218390214</t>
  </si>
  <si>
    <t>MLB4501526142</t>
  </si>
  <si>
    <t>MLB3593456033</t>
  </si>
  <si>
    <t>MLB4373946272</t>
  </si>
  <si>
    <t>MLB4389644614</t>
  </si>
  <si>
    <t>MLB5829578638</t>
  </si>
  <si>
    <t>MLB3569801907</t>
  </si>
  <si>
    <t>MLB4501567716</t>
  </si>
  <si>
    <t>MLB3487968255</t>
  </si>
  <si>
    <t>MLB6038303110</t>
  </si>
  <si>
    <t>MLB3509789731</t>
  </si>
  <si>
    <t>MLB4343815188</t>
  </si>
  <si>
    <t>MLB3595901079</t>
  </si>
  <si>
    <t>MLB4501482226</t>
  </si>
  <si>
    <t>MLB4562759690</t>
  </si>
  <si>
    <t>MLB3593416973</t>
  </si>
  <si>
    <t>MLB4389509578</t>
  </si>
  <si>
    <t>MLB3580216353</t>
  </si>
  <si>
    <t>MLB3483649525</t>
  </si>
  <si>
    <t>MLB4134393952</t>
  </si>
  <si>
    <t>MLB3483671649</t>
  </si>
  <si>
    <t>MLB3595845531</t>
  </si>
  <si>
    <t>MLB4501389592</t>
  </si>
  <si>
    <t>MLB4389552566</t>
  </si>
  <si>
    <t>MLB3618054039</t>
  </si>
  <si>
    <t>MLB4501463704</t>
  </si>
  <si>
    <t>MLB3671801609</t>
  </si>
  <si>
    <t>MLB4177899425</t>
  </si>
  <si>
    <t>MLB3538529373</t>
  </si>
  <si>
    <t>MLB3482158365</t>
  </si>
  <si>
    <t>MLB4376507630</t>
  </si>
  <si>
    <t>MLB4343853346</t>
  </si>
  <si>
    <t>MLB4389643332</t>
  </si>
  <si>
    <t>MLB4501526094</t>
  </si>
  <si>
    <t>MLB4389655922</t>
  </si>
  <si>
    <t>MLB4389577514</t>
  </si>
  <si>
    <t>MLB3575560055</t>
  </si>
  <si>
    <t>MLB3605579111</t>
  </si>
  <si>
    <t>MLB4604004560</t>
  </si>
  <si>
    <t>MLB5064759302</t>
  </si>
  <si>
    <t>MLB4144929296</t>
  </si>
  <si>
    <t>MLB3605566393</t>
  </si>
  <si>
    <t>MLB3677393655</t>
  </si>
  <si>
    <t>MLB3482182919</t>
  </si>
  <si>
    <t>MLB5166488294</t>
  </si>
  <si>
    <t>MLB5383519114</t>
  </si>
  <si>
    <t>MLB3902383459</t>
  </si>
  <si>
    <t>MLB4264881109</t>
  </si>
  <si>
    <t>MLB5708205368</t>
  </si>
  <si>
    <t>MLB5831854476</t>
  </si>
  <si>
    <t>MLB4389630828</t>
  </si>
  <si>
    <t>MLB3595937921</t>
  </si>
  <si>
    <t>MLB4389569200</t>
  </si>
  <si>
    <t>MLB4264254999</t>
  </si>
  <si>
    <t>MLB5166513596</t>
  </si>
  <si>
    <t>MLB5383061598</t>
  </si>
  <si>
    <t>MLB5166539322</t>
  </si>
  <si>
    <t>MLB3482183411</t>
  </si>
  <si>
    <t>MLB5828918892</t>
  </si>
  <si>
    <t>MLB4240741704</t>
  </si>
  <si>
    <t>MLB3671737447</t>
  </si>
  <si>
    <t>MLB3482170481</t>
  </si>
  <si>
    <t>MLB3483671583</t>
  </si>
  <si>
    <t>MLB5186926186</t>
  </si>
  <si>
    <t>MLB5904735008</t>
  </si>
  <si>
    <t>MLB4501463346</t>
  </si>
  <si>
    <t>MLB3595833013</t>
  </si>
  <si>
    <t>MLB4389644798</t>
  </si>
  <si>
    <t>MLB5166596226</t>
  </si>
  <si>
    <t>MLB5166608860</t>
  </si>
  <si>
    <t>MLB5904773260</t>
  </si>
  <si>
    <t>MLB4389632174</t>
  </si>
  <si>
    <t>MLB3902407845</t>
  </si>
  <si>
    <t>MLB5827873996</t>
  </si>
  <si>
    <t>MLB4060954055</t>
  </si>
  <si>
    <t>MLB4264014997</t>
  </si>
  <si>
    <t>MLB5294247640</t>
  </si>
  <si>
    <t>MLB3902396347</t>
  </si>
  <si>
    <t>MLB5189273514</t>
  </si>
  <si>
    <t>MLB4056933127</t>
  </si>
  <si>
    <t>MLB5166514224</t>
  </si>
  <si>
    <t>MLB4777056656</t>
  </si>
  <si>
    <t>MLB5384701450</t>
  </si>
  <si>
    <t>MLB3595912439</t>
  </si>
  <si>
    <t>MLB4263511383</t>
  </si>
  <si>
    <t>MLB3902425067</t>
  </si>
  <si>
    <t>MLB4264624677</t>
  </si>
  <si>
    <t>MLB5382985182</t>
  </si>
  <si>
    <t>MLB5189295972</t>
  </si>
  <si>
    <t>MLB3575665511</t>
  </si>
  <si>
    <t>MLB5830702212</t>
  </si>
  <si>
    <t>MLB3982020329</t>
  </si>
  <si>
    <t>MLB5166511386</t>
  </si>
  <si>
    <t>MLB5828819464</t>
  </si>
  <si>
    <t>MLB4752202052</t>
  </si>
  <si>
    <t>MLB3912379475</t>
  </si>
  <si>
    <t>MLB5166513926</t>
  </si>
  <si>
    <t>MLB5383537146</t>
  </si>
  <si>
    <t>MLB3756279335</t>
  </si>
  <si>
    <t>MLB5166605994</t>
  </si>
  <si>
    <t>MLB3902408595</t>
  </si>
  <si>
    <t>MLB5597546568</t>
  </si>
  <si>
    <t>MLB4177885153</t>
  </si>
  <si>
    <t>MLB4389659278</t>
  </si>
  <si>
    <t>MLB3595862579</t>
  </si>
  <si>
    <t>MLB5294209184</t>
  </si>
  <si>
    <t>MLB3595924741</t>
  </si>
  <si>
    <t>MLB5166473010</t>
  </si>
  <si>
    <t>MLB3982059171</t>
  </si>
  <si>
    <t>MLB3575601351</t>
  </si>
  <si>
    <t>MLB3902382741</t>
  </si>
  <si>
    <t>MLB5418102512</t>
  </si>
  <si>
    <t>MLB3902412611</t>
  </si>
  <si>
    <t>MLB4058864679</t>
  </si>
  <si>
    <t>MLB5189285266</t>
  </si>
  <si>
    <t>MLB4085593641</t>
  </si>
  <si>
    <t>MLB4264315213</t>
  </si>
  <si>
    <t>MLB5166595500</t>
  </si>
  <si>
    <t>MLB5382846380</t>
  </si>
  <si>
    <t>MLB3902357351</t>
  </si>
  <si>
    <t>MLB3902421299</t>
  </si>
  <si>
    <t>MLB3575585979</t>
  </si>
  <si>
    <t>MLB3756266483</t>
  </si>
  <si>
    <t>MLB5166610418</t>
  </si>
  <si>
    <t>MLB5759673428</t>
  </si>
  <si>
    <t>MLB5827109846</t>
  </si>
  <si>
    <t>MLB3569919613</t>
  </si>
  <si>
    <t>MLB5294286652</t>
  </si>
  <si>
    <t>MLB5166499698</t>
  </si>
  <si>
    <t>MLB5443312414</t>
  </si>
  <si>
    <t>MLB4635675176</t>
  </si>
  <si>
    <t>MLB4501465748</t>
  </si>
  <si>
    <t>MLB5294248030</t>
  </si>
  <si>
    <t>MLB5166459206</t>
  </si>
  <si>
    <t>MLB5436477428</t>
  </si>
  <si>
    <t>MLB5189220500</t>
  </si>
  <si>
    <t>MLB4240652680</t>
  </si>
  <si>
    <t>MLB3482157617</t>
  </si>
  <si>
    <t>MLB4240628340</t>
  </si>
  <si>
    <t>MLB5433004172</t>
  </si>
  <si>
    <t>MLB5389671466</t>
  </si>
  <si>
    <t>MLB5064820792</t>
  </si>
  <si>
    <t>MLB3473649173</t>
  </si>
  <si>
    <t>MLB5413227724</t>
  </si>
  <si>
    <t>MLB3523015145</t>
  </si>
  <si>
    <t>MLB5384638486</t>
  </si>
  <si>
    <t>MLB4501510230</t>
  </si>
  <si>
    <t>MLB5383543042</t>
  </si>
  <si>
    <t>MLB4240741720</t>
  </si>
  <si>
    <t>MLB4389621490</t>
  </si>
  <si>
    <t>MLB5294260782</t>
  </si>
  <si>
    <t>MLB5166611036</t>
  </si>
  <si>
    <t>MLB3982045865</t>
  </si>
  <si>
    <t>MLB5418139512</t>
  </si>
  <si>
    <t>MLB4501465808</t>
  </si>
  <si>
    <t>MLB3912235663</t>
  </si>
  <si>
    <t>MLB4058531607</t>
  </si>
  <si>
    <t>MLB5184826596</t>
  </si>
  <si>
    <t>MLB3570611105</t>
  </si>
  <si>
    <t>MLB5184813700</t>
  </si>
  <si>
    <t>MLB5184814110</t>
  </si>
  <si>
    <t>MLB5184775356</t>
  </si>
  <si>
    <t>MLB5399660054</t>
  </si>
  <si>
    <t>MLB5383857290</t>
  </si>
  <si>
    <t>MLB4501503920</t>
  </si>
  <si>
    <t>MLB3496368717</t>
  </si>
  <si>
    <t>MLB4130346898</t>
  </si>
  <si>
    <t>MLB4263467651</t>
  </si>
  <si>
    <t>MLB3575495465</t>
  </si>
  <si>
    <t>MLB4263626547</t>
  </si>
  <si>
    <t>MLB4218390202</t>
  </si>
  <si>
    <t>MLB5829588086</t>
  </si>
  <si>
    <t>MLB3473649221</t>
  </si>
  <si>
    <t>MLB4777109606</t>
  </si>
  <si>
    <t>MLB5187113976</t>
  </si>
  <si>
    <t>MLB5756473116</t>
  </si>
  <si>
    <t>MLB4522097564</t>
  </si>
  <si>
    <t>MLB4240665500</t>
  </si>
  <si>
    <t>MLB5166544140</t>
  </si>
  <si>
    <t>MLB5294312134</t>
  </si>
  <si>
    <t>MLB3617991437</t>
  </si>
  <si>
    <t>MLB3482158555</t>
  </si>
  <si>
    <t>MLB4474221192</t>
  </si>
  <si>
    <t>MLB4373985516</t>
  </si>
  <si>
    <t>MLB4098328303</t>
  </si>
  <si>
    <t>MLB4389646222</t>
  </si>
  <si>
    <t>MLB3482170549</t>
  </si>
  <si>
    <t>MLB3510998059</t>
  </si>
  <si>
    <t>MLB4389567848</t>
  </si>
  <si>
    <t>MLB3852138185</t>
  </si>
  <si>
    <t>MLB3852125305</t>
  </si>
  <si>
    <t>MLB5065580764</t>
  </si>
  <si>
    <t>MLB3852063437</t>
  </si>
  <si>
    <t>MLB5443336822</t>
  </si>
  <si>
    <t>MLB3912235991</t>
  </si>
  <si>
    <t>MLB3570610029</t>
  </si>
  <si>
    <t>MLB4501568918</t>
  </si>
  <si>
    <t>MLB3569762041</t>
  </si>
  <si>
    <t>MLB5177151140</t>
  </si>
  <si>
    <t>MLB5080483422</t>
  </si>
  <si>
    <t>MLB5067487426</t>
  </si>
  <si>
    <t>MLB4144905284</t>
  </si>
  <si>
    <t>MLB3575495973</t>
  </si>
  <si>
    <t>MLB3487952273</t>
  </si>
  <si>
    <t>MLB3569787271</t>
  </si>
  <si>
    <t>MLB4130288024</t>
  </si>
  <si>
    <t>MLB3671718983</t>
  </si>
  <si>
    <t>MLB4501419688</t>
  </si>
  <si>
    <t>MLB4389553936</t>
  </si>
  <si>
    <t>MLB5829551286</t>
  </si>
  <si>
    <t>MLB4389579256</t>
  </si>
  <si>
    <t>MLB4389655210</t>
  </si>
  <si>
    <t>MLB5189306544</t>
  </si>
  <si>
    <t>MLB3912222983</t>
  </si>
  <si>
    <t>MLB4389595224</t>
  </si>
  <si>
    <t>MLB4318056113</t>
  </si>
  <si>
    <t>MLB4389595126</t>
  </si>
  <si>
    <t>MLB3902356673</t>
  </si>
  <si>
    <t>MLB5166593550</t>
  </si>
  <si>
    <t>MLB5831891288</t>
  </si>
  <si>
    <t>MLB4058987881</t>
  </si>
  <si>
    <t>MLB4130622128</t>
  </si>
  <si>
    <t>MLB5166511078</t>
  </si>
  <si>
    <t>MLB3575652625</t>
  </si>
  <si>
    <t>MLB3595895587</t>
  </si>
  <si>
    <t>MLB3902401539</t>
  </si>
  <si>
    <t>MLB5166486236</t>
  </si>
  <si>
    <t>MLB4130288018</t>
  </si>
  <si>
    <t>MLB4389574518</t>
  </si>
  <si>
    <t>MLB5336967594</t>
  </si>
  <si>
    <t>MLB4058759931</t>
  </si>
  <si>
    <t>MLB5166485898</t>
  </si>
  <si>
    <t>MLB4241303240</t>
  </si>
  <si>
    <t>MLB3649507679</t>
  </si>
  <si>
    <t>MLB4474210942</t>
  </si>
  <si>
    <t>MLB3902383207</t>
  </si>
  <si>
    <t>MLB3575592301</t>
  </si>
  <si>
    <t>MLB4389633758</t>
  </si>
  <si>
    <t>MLB3595908459</t>
  </si>
  <si>
    <t>MLB5166472702</t>
  </si>
  <si>
    <t>MLB3575602179</t>
  </si>
  <si>
    <t>MLB4130608984</t>
  </si>
  <si>
    <t>MLB3537421685</t>
  </si>
  <si>
    <t>MLB5184775976</t>
  </si>
  <si>
    <t>MLB5184801346</t>
  </si>
  <si>
    <t>MLB4019821965</t>
  </si>
  <si>
    <t>MLB5163803978</t>
  </si>
  <si>
    <t>MLB4178080913</t>
  </si>
  <si>
    <t>MLB5830475252</t>
  </si>
  <si>
    <t>MLB4111546529</t>
  </si>
  <si>
    <t>MLB5166539134</t>
  </si>
  <si>
    <t>MLB3564024063</t>
  </si>
  <si>
    <t>MLB3595862143</t>
  </si>
  <si>
    <t>MLB3482209611</t>
  </si>
  <si>
    <t>MLB4158838524</t>
  </si>
  <si>
    <t>MLB3482196849</t>
  </si>
  <si>
    <t>MLB4158526046</t>
  </si>
  <si>
    <t>MLB4130648372</t>
  </si>
  <si>
    <t>MLB4158540904</t>
  </si>
  <si>
    <t>MLB4342498219</t>
  </si>
  <si>
    <t>MLB4342485817</t>
  </si>
  <si>
    <t>MLB4342356447</t>
  </si>
  <si>
    <t>MLB4342499257</t>
  </si>
  <si>
    <t>MLB4342473665</t>
  </si>
  <si>
    <t>MLB5184852452</t>
  </si>
  <si>
    <t>MLB4130661276</t>
  </si>
  <si>
    <t>MLB4158553874</t>
  </si>
  <si>
    <t>MLB3482170945</t>
  </si>
  <si>
    <t>MLB4389647222</t>
  </si>
  <si>
    <t>MLB3482158605</t>
  </si>
  <si>
    <t>MLB4130622462</t>
  </si>
  <si>
    <t>MLB3575666007</t>
  </si>
  <si>
    <t>MLB4058768805</t>
  </si>
  <si>
    <t>MLB5294336964</t>
  </si>
  <si>
    <t>MLB4167124384</t>
  </si>
  <si>
    <t>MLB4376154548</t>
  </si>
  <si>
    <t>MLB3482157305</t>
  </si>
  <si>
    <t>MLB3497245101</t>
  </si>
  <si>
    <t>MLB3510947155</t>
  </si>
  <si>
    <t>MLB3482169951</t>
  </si>
  <si>
    <t>MLB3511010871</t>
  </si>
  <si>
    <t>MLB4130621244</t>
  </si>
  <si>
    <t>MLB4058754541</t>
  </si>
  <si>
    <t>MLB5298353672</t>
  </si>
  <si>
    <t>MLB4130372234</t>
  </si>
  <si>
    <t>MLB5442657290</t>
  </si>
  <si>
    <t>MLB5443270540</t>
  </si>
  <si>
    <t>MLB5442731474</t>
  </si>
  <si>
    <t>MLB5442657310</t>
  </si>
  <si>
    <t>MLB5337105180</t>
  </si>
  <si>
    <t>MLB5344496736</t>
  </si>
  <si>
    <t>MLB5509104918</t>
  </si>
  <si>
    <t>MLB3991562419</t>
  </si>
  <si>
    <t>MLB3991522533</t>
  </si>
  <si>
    <t>MLB4376153954</t>
  </si>
  <si>
    <t>MLB4394757108</t>
  </si>
  <si>
    <t>MLB4358591554</t>
  </si>
  <si>
    <t>MLB4405267024</t>
  </si>
  <si>
    <t>MLB4434519720</t>
  </si>
  <si>
    <t>MLB5318767770</t>
  </si>
  <si>
    <t>MLB5317736716</t>
  </si>
  <si>
    <t>MLB5318664972</t>
  </si>
  <si>
    <t>MLB3633571195</t>
  </si>
  <si>
    <t>MLB4838848646</t>
  </si>
  <si>
    <t>MLB3474520321</t>
  </si>
  <si>
    <t>MLB3504947943</t>
  </si>
  <si>
    <t>MLB3556277387</t>
  </si>
  <si>
    <t>MLB3474533061</t>
  </si>
  <si>
    <t>MLB3551572499</t>
  </si>
  <si>
    <t>MLB5828969980</t>
  </si>
  <si>
    <t>MLB3474558197</t>
  </si>
  <si>
    <t>MLB4241322736</t>
  </si>
  <si>
    <t>MLB3523015077</t>
  </si>
  <si>
    <t>MLB3902388749</t>
  </si>
  <si>
    <t>MLB4167149168</t>
  </si>
  <si>
    <t>MLB5418076938</t>
  </si>
  <si>
    <t>MLB4297527518</t>
  </si>
  <si>
    <t>MLB3551585553</t>
  </si>
  <si>
    <t>MLB3551598189</t>
  </si>
  <si>
    <t>MLB4060837947</t>
  </si>
  <si>
    <t>MLB4364482916</t>
  </si>
  <si>
    <t>MLB4297672706</t>
  </si>
  <si>
    <t>MLB5829499888</t>
  </si>
  <si>
    <t>MLB5184813968</t>
  </si>
  <si>
    <t>MLB3902376351</t>
  </si>
  <si>
    <t>MLB5184890542</t>
  </si>
  <si>
    <t>MLB5184891450</t>
  </si>
  <si>
    <t>MLB4321336468</t>
  </si>
  <si>
    <t>MLB4303965676</t>
  </si>
  <si>
    <t>MLB3556422353</t>
  </si>
  <si>
    <t>MLB4501394134</t>
  </si>
  <si>
    <t>MLB4297737720</t>
  </si>
  <si>
    <t>MLB4297791116</t>
  </si>
  <si>
    <t>MLB4297707532</t>
  </si>
  <si>
    <t>MLB5189259214</t>
  </si>
  <si>
    <t>MLB4112473310</t>
  </si>
  <si>
    <t>MLB3542974939</t>
  </si>
  <si>
    <t>MLB3551550249</t>
  </si>
  <si>
    <t>MLB4297686030</t>
  </si>
  <si>
    <t>MLB3474545921</t>
  </si>
  <si>
    <t>MLB4434467846</t>
  </si>
  <si>
    <t>MLB4297781216</t>
  </si>
  <si>
    <t>MLB3474507063</t>
  </si>
  <si>
    <t>MLB3474545857</t>
  </si>
  <si>
    <t>MLB3474545447</t>
  </si>
  <si>
    <t>MLB4297697982</t>
  </si>
  <si>
    <t>MLB4063097668</t>
  </si>
  <si>
    <t>MLB4297685932</t>
  </si>
  <si>
    <t>MLB3588196571</t>
  </si>
  <si>
    <t>MLB3474584357</t>
  </si>
  <si>
    <t>MLB4062968450</t>
  </si>
  <si>
    <t>MLB5185023262</t>
  </si>
  <si>
    <t>MLB3671718537</t>
  </si>
  <si>
    <t>MLB3553688529</t>
  </si>
  <si>
    <t>MLB4063066992</t>
  </si>
  <si>
    <t>MLB3732198897</t>
  </si>
  <si>
    <t>MLB4474160268</t>
  </si>
  <si>
    <t>MLB3537447705</t>
  </si>
  <si>
    <t>MLB3474570921</t>
  </si>
  <si>
    <t>MLB3504972853</t>
  </si>
  <si>
    <t>MLB3474570567</t>
  </si>
  <si>
    <t>MLB4373983132</t>
  </si>
  <si>
    <t>MLB3732100219</t>
  </si>
  <si>
    <t>MLB3922936661</t>
  </si>
  <si>
    <t>MLB4062938332</t>
  </si>
  <si>
    <t>MLB4653190830</t>
  </si>
  <si>
    <t>MLB4474757770</t>
  </si>
  <si>
    <t>MLB4364512888</t>
  </si>
  <si>
    <t>MLB4297711790</t>
  </si>
  <si>
    <t>MLB5294286716</t>
  </si>
  <si>
    <t>MLB3796768041</t>
  </si>
  <si>
    <t>MLB5829585416</t>
  </si>
  <si>
    <t>MLB4501538660</t>
  </si>
  <si>
    <t>MLB3483466857</t>
  </si>
  <si>
    <t>MLB4297684784</t>
  </si>
  <si>
    <t>MLB3570573513</t>
  </si>
  <si>
    <t>MLB5459760650</t>
  </si>
  <si>
    <t>MLB5186977078</t>
  </si>
  <si>
    <t>MLB3544986401</t>
  </si>
  <si>
    <t>MLB5292025832</t>
  </si>
  <si>
    <t>MLB3569840133</t>
  </si>
  <si>
    <t>MLB5294170312</t>
  </si>
  <si>
    <t>MLB4389508830</t>
  </si>
  <si>
    <t>MLB5187101608</t>
  </si>
  <si>
    <t>MLB4058755665</t>
  </si>
  <si>
    <t>MLB4058537085</t>
  </si>
  <si>
    <t>MLB5166461638</t>
  </si>
  <si>
    <t>MLB4063045912</t>
  </si>
  <si>
    <t>MLB4059524339</t>
  </si>
  <si>
    <t>MLB5166447914</t>
  </si>
  <si>
    <t>MLB4166808602</t>
  </si>
  <si>
    <t>MLB5930141638</t>
  </si>
  <si>
    <t>MLB3538490629</t>
  </si>
  <si>
    <t>MLB3551561231</t>
  </si>
  <si>
    <t>MLB3550461491</t>
  </si>
  <si>
    <t>MLB4290010471</t>
  </si>
  <si>
    <t>MLB4125917300</t>
  </si>
  <si>
    <t>MLB4125891692</t>
  </si>
  <si>
    <t>MLB4240754010</t>
  </si>
  <si>
    <t>MLB3551550241</t>
  </si>
  <si>
    <t>MLB5827784420</t>
  </si>
  <si>
    <t>MLB3556493535</t>
  </si>
  <si>
    <t>MLB3515550925</t>
  </si>
  <si>
    <t>MLB5829499688</t>
  </si>
  <si>
    <t>MLB3671749463</t>
  </si>
  <si>
    <t>MLB3474532137</t>
  </si>
  <si>
    <t>MLB4063080310</t>
  </si>
  <si>
    <t>MLB3459000337</t>
  </si>
  <si>
    <t>MLB3504972911</t>
  </si>
  <si>
    <t>MLB3474582981</t>
  </si>
  <si>
    <t>MLB5273964340</t>
  </si>
  <si>
    <t>MLB4389509810</t>
  </si>
  <si>
    <t>MLB3641007727</t>
  </si>
  <si>
    <t>MLB3569846579</t>
  </si>
  <si>
    <t>MLB4955165668</t>
  </si>
  <si>
    <t>MLB4263616129</t>
  </si>
  <si>
    <t>MLB5166500010</t>
  </si>
  <si>
    <t>MLB4167149340</t>
  </si>
  <si>
    <t>MLB3982020427</t>
  </si>
  <si>
    <t>MLB5827900984</t>
  </si>
  <si>
    <t>MLB3504934717</t>
  </si>
  <si>
    <t>MLB4077867582</t>
  </si>
  <si>
    <t>MLB3458987255</t>
  </si>
  <si>
    <t>MLB3497252749</t>
  </si>
  <si>
    <t>MLB3551550315</t>
  </si>
  <si>
    <t>MLB4085682311</t>
  </si>
  <si>
    <t>MLB3618042831</t>
  </si>
  <si>
    <t>MLB4424908820</t>
  </si>
  <si>
    <t>MLB3576596273</t>
  </si>
  <si>
    <t>MLB3474533657</t>
  </si>
  <si>
    <t>MLB4501476014</t>
  </si>
  <si>
    <t>MLB3474571953</t>
  </si>
  <si>
    <t>MLB4373984466</t>
  </si>
  <si>
    <t>MLB4217364892</t>
  </si>
  <si>
    <t>MLB3569848185</t>
  </si>
  <si>
    <t>MLB3534560897</t>
  </si>
  <si>
    <t>MLB3474583509</t>
  </si>
  <si>
    <t>MLB3474583267</t>
  </si>
  <si>
    <t>MLB5828859016</t>
  </si>
  <si>
    <t>MLB4389569618</t>
  </si>
  <si>
    <t>MLB4501521106</t>
  </si>
  <si>
    <t>MLB4413156056</t>
  </si>
  <si>
    <t>MLB3542920691</t>
  </si>
  <si>
    <t>MLB4317057114</t>
  </si>
  <si>
    <t>MLB3543015545</t>
  </si>
  <si>
    <t>MLB3521713879</t>
  </si>
  <si>
    <t>MLB3474507123</t>
  </si>
  <si>
    <t>MLB5389721198</t>
  </si>
  <si>
    <t>MLB4178016289</t>
  </si>
  <si>
    <t>MLB4237823882</t>
  </si>
  <si>
    <t>MLB5064745500</t>
  </si>
  <si>
    <t>MLB3871324883</t>
  </si>
  <si>
    <t>MLB3461636315</t>
  </si>
  <si>
    <t>MLB3618615875</t>
  </si>
  <si>
    <t>MLB3507036477</t>
  </si>
  <si>
    <t>MLB3474508177</t>
  </si>
  <si>
    <t>MLB3575585311</t>
  </si>
  <si>
    <t>MLB4063028548</t>
  </si>
  <si>
    <t>MLB3647966463</t>
  </si>
  <si>
    <t>MLB4637494160</t>
  </si>
  <si>
    <t>MLB4466308452</t>
  </si>
  <si>
    <t>MLB3569812971</t>
  </si>
  <si>
    <t>MLB4154595806</t>
  </si>
  <si>
    <t>MLB4217568540</t>
  </si>
  <si>
    <t>MLB3474557943</t>
  </si>
  <si>
    <t>MLB4221987573</t>
  </si>
  <si>
    <t>MLB5064696282</t>
  </si>
  <si>
    <t>MLB3595895575</t>
  </si>
  <si>
    <t>MLB5696821012</t>
  </si>
  <si>
    <t>MLB3575496385</t>
  </si>
  <si>
    <t>MLB3595858079</t>
  </si>
  <si>
    <t>MLB3604683645</t>
  </si>
  <si>
    <t>MLB3570561475</t>
  </si>
  <si>
    <t>MLB3569856429</t>
  </si>
  <si>
    <t>MLB3859753029</t>
  </si>
  <si>
    <t>MLB4063085060</t>
  </si>
  <si>
    <t>MLB4240739156</t>
  </si>
  <si>
    <t>MLB3550443351</t>
  </si>
  <si>
    <t>MLB4297620878</t>
  </si>
  <si>
    <t>MLB3595836489</t>
  </si>
  <si>
    <t>MLB5294273876</t>
  </si>
  <si>
    <t>MLB4635688108</t>
  </si>
  <si>
    <t>MLB4466321484</t>
  </si>
  <si>
    <t>MLB5185187526</t>
  </si>
  <si>
    <t>MLB5875093080</t>
  </si>
  <si>
    <t>MLB4297670374</t>
  </si>
  <si>
    <t>MLB4297710602</t>
  </si>
  <si>
    <t>MLB5189292726</t>
  </si>
  <si>
    <t>MLB3569861527</t>
  </si>
  <si>
    <t>MLB5294234724</t>
  </si>
  <si>
    <t>MLB5185287806</t>
  </si>
  <si>
    <t>MLB3641032759</t>
  </si>
  <si>
    <t>MLB3474596529</t>
  </si>
  <si>
    <t>MLB4006746823</t>
  </si>
  <si>
    <t>MLB3548950907</t>
  </si>
  <si>
    <t>MLB4364512198</t>
  </si>
  <si>
    <t>MLB5509431728</t>
  </si>
  <si>
    <t>MLB3595927625</t>
  </si>
  <si>
    <t>MLB4321329538</t>
  </si>
  <si>
    <t>MLB4058772393</t>
  </si>
  <si>
    <t>MLB5831477696</t>
  </si>
  <si>
    <t>MLB3543047109</t>
  </si>
  <si>
    <t>MLB4334066948</t>
  </si>
  <si>
    <t>MLB3544962893</t>
  </si>
  <si>
    <t>MLB5829433338</t>
  </si>
  <si>
    <t>MLB4313703504</t>
  </si>
  <si>
    <t>MLB4263803583</t>
  </si>
  <si>
    <t>MLB3556253923</t>
  </si>
  <si>
    <t>MLB5189293310</t>
  </si>
  <si>
    <t>MLB4405774441</t>
  </si>
  <si>
    <t>MLB3474533463</t>
  </si>
  <si>
    <t>MLB5363906890</t>
  </si>
  <si>
    <t>MLB6113154324</t>
  </si>
  <si>
    <t>MLB3474570873</t>
  </si>
  <si>
    <t>MLB5166499158</t>
  </si>
  <si>
    <t>MLB3474557489</t>
  </si>
  <si>
    <t>MLB5386764604</t>
  </si>
  <si>
    <t>MLB4111791123</t>
  </si>
  <si>
    <t>MLB5166511664</t>
  </si>
  <si>
    <t>MLB3912379583</t>
  </si>
  <si>
    <t>MLB3902370845</t>
  </si>
  <si>
    <t>MLB4264165159</t>
  </si>
  <si>
    <t>MLB4297765936</t>
  </si>
  <si>
    <t>MLB5828895112</t>
  </si>
  <si>
    <t>MLB3902355499</t>
  </si>
  <si>
    <t>MLB5436514550</t>
  </si>
  <si>
    <t>MLB3542921189</t>
  </si>
  <si>
    <t>MLB5832015686</t>
  </si>
  <si>
    <t>MLB5184262850</t>
  </si>
  <si>
    <t>MLB4267493575</t>
  </si>
  <si>
    <t>MLB5166498360</t>
  </si>
  <si>
    <t>MLB3902408309</t>
  </si>
  <si>
    <t>MLB4270175787</t>
  </si>
  <si>
    <t>MLB4321316404</t>
  </si>
  <si>
    <t>MLB3543015275</t>
  </si>
  <si>
    <t>MLB4297710730</t>
  </si>
  <si>
    <t>MLB4240778642</t>
  </si>
  <si>
    <t>MLB4059864205</t>
  </si>
  <si>
    <t>MLB5166597250</t>
  </si>
  <si>
    <t>MLB4297791726</t>
  </si>
  <si>
    <t>MLB5184275814</t>
  </si>
  <si>
    <t>MLB3542991431</t>
  </si>
  <si>
    <t>MLB3542958901</t>
  </si>
  <si>
    <t>MLB4263678811</t>
  </si>
  <si>
    <t>MLB5166547702</t>
  </si>
  <si>
    <t>MLB5163766054</t>
  </si>
  <si>
    <t>MLB5294222288</t>
  </si>
  <si>
    <t>MLB5166544332</t>
  </si>
  <si>
    <t>MLB4178028983</t>
  </si>
  <si>
    <t>MLB5166601220</t>
  </si>
  <si>
    <t>MLB3546184121</t>
  </si>
  <si>
    <t>MLB3542951757</t>
  </si>
  <si>
    <t>MLB5829564190</t>
  </si>
  <si>
    <t>MLB5442631106</t>
  </si>
  <si>
    <t>MLB5756523808</t>
  </si>
  <si>
    <t>MLB3902395677</t>
  </si>
  <si>
    <t>MLB5383649044</t>
  </si>
  <si>
    <t>MLB3902409569</t>
  </si>
  <si>
    <t>MLB5832035308</t>
  </si>
  <si>
    <t>MLB4297588818</t>
  </si>
  <si>
    <t>MLB4364513032</t>
  </si>
  <si>
    <t>MLB4297553778</t>
  </si>
  <si>
    <t>MLB4321329630</t>
  </si>
  <si>
    <t>MLB3543047033</t>
  </si>
  <si>
    <t>MLB5234300302</t>
  </si>
  <si>
    <t>MLB4130773239</t>
  </si>
  <si>
    <t>MLB4303878982</t>
  </si>
  <si>
    <t>MLB3543041591</t>
  </si>
  <si>
    <t>MLB5166544258</t>
  </si>
  <si>
    <t>MLB5294325024</t>
  </si>
  <si>
    <t>MLB5443270372</t>
  </si>
  <si>
    <t>MLB3902425165</t>
  </si>
  <si>
    <t>MLB4058624481</t>
  </si>
  <si>
    <t>MLB4297607218</t>
  </si>
  <si>
    <t>MLB3902360295</t>
  </si>
  <si>
    <t>MLB4059840005</t>
  </si>
  <si>
    <t>MLB3543040909</t>
  </si>
  <si>
    <t>MLB4297720484</t>
  </si>
  <si>
    <t>MLB4752227858</t>
  </si>
  <si>
    <t>MLB4297690288</t>
  </si>
  <si>
    <t>MLB3902376091</t>
  </si>
  <si>
    <t>MLB5382847382</t>
  </si>
  <si>
    <t>MLB3902385871</t>
  </si>
  <si>
    <t>MLB3902407705</t>
  </si>
  <si>
    <t>MLB5383549338</t>
  </si>
  <si>
    <t>MLB5166539790</t>
  </si>
  <si>
    <t>MLB5383784378</t>
  </si>
  <si>
    <t>MLB4297708264</t>
  </si>
  <si>
    <t>MLB4777146880</t>
  </si>
  <si>
    <t>MLB4321316430</t>
  </si>
  <si>
    <t>MLB4297540596</t>
  </si>
  <si>
    <t>MLB5184801122</t>
  </si>
  <si>
    <t>MLB4297737616</t>
  </si>
  <si>
    <t>MLB3902375947</t>
  </si>
  <si>
    <t>MLB3543041559</t>
  </si>
  <si>
    <t>MLB5166595352</t>
  </si>
  <si>
    <t>MLB5418180124</t>
  </si>
  <si>
    <t>MLB5184822290</t>
  </si>
  <si>
    <t>MLB5383543448</t>
  </si>
  <si>
    <t>MLB3912223413</t>
  </si>
  <si>
    <t>MLB4297695348</t>
  </si>
  <si>
    <t>MLB3570586369</t>
  </si>
  <si>
    <t>MLB3902407539</t>
  </si>
  <si>
    <t>MLB4266279237</t>
  </si>
  <si>
    <t>MLB5166448940</t>
  </si>
  <si>
    <t>MLB5829763200</t>
  </si>
  <si>
    <t>MLB5184814228</t>
  </si>
  <si>
    <t>MLB5406950780</t>
  </si>
  <si>
    <t>MLB4297566082</t>
  </si>
  <si>
    <t>MLB4263975981</t>
  </si>
  <si>
    <t>MLB4290009239</t>
  </si>
  <si>
    <t>MLB5166449496</t>
  </si>
  <si>
    <t>MLB5184826572</t>
  </si>
  <si>
    <t>MLB5184788304</t>
  </si>
  <si>
    <t>MLB3542964095</t>
  </si>
  <si>
    <t>MLB4154608652</t>
  </si>
  <si>
    <t>MLB3721682233</t>
  </si>
  <si>
    <t>MLB4297630446</t>
  </si>
  <si>
    <t>MLB5271572036</t>
  </si>
  <si>
    <t>MLB4297690250</t>
  </si>
  <si>
    <t>MLB4058534215</t>
  </si>
  <si>
    <t>MLB5189208416</t>
  </si>
  <si>
    <t>MLB5184814090</t>
  </si>
  <si>
    <t>MLB5827844844</t>
  </si>
  <si>
    <t>MLB3542991467</t>
  </si>
  <si>
    <t>MLB5831750828</t>
  </si>
  <si>
    <t>MLB4059917133</t>
  </si>
  <si>
    <t>MLB5189209118</t>
  </si>
  <si>
    <t>MLB5247891916</t>
  </si>
  <si>
    <t>MLB5189287728</t>
  </si>
  <si>
    <t>MLB5189287874</t>
  </si>
  <si>
    <t>MLB5827783586</t>
  </si>
  <si>
    <t>MLB5189293914</t>
  </si>
  <si>
    <t>MLB4374089388</t>
  </si>
  <si>
    <t>MLB5903964028</t>
  </si>
  <si>
    <t>MLB5184800532</t>
  </si>
  <si>
    <t>MLB3912222931</t>
  </si>
  <si>
    <t>MLB5177165036</t>
  </si>
  <si>
    <t>MLB3924221379</t>
  </si>
  <si>
    <t>MLB5184740440</t>
  </si>
  <si>
    <t>MLB3479556015</t>
  </si>
  <si>
    <t>MLB3559496441</t>
  </si>
  <si>
    <t>MLB4193831826</t>
  </si>
  <si>
    <t>MLB3859783505</t>
  </si>
  <si>
    <t>MLB3640982611</t>
  </si>
  <si>
    <t>MLB5410628696</t>
  </si>
  <si>
    <t>MLB4059723281</t>
  </si>
  <si>
    <t>MLB5184814138</t>
  </si>
  <si>
    <t>MLB5184814430</t>
  </si>
  <si>
    <t>MLB5184890786</t>
  </si>
  <si>
    <t>MLB5166536452</t>
  </si>
  <si>
    <t>MLB5383615130</t>
  </si>
  <si>
    <t>MLB4313703780</t>
  </si>
  <si>
    <t>MLB4085707729</t>
  </si>
  <si>
    <t>MLB3544905317</t>
  </si>
  <si>
    <t>MLB5166534684</t>
  </si>
  <si>
    <t>MLB3902357027</t>
  </si>
  <si>
    <t>MLB4085619535</t>
  </si>
  <si>
    <t>MLB3916460031</t>
  </si>
  <si>
    <t>MLB3902356701</t>
  </si>
  <si>
    <t>MLB4364524426</t>
  </si>
  <si>
    <t>MLB4321316620</t>
  </si>
  <si>
    <t>MLB4058716137</t>
  </si>
  <si>
    <t>MLB4317019450</t>
  </si>
  <si>
    <t>MLB4154344590</t>
  </si>
  <si>
    <t>MLB3551585445</t>
  </si>
  <si>
    <t>MLB3852137335</t>
  </si>
  <si>
    <t>MLB3852064409</t>
  </si>
  <si>
    <t>MLB3852088261</t>
  </si>
  <si>
    <t>MLB3852064381</t>
  </si>
  <si>
    <t>MLB5443270508</t>
  </si>
  <si>
    <t>MLB3912236001</t>
  </si>
  <si>
    <t>MLB5442618862</t>
  </si>
  <si>
    <t>MLB5443270534</t>
  </si>
  <si>
    <t>MLB5442768192</t>
  </si>
  <si>
    <t>MLB4125917072</t>
  </si>
  <si>
    <t>MLB3479549853</t>
  </si>
  <si>
    <t>MLB3497193821</t>
  </si>
  <si>
    <t>MLB3479543365</t>
  </si>
  <si>
    <t>MLB3479486233</t>
  </si>
  <si>
    <t>MLB5184839270</t>
  </si>
  <si>
    <t>MLB4356637280</t>
  </si>
  <si>
    <t>MLB3578560911</t>
  </si>
  <si>
    <t>MLB3580805905</t>
  </si>
  <si>
    <t>MLB3581624395</t>
  </si>
  <si>
    <t>MLB3715460785</t>
  </si>
  <si>
    <t>MLB3580805911</t>
  </si>
  <si>
    <t>MLB5323178256</t>
  </si>
  <si>
    <t>MLB3781521773</t>
  </si>
  <si>
    <t>MLB3567568491</t>
  </si>
  <si>
    <t>MLB4342381967</t>
  </si>
  <si>
    <t>MLB4342485805</t>
  </si>
  <si>
    <t>MLB4342460061</t>
  </si>
  <si>
    <t>MLB4342369931</t>
  </si>
  <si>
    <t>MLB4342370045</t>
  </si>
  <si>
    <t>MLB6018383518</t>
  </si>
  <si>
    <t>MLB4356312263</t>
  </si>
  <si>
    <t>MLB4342457893</t>
  </si>
  <si>
    <t>MLB3479436657</t>
  </si>
  <si>
    <t>MLB4169195176</t>
  </si>
  <si>
    <t>MLB3497219269</t>
  </si>
  <si>
    <t>MLB4169207894</t>
  </si>
  <si>
    <t>Comissão padrão</t>
  </si>
  <si>
    <t>Puxar do Meli</t>
  </si>
  <si>
    <t>Puxar o Proc p/ Tabela Padrão</t>
  </si>
  <si>
    <t>ITEM_ID</t>
  </si>
  <si>
    <t>ORIGINAL_PRICE</t>
  </si>
  <si>
    <t>SALE_FEE</t>
  </si>
  <si>
    <t>DISCOUNT_PERCENTAGE</t>
  </si>
  <si>
    <t>FINAL_PRICE</t>
  </si>
  <si>
    <t>STATUS</t>
  </si>
  <si>
    <t>ACTION</t>
  </si>
  <si>
    <t>ERRORS</t>
  </si>
  <si>
    <t>CANDIDATE_ID</t>
  </si>
  <si>
    <t>Desconto total</t>
  </si>
  <si>
    <t/>
  </si>
  <si>
    <t>Elegível</t>
  </si>
  <si>
    <t>Participar</t>
  </si>
  <si>
    <t>PA66716</t>
  </si>
  <si>
    <t>PA69848</t>
  </si>
  <si>
    <t>PA65755</t>
  </si>
  <si>
    <t>PA62750</t>
  </si>
  <si>
    <t>PA66746</t>
  </si>
  <si>
    <t>PA56215</t>
  </si>
  <si>
    <t>PA66747</t>
  </si>
  <si>
    <t>PA66721</t>
  </si>
  <si>
    <t>PA59925</t>
  </si>
  <si>
    <t>PA66715</t>
  </si>
  <si>
    <t>PA66730</t>
  </si>
  <si>
    <t>Colchão Queen Mola Probel Volare Luxo Branco</t>
  </si>
  <si>
    <t>PA56216</t>
  </si>
  <si>
    <t>MLB4655689647</t>
  </si>
  <si>
    <t>PA69849</t>
  </si>
  <si>
    <t>MLB6809276850</t>
  </si>
  <si>
    <t>PA66731</t>
  </si>
  <si>
    <t>PA66410</t>
  </si>
  <si>
    <t>PA52318</t>
  </si>
  <si>
    <t>MLB4693142507</t>
  </si>
  <si>
    <t>MLB4693513131</t>
  </si>
  <si>
    <t>PA85357</t>
  </si>
  <si>
    <t>PA94825</t>
  </si>
  <si>
    <t>MLB6802162328</t>
  </si>
  <si>
    <t>Colchão Solteiro Mola Probel Roma Cinza</t>
  </si>
  <si>
    <t>PA33096</t>
  </si>
  <si>
    <t>MLB4693175281</t>
  </si>
  <si>
    <t>MLB4693175469</t>
  </si>
  <si>
    <t>MLB4693506187</t>
  </si>
  <si>
    <t>MLB4693512659</t>
  </si>
  <si>
    <t>PA94831</t>
  </si>
  <si>
    <t>MLB6802768938</t>
  </si>
  <si>
    <t>MLB4693526719</t>
  </si>
  <si>
    <t>MLB6802770186</t>
  </si>
  <si>
    <t>MLB4642555379</t>
  </si>
  <si>
    <t>MLB4642555525</t>
  </si>
  <si>
    <t>MLB4693107483</t>
  </si>
  <si>
    <t>MLB4693107769</t>
  </si>
  <si>
    <t>MLB4693108253</t>
  </si>
  <si>
    <t>MLB4693508139</t>
  </si>
  <si>
    <t>MLB6802076388</t>
  </si>
  <si>
    <t>MLB6802290494</t>
  </si>
  <si>
    <t>MLB6802538892</t>
  </si>
  <si>
    <t>MLB6802770500</t>
  </si>
  <si>
    <t>MLB6808636794</t>
  </si>
  <si>
    <t>TITLE</t>
  </si>
  <si>
    <t>PA66406</t>
  </si>
  <si>
    <t>MLB4696019161</t>
  </si>
  <si>
    <t>PA94830</t>
  </si>
  <si>
    <t>MLB4695826589</t>
  </si>
  <si>
    <t>MLB6802664380</t>
  </si>
  <si>
    <t>MLB6804269464</t>
  </si>
  <si>
    <t>MLB4693526033</t>
  </si>
  <si>
    <t>PA52107</t>
  </si>
  <si>
    <t>PA56211</t>
  </si>
  <si>
    <t>Colchão Queen Mola Ensacada Probel Bari Branco</t>
  </si>
  <si>
    <t>PA51667</t>
  </si>
  <si>
    <t>PA69847</t>
  </si>
  <si>
    <t>Colchão Casal Espuma D28 Probel 14cm Branco/marrom</t>
  </si>
  <si>
    <t>PA51670</t>
  </si>
  <si>
    <t>Colchão Beliche Mola Ensacada Probel Alpha (78x188x26cm)</t>
  </si>
  <si>
    <t>PA65751</t>
  </si>
  <si>
    <t>PA85359</t>
  </si>
  <si>
    <t>PA69845</t>
  </si>
  <si>
    <t>Colchão Viúva Mola Ensacada Probel Sigma Plus (128x188x24cm)</t>
  </si>
  <si>
    <t>Colchão Solteiro Mola Probel Volare Luxo</t>
  </si>
  <si>
    <t>Colchão Solteiro Mola Ensacada Probel Passione Bambu</t>
  </si>
  <si>
    <t>Colchão Viúva Mola Probel Siena (128x188x28cm)</t>
  </si>
  <si>
    <t>PA66723</t>
  </si>
  <si>
    <t>MLB4696019159</t>
  </si>
  <si>
    <t>Colchão Solteiro Espuma D33 Advanced Prodormir 14cm</t>
  </si>
  <si>
    <t>Colchão Queen Mola Ensacada Probel Sigma Plus</t>
  </si>
  <si>
    <t>Colchão Casal Mola Ensacada Probel Alpha (138x188x26cm) Branco</t>
  </si>
  <si>
    <t>PA52000</t>
  </si>
  <si>
    <t>Colchão Queen Mola Ensacada Probel Cairo Ultra Gel</t>
  </si>
  <si>
    <t>PA66416</t>
  </si>
  <si>
    <t>PAA8635</t>
  </si>
  <si>
    <t>MLB4695831163</t>
  </si>
  <si>
    <t>PAA8767</t>
  </si>
  <si>
    <t>MLB4695851191</t>
  </si>
  <si>
    <t>PAA8770</t>
  </si>
  <si>
    <t>Colchão Casal Espuma D33 Próintense Probel 28cm Bege/marrom Bege</t>
  </si>
  <si>
    <t>Colchão Solteiro Mola Ensacada Probel Turim Branco</t>
  </si>
  <si>
    <t>Colchão Solteiro Mola Ensacada Probel Alpha (88x188x26cm)</t>
  </si>
  <si>
    <t>PA94826</t>
  </si>
  <si>
    <t>Colchão Queen Mola Probel Prohotel Casa</t>
  </si>
  <si>
    <t>Colchão Viúva Mola Ensacada Probel Alpha (128x188x26cm)</t>
  </si>
  <si>
    <t>PA94829</t>
  </si>
  <si>
    <t>Colchão Casal Mola Probel Prohotel Casa Branco</t>
  </si>
  <si>
    <t>PA33101</t>
  </si>
  <si>
    <t>PA33100</t>
  </si>
  <si>
    <t>Colchão Casal Mola Ensacada Prodormir Vegas Comfort</t>
  </si>
  <si>
    <t>Colchão Queen Mola Probel Roma (158x198x30cm)</t>
  </si>
  <si>
    <t>MLB4693830245</t>
  </si>
  <si>
    <t>MLB6802148120</t>
  </si>
  <si>
    <t>MLB6809277346</t>
  </si>
  <si>
    <t>MLB4693230003</t>
  </si>
  <si>
    <t>MLB4731835429</t>
  </si>
  <si>
    <t>MLB6802063812</t>
  </si>
  <si>
    <t>MLB4693108513</t>
  </si>
  <si>
    <t>MLB4693154761</t>
  </si>
  <si>
    <t>MLB4731822759</t>
  </si>
  <si>
    <t>MLB6802166232</t>
  </si>
  <si>
    <t>MLB6808611056</t>
  </si>
  <si>
    <t>MLB6808645942</t>
  </si>
  <si>
    <t>MLB6808649520</t>
  </si>
  <si>
    <t>MLB6888519848</t>
  </si>
  <si>
    <t>MLB6809277342</t>
  </si>
  <si>
    <t>MLB6809243952</t>
  </si>
  <si>
    <t>MLB6802136210</t>
  </si>
  <si>
    <t>Colchão Queen Mola Ensacada Probel Bari (158x198x32cm)</t>
  </si>
  <si>
    <r>
      <t>Título do anúncio</t>
    </r>
    <r>
      <rPr>
        <sz val="8"/>
        <rFont val="Arial"/>
      </rPr>
      <t xml:space="preserve"> </t>
    </r>
  </si>
  <si>
    <r>
      <t>Número do anúncio</t>
    </r>
    <r>
      <rPr>
        <sz val="8"/>
        <rFont val="Arial"/>
      </rPr>
      <t xml:space="preserve"> </t>
    </r>
  </si>
  <si>
    <r>
      <t>SKU</t>
    </r>
    <r>
      <rPr>
        <sz val="8"/>
        <rFont val="Arial"/>
      </rPr>
      <t xml:space="preserve"> </t>
    </r>
  </si>
  <si>
    <r>
      <t>Preço original</t>
    </r>
    <r>
      <rPr>
        <sz val="8"/>
        <rFont val="Arial"/>
      </rPr>
      <t xml:space="preserve"> </t>
    </r>
  </si>
  <si>
    <r>
      <t>Redução nas suas tarifas de venda</t>
    </r>
    <r>
      <rPr>
        <sz val="8"/>
        <rFont val="Arial"/>
      </rPr>
      <t xml:space="preserve"> </t>
    </r>
  </si>
  <si>
    <r>
      <t>Preço final</t>
    </r>
    <r>
      <rPr>
        <sz val="8"/>
        <rFont val="Arial"/>
      </rPr>
      <t xml:space="preserve"> </t>
    </r>
  </si>
  <si>
    <r>
      <t>Status da promoção</t>
    </r>
    <r>
      <rPr>
        <sz val="8"/>
        <rFont val="Arial"/>
      </rPr>
      <t xml:space="preserve"> </t>
    </r>
  </si>
  <si>
    <r>
      <t>O que você quer fazer com este anúncio?</t>
    </r>
    <r>
      <rPr>
        <sz val="8"/>
        <rFont val="Arial"/>
      </rPr>
      <t xml:space="preserve"> </t>
    </r>
  </si>
  <si>
    <r>
      <t>Observações e erros</t>
    </r>
    <r>
      <rPr>
        <sz val="8"/>
        <color rgb="FFFFFFFF"/>
        <rFont val="Arial"/>
      </rPr>
      <t xml:space="preserve"> 
Não altere este campo</t>
    </r>
  </si>
  <si>
    <r>
      <t>Não altere esta coluna</t>
    </r>
    <r>
      <rPr>
        <sz val="8"/>
        <rFont val="Arial"/>
      </rPr>
      <t xml:space="preserve"> </t>
    </r>
  </si>
  <si>
    <r>
      <t>Não altere este campo</t>
    </r>
    <r>
      <rPr>
        <sz val="8"/>
        <rFont val="Arial"/>
      </rPr>
      <t xml:space="preserve"> </t>
    </r>
  </si>
  <si>
    <t>Colchão Solteiro 88cm D33 Guarda Costas Pró Intense Pillow</t>
  </si>
  <si>
    <t>PA62649</t>
  </si>
  <si>
    <t>PA85350</t>
  </si>
  <si>
    <t>Colchão Casal Mola Ensacada Probel Sigma Plus Branco</t>
  </si>
  <si>
    <t>Colchão Casal Mola Ensacada Probel Bari (138x188x32cm) Branco</t>
  </si>
  <si>
    <t>Cod PA</t>
  </si>
  <si>
    <t>título</t>
  </si>
  <si>
    <t>Preço c/ comissão 16,5%</t>
  </si>
  <si>
    <t>Preço c/ comissão 15,5%</t>
  </si>
  <si>
    <t>Preço c/ comissão 14,5%</t>
  </si>
  <si>
    <t>Preço c/ comissão 13,5%</t>
  </si>
  <si>
    <t>Preço c/ comissão 12,5%</t>
  </si>
  <si>
    <t>Preço c/ comissão 11,5%</t>
  </si>
  <si>
    <t>Preço c/ comissão 10,5%</t>
  </si>
  <si>
    <t>Preço c/ comissão 9,5%</t>
  </si>
  <si>
    <t>Preço c/ comissão 8,5%</t>
  </si>
  <si>
    <t>Preço c/ comissão 7,5%</t>
  </si>
  <si>
    <t>Preço c/ comissão 6,5%</t>
  </si>
  <si>
    <t>Preço c/ comissão 5,5%</t>
  </si>
  <si>
    <t>Preço c/ comissão 4,5%</t>
  </si>
  <si>
    <t>PAA4242</t>
  </si>
  <si>
    <t>Kit Box Baú Bipartido King com Colchão Mola Probel Prohotel Casa</t>
  </si>
  <si>
    <t>PAA2452</t>
  </si>
  <si>
    <t>Conjunto Box King Mola Ensacada Prodormir Imperium Soft Gel (193x203x78cm)</t>
  </si>
  <si>
    <t>PAA4246</t>
  </si>
  <si>
    <t>Kit Box Baú Bipartido King com Colchão Mola Ensacada Probel Munique</t>
  </si>
  <si>
    <t>PAA4224</t>
  </si>
  <si>
    <t>Kit Box Baú Bipartido King com Colchão Mola Ensacada Probel Versailles Ultra Gel</t>
  </si>
  <si>
    <t>PAA4237</t>
  </si>
  <si>
    <t>Kit Box Baú Bipartido King com Colchão Mola Ensacada Probel Cairo Ultra Gel</t>
  </si>
  <si>
    <t>PAA4219</t>
  </si>
  <si>
    <t>Kit Box Baú Bipartido King com Colchão Mola Probel Volare Luxo</t>
  </si>
  <si>
    <t>PAA2438</t>
  </si>
  <si>
    <t>Conjunto Box King Mola Ensacada Prodormir New Paris (193x203x74cm)</t>
  </si>
  <si>
    <t>PAA4228</t>
  </si>
  <si>
    <t>Kit Box Baú Bipartido King com Colchão Mola Ensacada Probel Bari</t>
  </si>
  <si>
    <t>PAA4241</t>
  </si>
  <si>
    <t>Kit Box Baú Bipartido Queen com Colchão Mola Probel Prohotel Casa</t>
  </si>
  <si>
    <t>PAA4251</t>
  </si>
  <si>
    <t>Kit Box Baú Bipartido King com Colchão Mola Ensacada Probel Excede Premium</t>
  </si>
  <si>
    <t>PAA4233</t>
  </si>
  <si>
    <t>Kit Box Baú Bipartido King com Colchão Mola Probel Siena</t>
  </si>
  <si>
    <t>PAA4256</t>
  </si>
  <si>
    <t>Kit Box Baú Bipartido King com Colchão Mola Ensacada Probel Turim Springs</t>
  </si>
  <si>
    <t>PA11332C6W</t>
  </si>
  <si>
    <t>Poltrona Reclinável Motorizada Prodormir Detroit Corino Preto</t>
  </si>
  <si>
    <t>PAA4240</t>
  </si>
  <si>
    <t>Kit Box Baú Casal com Colchão Mola Probel Prohotel Casa</t>
  </si>
  <si>
    <t>PAA4218</t>
  </si>
  <si>
    <t>Kit Box Baú Bipartido Queen com Colchão Mola Probel Volare Luxo</t>
  </si>
  <si>
    <t>PA59646</t>
  </si>
  <si>
    <t>Colchão King Mola Ensacada Prodormir Imperium Soft Gel (193x203x40cm)</t>
  </si>
  <si>
    <t>PA66887</t>
  </si>
  <si>
    <t>Conjunto Box King Mola Probel Prohotel Casa (193x203x78cm)</t>
  </si>
  <si>
    <t>PAA4261</t>
  </si>
  <si>
    <t>Kit Box Baú Bipartido King com Colchão Mola Probel Pró Charge</t>
  </si>
  <si>
    <t>PAA4227</t>
  </si>
  <si>
    <t>Kit Box Baú Bipartido Queen com Colchão Mola Ensacada Probel Bari</t>
  </si>
  <si>
    <t>PAA6507</t>
  </si>
  <si>
    <t>Conjunto Box King Mola Prodormir Hotel Residence (193x203x62cm)</t>
  </si>
  <si>
    <t>PAA4239</t>
  </si>
  <si>
    <t>Kit Box Baú Viúva com Colchão Mola Probel Prohotel Casa</t>
  </si>
  <si>
    <t>PAA2447</t>
  </si>
  <si>
    <t>Conjunto Box King Mola Ensacada Prodormir Copenhague (193x203x74cm)</t>
  </si>
  <si>
    <t>PAA2513</t>
  </si>
  <si>
    <t>Conjunto Box King Mola Ensacada Prodormir Comfort Bambu (193x203x72cm)</t>
  </si>
  <si>
    <t>PA66895</t>
  </si>
  <si>
    <t>Conjunto Box King Mola Ensacada Probel Munique (193x203x68cm)</t>
  </si>
  <si>
    <t>PA85281</t>
  </si>
  <si>
    <t>Conjunto Box King Mola Probel Prohotel Residence (193x203x62cm)</t>
  </si>
  <si>
    <t>PAA2503</t>
  </si>
  <si>
    <t>Conjunto Box King Mola Ensacada Prodormir Loft (193x203x70cm)</t>
  </si>
  <si>
    <t>PAA6460</t>
  </si>
  <si>
    <t>Conjunto Box King Mola Mira-Coil Prodormir Max Hotel Premium Force (193x203x70cm)</t>
  </si>
  <si>
    <t>PAA4245</t>
  </si>
  <si>
    <t>Kit Box Baú Bipartido Queen com Colchão Mola Ensacada Probel Munique</t>
  </si>
  <si>
    <t>PAA2437</t>
  </si>
  <si>
    <t>Conjunto Box Queen Mola Ensacada Prodormir New Paris (158x198x74cm)</t>
  </si>
  <si>
    <t>PAA2451</t>
  </si>
  <si>
    <t>Conjunto Box Queen Mola Ensacada Prodormir Imperium Soft Gel (158x198x78cm)</t>
  </si>
  <si>
    <t>PA51430</t>
  </si>
  <si>
    <t>Colchão King Mola Ensacada Prodormir New Paris (193x203x36cm)</t>
  </si>
  <si>
    <t>PAA6466</t>
  </si>
  <si>
    <t>Conjunto Box King Mola Ensacada Prodormir Max Hotel Premium Springs (193x203x70cm)</t>
  </si>
  <si>
    <t>PAA4223</t>
  </si>
  <si>
    <t>Kit Box Baú Bipartido Queen com Colchão Mola Ensacada Probel Versailles Ultra Gel</t>
  </si>
  <si>
    <t>PAA6472</t>
  </si>
  <si>
    <t>Conjunto Box King Mola Mira-Coil Prodormir Max Hotel Premium Force Dupla Face (193x203x70cm)</t>
  </si>
  <si>
    <t>PAA2450</t>
  </si>
  <si>
    <t>Conjunto Box Casal Mola Ensacada Prodormir Imperium Soft Gel (138x188x78cm)</t>
  </si>
  <si>
    <t>PAA4236</t>
  </si>
  <si>
    <t>Kit Box Baú Bipartido Queen com Colchão Mola Ensacada Probel Cairo Ultra Gel</t>
  </si>
  <si>
    <t>PA69746</t>
  </si>
  <si>
    <t>Colchão na Caixa King Espuma Visco Gel Probel Pró In Box (193x203x25cm)</t>
  </si>
  <si>
    <t>PA14034C6W</t>
  </si>
  <si>
    <t>Poltrona Reclinável Massageadora Motorizada Prodormir Aspen Corino Preto</t>
  </si>
  <si>
    <t>PA14034C5P</t>
  </si>
  <si>
    <t>Poltrona Reclinável Massageadora Motorizada Prodormir Aspen Corino Marrom</t>
  </si>
  <si>
    <t>PA14034C02</t>
  </si>
  <si>
    <t>Poltrona Reclinável Massageadora Motorizada Prodormir Aspen Corino Bege</t>
  </si>
  <si>
    <t>PA14034C05</t>
  </si>
  <si>
    <t>Poltrona Reclinável Massageadora Motorizada Prodormir Aspen Corino Azul</t>
  </si>
  <si>
    <t>PAA2523</t>
  </si>
  <si>
    <t>Conjunto Box King Mola Prodormir Manchester (193x203x71cm)</t>
  </si>
  <si>
    <t>PAA2449</t>
  </si>
  <si>
    <t>Conjunto Box Viúva Mola Ensacada Prodormir Imperium Soft Gel (128x188x78cm)</t>
  </si>
  <si>
    <t>PAA4244</t>
  </si>
  <si>
    <t>Kit Box Baú Casal com Colchão Mola Ensacada Probel Munique</t>
  </si>
  <si>
    <t>PA13974C6W</t>
  </si>
  <si>
    <t>Poltrona Reclinável Massageadora Motorizada Prodormir Catânia Corino Preto</t>
  </si>
  <si>
    <t>PA13974C5P</t>
  </si>
  <si>
    <t>Poltrona Reclinável Massageadora Motorizada Prodormir Catânia Corino Marrom</t>
  </si>
  <si>
    <t>PA13974C02</t>
  </si>
  <si>
    <t>Poltrona Reclinável Massageadora Motorizada Prodormir Catânia Corino Bege</t>
  </si>
  <si>
    <t>PA13974C05</t>
  </si>
  <si>
    <t>Poltrona Reclinável Massageadora Motorizada Prodormir Catânia Corino Azul</t>
  </si>
  <si>
    <t>PA13994C6W</t>
  </si>
  <si>
    <t>Poltrona Reclinável Massageadora Motorizada Prodormir Vermont Corino Preto</t>
  </si>
  <si>
    <t>PA13994C5P</t>
  </si>
  <si>
    <t>Poltrona Reclinável Massageadora Motorizada Prodormir Vermont Corino Marrom</t>
  </si>
  <si>
    <t>PA13994C02</t>
  </si>
  <si>
    <t>Poltrona Reclinável Massageadora Motorizada Prodormir Vermont Corino Bege</t>
  </si>
  <si>
    <t>PA13994C05</t>
  </si>
  <si>
    <t>Poltrona Reclinável Massageadora Motorizada Prodormir Vermont Corino Azul</t>
  </si>
  <si>
    <t>PAA6561</t>
  </si>
  <si>
    <t>Conjunto Box King Mola Max Hotel Premium Prodormir (193x203x70cm)</t>
  </si>
  <si>
    <t>PAA2476</t>
  </si>
  <si>
    <t>Conjunto Box King Mola Prodormir Hercules New Marrom (193x203x78cm)</t>
  </si>
  <si>
    <t>PAA2466</t>
  </si>
  <si>
    <t>Conjunto Box King Mola Prodormir Hercules New Branco (193x203x78cm)</t>
  </si>
  <si>
    <t>PAA2518</t>
  </si>
  <si>
    <t>Conjunto Box King Mola Ensacada Prodormir Dinamo Luxo (193x203x70cm)</t>
  </si>
  <si>
    <t>PA66886</t>
  </si>
  <si>
    <t>Conjunto Box Queen Mola Probel Prohotel Casa (158x198x78cm)</t>
  </si>
  <si>
    <t>PAA4250</t>
  </si>
  <si>
    <t>Kit Box Baú Bipartido Queen com Colchão Mola Ensacada Probel Excede Premium</t>
  </si>
  <si>
    <t>PA46184C6W</t>
  </si>
  <si>
    <t>Poltrona Reclinável Motorizada Probel Jacarta Corino Preto</t>
  </si>
  <si>
    <t>PA46184C5P</t>
  </si>
  <si>
    <t>Poltrona Reclinável Motorizada Probel Jacarta Corino Marrom</t>
  </si>
  <si>
    <t>PA46184C02</t>
  </si>
  <si>
    <t>Poltrona Reclinável Motorizada Probel Jacarta Corino Bege</t>
  </si>
  <si>
    <t>PA46184C05</t>
  </si>
  <si>
    <t>Poltrona Reclinável Motorizada Probel Jacarta Corino Azul</t>
  </si>
  <si>
    <t>PAA6477</t>
  </si>
  <si>
    <t>Conjunto Box King Mola Prodormir Max Hotel Premium (193x203x70cm)</t>
  </si>
  <si>
    <t>PA59645</t>
  </si>
  <si>
    <t>Colchão Queen Mola Ensacada Prodormir Imperium Soft Gel (158x198x40cm)</t>
  </si>
  <si>
    <t>PAA6506</t>
  </si>
  <si>
    <t>Conjunto Box Queen Mola Prodormir Hotel Residence (158x198x52cm)</t>
  </si>
  <si>
    <t>PAA1595</t>
  </si>
  <si>
    <t>Conjunto Box King Mola Ensacada Prodormir King Hard (193x203x72cm)</t>
  </si>
  <si>
    <t>PA66907</t>
  </si>
  <si>
    <t>Conjunto Box King Mola Ensacada Probel Versailles Ultra Gel (193x203x68cm)</t>
  </si>
  <si>
    <t>PAA2471</t>
  </si>
  <si>
    <t>Conjunto Box King Mola Prodormir Hercules New Bege (193x203x78cm)</t>
  </si>
  <si>
    <t>PAA4222</t>
  </si>
  <si>
    <t>Kit Box Baú Casal com Colchão Mola Ensacada Probel Versailles Ultra Gel</t>
  </si>
  <si>
    <t>PA66749</t>
  </si>
  <si>
    <t>Colchão King Mola Probel Prohotel Casa (193x203x40cm)</t>
  </si>
  <si>
    <t>PA96897</t>
  </si>
  <si>
    <t>Conjunto Box King Mola Probel Modern (193x203x70cm)</t>
  </si>
  <si>
    <t>PAA2512</t>
  </si>
  <si>
    <t>Conjunto Box Queen Mola Ensacada Prodormir Comfort Bambu (158x198x72cm)</t>
  </si>
  <si>
    <t>PAA2436</t>
  </si>
  <si>
    <t>Conjunto Box Casal Mola Ensacada Prodormir New Paris (138x188x74cm)</t>
  </si>
  <si>
    <t>PAA2446</t>
  </si>
  <si>
    <t>Conjunto Box Queen Mola Ensacada Prodormir Copenhague (158x198x74cm)</t>
  </si>
  <si>
    <t>PAA4235</t>
  </si>
  <si>
    <t>Kit Box Baú Casal com Colchão Mola Ensacada Probel Cairo Ultra Gel</t>
  </si>
  <si>
    <t>PA66763</t>
  </si>
  <si>
    <t>Colchão King Mola Ensacada Probel Munique (193x203x30cm)</t>
  </si>
  <si>
    <t>PA85280</t>
  </si>
  <si>
    <t>Conjunto Box Queen Mola Probel Prohotel Residence (158x198x62cm)</t>
  </si>
  <si>
    <t>PAA6459</t>
  </si>
  <si>
    <t>Conjunto Box Queen Mola Mira-Coil Prodormir Max Hotel Premium Force (158x198x70cm)</t>
  </si>
  <si>
    <t>PAA2502</t>
  </si>
  <si>
    <t>Conjunto Box Queen Mola Ensacada Prodormir Loft (170x198x70cm)</t>
  </si>
  <si>
    <t>PAA2461</t>
  </si>
  <si>
    <t>Conjunto Box King Mola Ensacada Prodormir Rubi Soft Gel (193x203x74cm)</t>
  </si>
  <si>
    <t>PAA6501</t>
  </si>
  <si>
    <t>Conjunto Box King Mola Mira-Coil Prodormir Max Hotel Comfort Force (193x203x63cm)</t>
  </si>
  <si>
    <t>PA66803</t>
  </si>
  <si>
    <t>Conjunto Box King Mola Ensacada Probel Cairo Ultra Gel (193x203x68cm)</t>
  </si>
  <si>
    <t>PAA2528</t>
  </si>
  <si>
    <t>Conjunto Box King Mola Prodormir Top Bambu (193x203x68cm)</t>
  </si>
  <si>
    <t>PA66894</t>
  </si>
  <si>
    <t>Conjunto Box Queen Mola Ensacada Probel Munique (158x198x68cm)</t>
  </si>
  <si>
    <t>PAA2552</t>
  </si>
  <si>
    <t>Conjunto Box King Espuma Prodormir Falcon (193x203x72cm)</t>
  </si>
  <si>
    <t>PA76282</t>
  </si>
  <si>
    <t>Colchão King Mola Prodormir Hotel Residence (193x203x40cm)</t>
  </si>
  <si>
    <t>PAA4217</t>
  </si>
  <si>
    <t>Kit Box Baú Casal com Colchão Mola Probel Volare Luxo</t>
  </si>
  <si>
    <t>PAA4232</t>
  </si>
  <si>
    <t>Kit Box Baú Bipartido Queen com Colchão Mola Probel Siena</t>
  </si>
  <si>
    <t>PA77238</t>
  </si>
  <si>
    <t>Colchão King Mola Probel Prohotel Residence (193x203x36cm)</t>
  </si>
  <si>
    <t>PAA4652</t>
  </si>
  <si>
    <t>Conjunto Box Solteirão Mola Ensacada Prodormir Imperium Soft Gel (100x200x78cm)</t>
  </si>
  <si>
    <t>PA96891</t>
  </si>
  <si>
    <t>Conjunto Box King Mola Ensacada Probel Elegancy Springs (193x203x72cm)</t>
  </si>
  <si>
    <t>PAA4255</t>
  </si>
  <si>
    <t>Kit Box Baú Bipartido Queen com Colchão Mola Ensacada Probel Turim Springs</t>
  </si>
  <si>
    <t>PAA6531</t>
  </si>
  <si>
    <t>Conjunto Box King Espuma D45 Prodormir Infinity Hotel Pillow Super (193x203x62cm)</t>
  </si>
  <si>
    <t>PA70049</t>
  </si>
  <si>
    <t>Conjunto Box King Mola Probel Prohotel Prime (193x203x68cm)</t>
  </si>
  <si>
    <t>PAA6525</t>
  </si>
  <si>
    <t>Conjunto Box King Espuma D45 Prodormir Infinity Hotel (193x203x62cm)</t>
  </si>
  <si>
    <t>PAA4221</t>
  </si>
  <si>
    <t>Kit Box Baú Viúva com Colchão Mola Ensacada Probel Versailles Ultra Gel</t>
  </si>
  <si>
    <t>PAA2537</t>
  </si>
  <si>
    <t>Conjunto Box King Espuma Prodormir Fiorano (193x203x72cm)</t>
  </si>
  <si>
    <t>PAA4226</t>
  </si>
  <si>
    <t>Kit Box Baú Casal com Colchão Mola Ensacada Probel Bari</t>
  </si>
  <si>
    <t>PAA2435</t>
  </si>
  <si>
    <t>Conjunto Box Viúva Mola Ensacada Prodormir New Paris (128x188x74cm)</t>
  </si>
  <si>
    <t>PAA4249</t>
  </si>
  <si>
    <t>Kit Box Baú Casal com Colchão Mola Ensacada Probel Excede Premium</t>
  </si>
  <si>
    <t>PAA4238</t>
  </si>
  <si>
    <t>Kit Box Baú Solteiro com Colchão Mola Probel Prohotel Casa</t>
  </si>
  <si>
    <t>PA67579</t>
  </si>
  <si>
    <t>Conjunto Box King Mola Probel Volare Luxo (193x203x71cm)</t>
  </si>
  <si>
    <t>PA46190C6W</t>
  </si>
  <si>
    <t>Poltrona Reclinável Massageadora Probel Jacarta Corino Preto</t>
  </si>
  <si>
    <t>PA46190C5P</t>
  </si>
  <si>
    <t>Poltrona Reclinável Massageadora Probel Jacarta Corino Marrom</t>
  </si>
  <si>
    <t>PA46190C02</t>
  </si>
  <si>
    <t>Poltrona Reclinável Massageadora Probel Jacarta Corino Bege</t>
  </si>
  <si>
    <t>PA46190C05</t>
  </si>
  <si>
    <t>Poltrona Reclinável Massageadora Probel Jacarta Corino Azul</t>
  </si>
  <si>
    <t>PA59569</t>
  </si>
  <si>
    <t>Colchão King Mola Ensacada Prodormir Copenhague (193x203x36cm)</t>
  </si>
  <si>
    <t>PAA6465</t>
  </si>
  <si>
    <t>Conjunto Box Queen Mola Ensacada Prodormir Max Hotel Premium Springs (158x198x70cm)</t>
  </si>
  <si>
    <t>PAA6471</t>
  </si>
  <si>
    <t>Conjunto Box Queen Mola Mira-Coil Prodormir Max Hotel Premium Force Dupla Face (158x198x70cm)</t>
  </si>
  <si>
    <t>PA85369</t>
  </si>
  <si>
    <t>Conjunto Box King Mola Ensacada Probel Excede Premium (193x203x56cm)</t>
  </si>
  <si>
    <t>PA70042</t>
  </si>
  <si>
    <t>Conjunto Box King Mola Probel Prohotel Comfort (193x203x64cm)</t>
  </si>
  <si>
    <t>PA78206</t>
  </si>
  <si>
    <t>Colchão King Mola Ensacada Prodormir Comfort Bambu (193x203x34cm)</t>
  </si>
  <si>
    <t>PAA2522</t>
  </si>
  <si>
    <t>Conjunto Box Queen Mola Prodormir Manchester (158x198x71cm)</t>
  </si>
  <si>
    <t>PA66795</t>
  </si>
  <si>
    <t>Conjunto Box King Mola Ensacada Probel Bari (193x203x58cm)</t>
  </si>
  <si>
    <t>PA69745</t>
  </si>
  <si>
    <t>Colchão na Caixa Queen Espuma Visco Gel Probel Pró In Box</t>
  </si>
  <si>
    <t>PAA1575</t>
  </si>
  <si>
    <t>Conjunto Box King Mola Ensacada Prodormir Bourbon New (193x203x72cm)</t>
  </si>
  <si>
    <t>PAA2547</t>
  </si>
  <si>
    <t>Conjunto Box King Mola Prodormir Foz (193x203x68cm)</t>
  </si>
  <si>
    <t>PAA2493</t>
  </si>
  <si>
    <t>Conjunto Box King Mola Ensacada Prodormir New Life (193x203x68cm)</t>
  </si>
  <si>
    <t>PAA4248</t>
  </si>
  <si>
    <t>Kit Box Baú Viúva com Colchão Mola Ensacada Probel Excede Premium</t>
  </si>
  <si>
    <t>PA46208C6W</t>
  </si>
  <si>
    <t>Poltrona Reclinável Motorizada Prodormir Tókio Corino Preto</t>
  </si>
  <si>
    <t>PA46208C5P</t>
  </si>
  <si>
    <t>Poltrona Reclinável Motorizada Prodormir Tókio Corino Marrom</t>
  </si>
  <si>
    <t>PA46208C02</t>
  </si>
  <si>
    <t>Poltrona Reclinável Motorizada Prodormir Tókio Corino Bege</t>
  </si>
  <si>
    <t>PA46208C05</t>
  </si>
  <si>
    <t>Poltrona Reclinável Motorizada Prodormir Tókio Corino Azul</t>
  </si>
  <si>
    <t>PA17782</t>
  </si>
  <si>
    <t>Conjunto Box King Mola Probel Roma (193x203x68cm)</t>
  </si>
  <si>
    <t>PAA2448</t>
  </si>
  <si>
    <t>Conjunto Box Solteiro Mola Ensacada Prodormir Imperium Soft Gel (88x188x78cm)</t>
  </si>
  <si>
    <t>PAA4260</t>
  </si>
  <si>
    <t>Kit Box Baú Bipartido Queen com Colchão Mola Probel Pró Charge</t>
  </si>
  <si>
    <t>PAA4231</t>
  </si>
  <si>
    <t>Kit Box Baú Casal com Colchão Mola Probel Siena</t>
  </si>
  <si>
    <t>PAA6489</t>
  </si>
  <si>
    <t>Conjunto Box King Mola Mira-Coil Prodormir Max Hotel Essential (193x203x60cm)</t>
  </si>
  <si>
    <t>PAA2508</t>
  </si>
  <si>
    <t>Conjunto Box King Mola Ensacada Prodormir Max Springs (193x203x68cm)</t>
  </si>
  <si>
    <t>PA70018</t>
  </si>
  <si>
    <t>Conjunto Box King Mola Ensacada Prodormir Max Hotel Comfort (193x203x64cm)</t>
  </si>
  <si>
    <t>PA51428</t>
  </si>
  <si>
    <t>Colchão Queen Mola Ensacada Prodormir New Paris (158x198x36cm)</t>
  </si>
  <si>
    <t>PAA6594</t>
  </si>
  <si>
    <t>Conjunto Box Queen Espuma D45 Prodormir Infinity Hotel (180x200x62cm)</t>
  </si>
  <si>
    <t>PA78136</t>
  </si>
  <si>
    <t>Colchão King Mola Ensacada Prodormir Loft (193x203x32cm)</t>
  </si>
  <si>
    <t>PAA4254</t>
  </si>
  <si>
    <t>Kit Box Baú Casal com Colchão Mola Ensacada Probel Turim Springs</t>
  </si>
  <si>
    <t>PAA6560</t>
  </si>
  <si>
    <t>Conjunto Box Queen Mola Max Hotel Premium Prodormir (158x198x70cm)</t>
  </si>
  <si>
    <t>PAA2475</t>
  </si>
  <si>
    <t>Conjunto Box Queen Mola Prodormir Hercules New Marrom (158x198x78cm)</t>
  </si>
  <si>
    <t>PA11218C6W</t>
  </si>
  <si>
    <t>Poltrona Reclinável Motorizada Prodormir Catânia Corino Preto</t>
  </si>
  <si>
    <t>PA11218C5P</t>
  </si>
  <si>
    <t>Poltrona Reclinável Motorizada Prodormir Catânia Corino Marrom</t>
  </si>
  <si>
    <t>PA11218C02</t>
  </si>
  <si>
    <t>Poltrona Reclinável Motorizada Prodormir Catânia Corino Bege</t>
  </si>
  <si>
    <t>PA11218C05</t>
  </si>
  <si>
    <t>Poltrona Reclinável Motorizada Prodormir Catânia Corino Azul</t>
  </si>
  <si>
    <t>PAA2465</t>
  </si>
  <si>
    <t>Conjunto Box Queen Mola Prodormir Hercules New Branco (158x198x78cm)</t>
  </si>
  <si>
    <t>PA11248C6W</t>
  </si>
  <si>
    <t>Poltrona Reclinável Motorizada Prodormir Vermont Corino Preto</t>
  </si>
  <si>
    <t>PA11248C5P</t>
  </si>
  <si>
    <t>Poltrona Reclinável Motorizada Prodormir Vermont Corino Marrom</t>
  </si>
  <si>
    <t>PA11248C02</t>
  </si>
  <si>
    <t>Poltrona Reclinável Motorizada Prodormir Vermont Corino Bege</t>
  </si>
  <si>
    <t>PA11248C05</t>
  </si>
  <si>
    <t>Poltrona Reclinável Motorizada Prodormir Vermont Corino Azul</t>
  </si>
  <si>
    <t>PAA2517</t>
  </si>
  <si>
    <t>Conjunto Box Queen Mola Ensacada Prodormir Dinamo Luxo (170x198x70cm)</t>
  </si>
  <si>
    <t>PAA6483</t>
  </si>
  <si>
    <t>Conjunto Box King Mola Prodormir Max Hotel Comfort (193x203x64cm)</t>
  </si>
  <si>
    <t>PA51978</t>
  </si>
  <si>
    <t>Colchão King Mola Mira-Coil Prodormir Max Hotel Premium Force (193x203x32cm)</t>
  </si>
  <si>
    <t>PA59644</t>
  </si>
  <si>
    <t>Colchão Casal Mola Ensacada Prodormir Imperium Soft Gel (138x188x40cm)</t>
  </si>
  <si>
    <t>PAA6476</t>
  </si>
  <si>
    <t>Conjunto Box Queen Mola Prodormir Max Hotel Premium (158x198x70cm)</t>
  </si>
  <si>
    <t>PAA4230</t>
  </si>
  <si>
    <t>Kit Box Baú Viúva com Colchão Mola Probel Siena</t>
  </si>
  <si>
    <t>PA66885</t>
  </si>
  <si>
    <t>Conjunto Box Casal Mola Probel Prohotel Casa (138x188x78cm)</t>
  </si>
  <si>
    <t>PAA6555</t>
  </si>
  <si>
    <t>Conjunto Box King Espuma D33 Prodormir Infinity Hotel Pillow Super (193x203x62cm)</t>
  </si>
  <si>
    <t>PAA1594</t>
  </si>
  <si>
    <t>Conjunto Box Queen Mola Ensacada Prodormir King Hard (158x198x72cm)</t>
  </si>
  <si>
    <t>PAA4253</t>
  </si>
  <si>
    <t>Kit Box Baú Viúva com Colchão Mola Ensacada Probel Turim Springs</t>
  </si>
  <si>
    <t>PAA2470</t>
  </si>
  <si>
    <t>Conjunto Box Queen Mola Prodormir Hercules New Bege (158x198x78cm)</t>
  </si>
  <si>
    <t>PAA6549</t>
  </si>
  <si>
    <t>Conjunto Box King Espuma D33 Prodormir Infinity Hotel (193x203x62cm)</t>
  </si>
  <si>
    <t>PA96896</t>
  </si>
  <si>
    <t>Conjunto Box Queen Mola Probel Modern (170x198x70cm)</t>
  </si>
  <si>
    <t>PAA6519</t>
  </si>
  <si>
    <t>Conjunto Box King Espuma D45 Prodormir Infinity Hotel (193x203x58cm)</t>
  </si>
  <si>
    <t>PA67206</t>
  </si>
  <si>
    <t>Colchão King Espuma Visco Gel Prodormir Active In Box (193x203x25cm)</t>
  </si>
  <si>
    <t>PA63390</t>
  </si>
  <si>
    <t>Colchão King Mola Probel Prohotel Prime (193x203x30cm)</t>
  </si>
  <si>
    <t>PA70034</t>
  </si>
  <si>
    <t>Conjunto Box King Mola Probel Prohotel Royal (193x203x61cm)</t>
  </si>
  <si>
    <t>PA85373</t>
  </si>
  <si>
    <t>Conjunto Box King Mola Ensacada Probel Turim  (193x203x66cm)</t>
  </si>
  <si>
    <t>PAA6504</t>
  </si>
  <si>
    <t>Conjunto Box Viúva Mola Prodormir Hotel Residence (128x188x62cm)</t>
  </si>
  <si>
    <t>PA59643</t>
  </si>
  <si>
    <t>Colchão Viúva Mola Ensacada Prodormir Imperium Soft Gel (128x188x40cm)</t>
  </si>
  <si>
    <t>PAA6458</t>
  </si>
  <si>
    <t>Conjunto Box Casal Mola Mira-Coil Prodormir Max Hotel Premium Force (138x188x70cm)</t>
  </si>
  <si>
    <t>PAA2527</t>
  </si>
  <si>
    <t>Conjunto Box Queen Mola Prodormir Top Bambu (158x198x68cm)</t>
  </si>
  <si>
    <t>PA69955</t>
  </si>
  <si>
    <t>Conjunto Box King Mola Ensacada Probel Vancouver (193x203x66cm)</t>
  </si>
  <si>
    <t>PAA6500</t>
  </si>
  <si>
    <t>Conjunto Box Queen Mola Mira-Coil Prodormir Max Hotel Comfort Force (158x198x63cm)</t>
  </si>
  <si>
    <t>PA70038</t>
  </si>
  <si>
    <t>PAA6505</t>
  </si>
  <si>
    <t>Conjunto Box Casal Mola Prodormir Hotel Residence (138x188x62cm)</t>
  </si>
  <si>
    <t>PA96885</t>
  </si>
  <si>
    <t>Conjunto Box King Mola Ensacada Probel Portugal (193x203x68cm)</t>
  </si>
  <si>
    <t>PA66799</t>
  </si>
  <si>
    <t>Conjunto Box King Mola Probel Siena (193x203x66cm)</t>
  </si>
  <si>
    <t>PA67137</t>
  </si>
  <si>
    <t>Colchão na Caixa Queen Espuma D33 Visco Gel Probel (35x172x35cm)</t>
  </si>
  <si>
    <t>PAA1600</t>
  </si>
  <si>
    <t>Conjunto Box King Mola Prodormir Safira Plus (193x203x70cm)</t>
  </si>
  <si>
    <t>PA66802</t>
  </si>
  <si>
    <t>Conjunto Box Queen Mola Ensacada Probel Cairo Ultra Gel (158x198x68cm)</t>
  </si>
  <si>
    <t>PAA2511</t>
  </si>
  <si>
    <t>Conjunto Box Casal Mola Ensacada Prodormir Comfort Bambu (138x188x72cm)</t>
  </si>
  <si>
    <t>PA59720</t>
  </si>
  <si>
    <t>Colchao King Miracoil Prodormir Max Hotel Premium Force (193x203x32cm)</t>
  </si>
  <si>
    <t>PAA4259</t>
  </si>
  <si>
    <t>Kit Box Baú Casal com Colchão Mola Probel Pró Charge</t>
  </si>
  <si>
    <t>PAA2460</t>
  </si>
  <si>
    <t>Conjunto Box Queen Mola Ensacada Prodormir Rubi Soft Gel (158x198x74cm)</t>
  </si>
  <si>
    <t>PAA2551</t>
  </si>
  <si>
    <t>Conjunto Box Queen Espuma Prodormir Falcon (158x198x72cm)</t>
  </si>
  <si>
    <t>PA85279</t>
  </si>
  <si>
    <t>Conjunto Box Casal Mola Probel Prohotel Residence (138x188x62cm)</t>
  </si>
  <si>
    <t>PA14031C6W</t>
  </si>
  <si>
    <t>Poltrona Reclinável Massageadora Prodormir Aspen Corino Preto</t>
  </si>
  <si>
    <t>PA14031C5P</t>
  </si>
  <si>
    <t>Poltrona Reclinável Massageadora Prodormir Aspen Corino Marrom</t>
  </si>
  <si>
    <t>PA14031C05</t>
  </si>
  <si>
    <t>Poltrona Reclinável Massageadora Prodormir Aspen Corino Azul</t>
  </si>
  <si>
    <t>PA46214C6W</t>
  </si>
  <si>
    <t>Poltrona Reclinável Massageadora Prodormir Tókio Corino Preto</t>
  </si>
  <si>
    <t>PA46214C5P</t>
  </si>
  <si>
    <t>Poltrona Reclinável Massageadora Prodormir Tókio Corino Marrom</t>
  </si>
  <si>
    <t>PA46214C02</t>
  </si>
  <si>
    <t>Poltrona Reclinável Massageadora Prodormir Tókio Corino Bege</t>
  </si>
  <si>
    <t>PA46214C05</t>
  </si>
  <si>
    <t>Poltrona Reclinável Massageadora Prodormir Tókio Corino Azul</t>
  </si>
  <si>
    <t>PA51988</t>
  </si>
  <si>
    <t>Colchão King Mola Ensacada Prodormir Max Hotel Premium Springs (193x203x32cm)</t>
  </si>
  <si>
    <t>PA96890</t>
  </si>
  <si>
    <t>Conjunto Box Queen Mola Ensacada Probel Elegancy Springs (158x198x72cm)</t>
  </si>
  <si>
    <t>PAA4243</t>
  </si>
  <si>
    <t>Kit Box Baú Solteiro com Colchão Mola Ensacada Probel Munique</t>
  </si>
  <si>
    <t>PAA2488</t>
  </si>
  <si>
    <t>Conjunto Box King Mola Ensacada Prodormir Outback New Bege (193x203x70cm)</t>
  </si>
  <si>
    <t>PA70048</t>
  </si>
  <si>
    <t>Conjunto Box Queen Mola Probel Prohotel Prime (158x198x68cm)</t>
  </si>
  <si>
    <t>PAA2445</t>
  </si>
  <si>
    <t>Conjunto Box Casal Mola Ensacada Prodormir Copenhague (138x188x74cm)</t>
  </si>
  <si>
    <t>PAA2501</t>
  </si>
  <si>
    <t>Conjunto Box Casal Mola Ensacada Prodormir Loft (138x188x70cm)</t>
  </si>
  <si>
    <t>PA57535</t>
  </si>
  <si>
    <t>Conjunto Box King Mola Probel Guardian (193x203x70cm)</t>
  </si>
  <si>
    <t>PA77933</t>
  </si>
  <si>
    <t>Colchão King Mola Ensacada Prodormir King Hard (193x203x34cm)</t>
  </si>
  <si>
    <t>PA66329</t>
  </si>
  <si>
    <t>Colchão King Mola Ensacada Probel Versailles Ultra Gel (193x203x30cm)</t>
  </si>
  <si>
    <t>PA66893</t>
  </si>
  <si>
    <t>Conjunto Box Casal Mola Ensacada Probel Munique (138x188x68cm)</t>
  </si>
  <si>
    <t>PA66762</t>
  </si>
  <si>
    <t>Colchão Queen Mola Ensacada Probel Munique (158x198x30cm)</t>
  </si>
  <si>
    <t>PA71947</t>
  </si>
  <si>
    <t>Conjunto Box Viúva Mola Probel Prohotel Casa (128x188x78cm)</t>
  </si>
  <si>
    <t>PA76280</t>
  </si>
  <si>
    <t>Colchão Queen Mola Prodormir Hotel Residence (158x198x40cm)</t>
  </si>
  <si>
    <t>PAA1589</t>
  </si>
  <si>
    <t>Conjunto Box King Mola Ensacada Prodormir Imperial Premium (193x203x68cm)</t>
  </si>
  <si>
    <t>PAA2536</t>
  </si>
  <si>
    <t>Conjunto Box Queen Espuma Prodormir Fiorano (158x198x72cm)</t>
  </si>
  <si>
    <t>Colchão Queen Mola Probel Prohotel Casa (158x198x40cm)</t>
  </si>
  <si>
    <t>PA77236</t>
  </si>
  <si>
    <t>Colchão Queen Mola Probel Prohotel Residence (158x198x36cm)</t>
  </si>
  <si>
    <t>PAA1585</t>
  </si>
  <si>
    <t>PAA6530</t>
  </si>
  <si>
    <t>Conjunto Box Queen Espuma D45 Prodormir Infinity Hotel Pillow Super (158x198x62cm)</t>
  </si>
  <si>
    <t>PA67198</t>
  </si>
  <si>
    <t>Colchão King Espuma Ultra Gel Prodormir Active In Box (193x203x25cm)</t>
  </si>
  <si>
    <t>PA96868</t>
  </si>
  <si>
    <t>Conjunto Box King Mola Probel Pró Charge (193x203x66cm)</t>
  </si>
  <si>
    <t>PA13971C6W</t>
  </si>
  <si>
    <t>Poltrona Reclinável Massageadora Prodormir Catânia Corino Preto</t>
  </si>
  <si>
    <t>PA13971C5P</t>
  </si>
  <si>
    <t>Poltrona Reclinável Massageadora Prodormir Catânia Corino Marrom</t>
  </si>
  <si>
    <t>PA13971C02</t>
  </si>
  <si>
    <t>Poltrona Reclinável Massageadora Prodormir Catânia Corino Bege</t>
  </si>
  <si>
    <t>PA13971C05</t>
  </si>
  <si>
    <t>Poltrona Reclinável Massageadora Prodormir Catânia Corino Azul</t>
  </si>
  <si>
    <t>PAA4258</t>
  </si>
  <si>
    <t>Kit Box Baú Viúva com Colchão Mola Probel Pró Charge</t>
  </si>
  <si>
    <t>PA66794</t>
  </si>
  <si>
    <t>Conjunto Box Queen Mola Ensacada Probel Bari (158x198x58cm)</t>
  </si>
  <si>
    <t>PAA2480</t>
  </si>
  <si>
    <t>Conjunto Box King Mola Ensacada Prodormir Outback New Marrom (193x203x66cm)</t>
  </si>
  <si>
    <t>PAA6597</t>
  </si>
  <si>
    <t>Conjunto Box Queen Espuma D33 Prodormir Infinity Hotel (180x200x62cm)</t>
  </si>
  <si>
    <t>PAA2510</t>
  </si>
  <si>
    <t>Conjunto Box Viúva Mola Ensacada Prodormir Comfort Bambu (128x188x72cm)</t>
  </si>
  <si>
    <t>PA67578</t>
  </si>
  <si>
    <t>Conjunto Box Queen Mola Probel Volare Luxo (158x198x71cm)</t>
  </si>
  <si>
    <t>PAA4641</t>
  </si>
  <si>
    <t>Conjunto Box Solteirão Mola Ensacada Prodormir New Paris (100x200x74cm)</t>
  </si>
  <si>
    <t>PAA6513</t>
  </si>
  <si>
    <t>Conjunto Box King Espuma D45 Prodormir Infinity Hotel (193x203x55cm)</t>
  </si>
  <si>
    <t>PAA6593</t>
  </si>
  <si>
    <t>Conjunto Box Queen Espuma D45 Prodormir Infinity Hotel (180x200x58cm)</t>
  </si>
  <si>
    <t>PA66891</t>
  </si>
  <si>
    <t>Conjunto Box King Mola Probel Napoli (193x203x68cm)</t>
  </si>
  <si>
    <t>PA66732</t>
  </si>
  <si>
    <t>Colchão King Mola Ensacada Probel Cairo Ultra Gel (193x203x30cm)</t>
  </si>
  <si>
    <t>PA51427</t>
  </si>
  <si>
    <t>Colchão Casal Mola Ensacada Prodormir New Paris (138x188x36cm)</t>
  </si>
  <si>
    <t>PA13991C6W</t>
  </si>
  <si>
    <t>Poltrona Reclinável Massageadora Prodormir Vermont Corino Preto</t>
  </si>
  <si>
    <t>PA13991C5P</t>
  </si>
  <si>
    <t>Poltrona Reclinável Massageadora Prodormir Vermont Corino Marrom</t>
  </si>
  <si>
    <t>PA13991C02</t>
  </si>
  <si>
    <t>Poltrona Reclinável Massageadora Prodormir Vermont Corino Bege</t>
  </si>
  <si>
    <t>PA13991C05</t>
  </si>
  <si>
    <t>Poltrona Reclinável Massageadora Prodormir Vermont Corino Azul</t>
  </si>
  <si>
    <t>PA96862</t>
  </si>
  <si>
    <t>Conjunto Box King Mola Ensacada Probel Alpha (193x203x64cm)</t>
  </si>
  <si>
    <t>PA70041</t>
  </si>
  <si>
    <t>Conjunto Box Queen Mola Probel Prohotel Comfort (158x198x64cm)</t>
  </si>
  <si>
    <t>PAA6524</t>
  </si>
  <si>
    <t>Conjunto Box Queen Espuma D45 Prodormir Infinity Hotel (158x198x62cm)</t>
  </si>
  <si>
    <t>PA59642</t>
  </si>
  <si>
    <t>Colchão Solteirão Mola Ensacada Prodormir Imperium Soft Gel (100x200x40cm)</t>
  </si>
  <si>
    <t>PA70026</t>
  </si>
  <si>
    <t>Conjunto Box King Mola Ensacada Prodormir Max Hotel Essential (193x203x61cm)</t>
  </si>
  <si>
    <t>PAA6470</t>
  </si>
  <si>
    <t>Conjunto Box Casal Mola Mira-Coil Prodormir Max Hotel Premium Force Dupla Face (138x188x70cm)</t>
  </si>
  <si>
    <t>PA67129</t>
  </si>
  <si>
    <t>Colchão na Caixa Queen Espuma D33 Ultra Gel Probel (35x172x35cm)</t>
  </si>
  <si>
    <t>PAA6457</t>
  </si>
  <si>
    <t>Conjunto Box Viúva Mola Mira-Coil Prodormir Max Hotel Premium Force (128x188x70cm)</t>
  </si>
  <si>
    <t>PA94874</t>
  </si>
  <si>
    <t>Colchão King Mola Ensacada Probel Elegancy Springs (193x203x34cm)</t>
  </si>
  <si>
    <t>PA70045</t>
  </si>
  <si>
    <t>PAA2500</t>
  </si>
  <si>
    <t>Conjunto Box Viúva Mola Ensacada Prodormir Loft (128x188x70cm)</t>
  </si>
  <si>
    <t>PAA2542</t>
  </si>
  <si>
    <t>Conjunto Box King Mola Prodormir Florida (193x203x63cm)</t>
  </si>
  <si>
    <t>PA96874</t>
  </si>
  <si>
    <t>Conjunto Box King Mola Ensacada Probel Santiago (193x203x62cm)</t>
  </si>
  <si>
    <t>PA67587</t>
  </si>
  <si>
    <t>Conjunto Box King Mola Ensacada Probel Passione Bambu (193x203x64cm)</t>
  </si>
  <si>
    <t>PAA2444</t>
  </si>
  <si>
    <t>Conjunto Box Viúva Mola Ensacada Prodormir Copenhague (128x188x74cm)</t>
  </si>
  <si>
    <t>PAA1581</t>
  </si>
  <si>
    <t>Conjunto Box King Mola Ensacada Prodormir Califórnia (193x203x64cm)</t>
  </si>
  <si>
    <t>PA85368</t>
  </si>
  <si>
    <t>Conjunto Box Queen Mola Ensacada Probel Excede Premium (158x198x56cm)</t>
  </si>
  <si>
    <t>PA77923</t>
  </si>
  <si>
    <t>Colchão King Mola Ensacada Probel American Extra Firme</t>
  </si>
  <si>
    <t>PA70131</t>
  </si>
  <si>
    <t>Colchão Embalado à Vácuo Queen Espuma D45 Guarda Costas (158x198x24cm)</t>
  </si>
  <si>
    <t>PAA6464</t>
  </si>
  <si>
    <t>Conjunto Box Casal Mola Ensacada Prodormir Max Hotel Premium Springs (138x188x70cm)</t>
  </si>
  <si>
    <t>PAA2546</t>
  </si>
  <si>
    <t>Conjunto Box Queen Mola Prodormir Foz (158x198x68cm)</t>
  </si>
  <si>
    <t>PAA1574</t>
  </si>
  <si>
    <t>Conjunto Box Queen Mola Ensacada Prodormir Bourbon New (158x198x72cm)</t>
  </si>
  <si>
    <t>PAA6543</t>
  </si>
  <si>
    <t>Conjunto Box King Espuma D33 Prodormir Infinity Hotel (193x203x58cm)</t>
  </si>
  <si>
    <t>PAA6488</t>
  </si>
  <si>
    <t>Conjunto Box Queen Mola Mira-Coil Prodormir Max Hotel Essential (158x198x60cm)</t>
  </si>
  <si>
    <t>PAA2492</t>
  </si>
  <si>
    <t>Conjunto Box Queen Mola Ensacada Prodormir New Life (158x198x68cm)</t>
  </si>
  <si>
    <t>PA59567</t>
  </si>
  <si>
    <t>Colchão Queen Mola Ensacada Prodormir Copenhague (158x198x36cm)</t>
  </si>
  <si>
    <t>PA94882</t>
  </si>
  <si>
    <t>Colchão King Mola Probel Modern (193x203x32cm)</t>
  </si>
  <si>
    <t>PAA2521</t>
  </si>
  <si>
    <t>Conjunto Box Casal Mola Prodormir Manchester (138x188x71cm)</t>
  </si>
  <si>
    <t>PA78774</t>
  </si>
  <si>
    <t>Colchão King Mola Ensacada Prodormir Dinamo Luxo (193x203x32cm)</t>
  </si>
  <si>
    <t>PA51948</t>
  </si>
  <si>
    <t>Colchão King Mola Max Hotel Premium Prodormir (193x203x32cm)</t>
  </si>
  <si>
    <t>PA70017</t>
  </si>
  <si>
    <t>Conjunto Box Queen Mola Ensacada Prodormir Max Hotel Comfort (158x198x64cm)</t>
  </si>
  <si>
    <t>PAA2507</t>
  </si>
  <si>
    <t>Conjunto Box Queen Mola Ensacada Prodormir Max Springs (158x198x68cm)</t>
  </si>
  <si>
    <t>PA86719</t>
  </si>
  <si>
    <t>Colchão King Espuma Prodormir Active Force Extreme (193x203x30cm)</t>
  </si>
  <si>
    <t>PAA4220</t>
  </si>
  <si>
    <t>Kit Box Baú Solteiro com Colchão Mola Ensacada Probel Versailles Ultra Gel</t>
  </si>
  <si>
    <t>PAA2498</t>
  </si>
  <si>
    <t>Conjunto Box King Mola Ensacada Prodormir Solar Max (193x203x62cm)</t>
  </si>
  <si>
    <t>PAA2484</t>
  </si>
  <si>
    <t>Conjunto Box King Mola Ensacada Prodormir Outback New Cinza (193x203x66cm)</t>
  </si>
  <si>
    <t>PA17780</t>
  </si>
  <si>
    <t>Conjunto Box Queen Mola Probel Roma (158x198x68cm)</t>
  </si>
  <si>
    <t>PA78204</t>
  </si>
  <si>
    <t>Colchão Queen Mola Ensacada Prodormir Comfort Bambu (158x198x34cm)</t>
  </si>
  <si>
    <t>PAA4234</t>
  </si>
  <si>
    <t>Kit Box Baú Solteiro com Colchão Mola Ensacada Probel Cairo Ultra Gel</t>
  </si>
  <si>
    <t>PA51426</t>
  </si>
  <si>
    <t>Colchão Viúva Mola Ensacada Prodormir New Paris (128x188x36cm)</t>
  </si>
  <si>
    <t>PA62885</t>
  </si>
  <si>
    <t>Colchão King Mola Prodormir Max Hotel Premium (193x203x32cm)</t>
  </si>
  <si>
    <t>PAA4216</t>
  </si>
  <si>
    <t>Kit Box Baú Solteiro com Colchão Mola Probel Volare Luxo</t>
  </si>
  <si>
    <t>PA66718</t>
  </si>
  <si>
    <t>Colchão King Mola Ensacada Probel Bari (193x203x32cm)</t>
  </si>
  <si>
    <t>PAA6559</t>
  </si>
  <si>
    <t>Conjunto Box Casal Mola Max Hotel Premium Prodormir (138x188x70cm)</t>
  </si>
  <si>
    <t>PAA6463</t>
  </si>
  <si>
    <t>Conjunto Box Viúva Mola Ensacada Prodormir Max Hotel Premium Springs (128x188x70cm)</t>
  </si>
  <si>
    <t>PA79448</t>
  </si>
  <si>
    <t>Colchão King Mola Prodormir Manchester (193x203x33cm)</t>
  </si>
  <si>
    <t>PAA6482</t>
  </si>
  <si>
    <t>Conjunto Box Queen Mola Prodormir Max Hotel Comfort (158x198x64cm)</t>
  </si>
  <si>
    <t>PA78134</t>
  </si>
  <si>
    <t>Colchão Queen Mola Ensacada Prodormir Loft (158x198x32cm)</t>
  </si>
  <si>
    <t>PA71607CDF</t>
  </si>
  <si>
    <t>Box Baú King Bipartido Probel Luxo Suede (193x203x40cm)</t>
  </si>
  <si>
    <t>PA71607C2R</t>
  </si>
  <si>
    <t>PA71607CAB</t>
  </si>
  <si>
    <t>PA71607CDD</t>
  </si>
  <si>
    <t>PA71607CAH</t>
  </si>
  <si>
    <t>PA71532C77</t>
  </si>
  <si>
    <t>Box Baú King Bipartido Probel Luxo Tela (193x203x40cm)</t>
  </si>
  <si>
    <t>PA71532CS4</t>
  </si>
  <si>
    <t>PA71532CAX</t>
  </si>
  <si>
    <t>PA85354</t>
  </si>
  <si>
    <t>Colchão King Mola Ensacada Probel Excede Premium (193x203x30cm)</t>
  </si>
  <si>
    <t>PAA6469</t>
  </si>
  <si>
    <t>Conjunto Box Viúva Mola Mira-Coil Prodormir Max Hotel Premium Force Dupla Face (128x188x70cm)</t>
  </si>
  <si>
    <t>PA71544C45</t>
  </si>
  <si>
    <t>Box Baú King Bipartido Probel Luxo Jacquard (193x203x40cm)</t>
  </si>
  <si>
    <t>PA51976</t>
  </si>
  <si>
    <t>Colchão Queen Mola Mira-Coil Prodormir Max Hotel Premium Force (158x198x32cm)</t>
  </si>
  <si>
    <t>PA63272</t>
  </si>
  <si>
    <t>Colchão King Mola Probel Prohotel Comfort (193x203x26cm)</t>
  </si>
  <si>
    <t>PA96880</t>
  </si>
  <si>
    <t>Conjunto Box King Mola Probel Chicago (193x203x62cm)</t>
  </si>
  <si>
    <t>PA70033</t>
  </si>
  <si>
    <t>Conjunto Box Queen Mola Probel Prohotel Royal (158x198x61cm)</t>
  </si>
  <si>
    <t>PA56218</t>
  </si>
  <si>
    <t>Colchão King Mola Probel Volare Luxo (193x203x33cm)</t>
  </si>
  <si>
    <t>PAA2520</t>
  </si>
  <si>
    <t>Conjunto Box Viúva Mola Prodormir Manchester (128x188x71cm)</t>
  </si>
  <si>
    <t>PA73756</t>
  </si>
  <si>
    <t>Colchão King Mola Prodormir Hercules New Marrom (193x203x40cm)</t>
  </si>
  <si>
    <t>PA70037</t>
  </si>
  <si>
    <t>PA73744</t>
  </si>
  <si>
    <t>Colchão King Mola Prodormir Hercules New Branco (193x203x40cm)</t>
  </si>
  <si>
    <t>PAA6596</t>
  </si>
  <si>
    <t>Conjunto Box Queen Espuma D33 Prodormir Infinity Hotel (180x200x58cm)</t>
  </si>
  <si>
    <t>PAA6475</t>
  </si>
  <si>
    <t>Conjunto Box Casal Mola Prodormir Max Hotel Premium (138x188x70cm)</t>
  </si>
  <si>
    <t>PAA2516</t>
  </si>
  <si>
    <t>Conjunto Box Casal Mola Ensacada Prodormir Dinamo Luxo (138x188x70cm)</t>
  </si>
  <si>
    <t>PAA6554</t>
  </si>
  <si>
    <t>Conjunto Box Queen Espuma D33 Prodormir Infinity Hotel Pillow Super (158x198x62cm)</t>
  </si>
  <si>
    <t>PAA2474</t>
  </si>
  <si>
    <t>Conjunto Box Casal Mola Prodormir Hercules New Marrom (138x188x78cm)</t>
  </si>
  <si>
    <t>PAA4225</t>
  </si>
  <si>
    <t>Kit Box Baú Solteiro com Colchão Mola Ensacada Probel Bari</t>
  </si>
  <si>
    <t>PA67136</t>
  </si>
  <si>
    <t>Colchão na Caixa Casal Espuma D33 Visco Gel Probel (35x152x35cm)</t>
  </si>
  <si>
    <t>Colchão Casal Mola Probel Prohotel Casa (138x188x40cm)</t>
  </si>
  <si>
    <t>PAA2464</t>
  </si>
  <si>
    <t>Conjunto Box Casal Mola Prodormir Hercules New Branco (138x188x78cm)</t>
  </si>
  <si>
    <t>PAA6518</t>
  </si>
  <si>
    <t>Conjunto Box Queen Espuma D45 Prodormir Infinity Hotel (158x198x58cm)</t>
  </si>
  <si>
    <t>PAA4247</t>
  </si>
  <si>
    <t>Kit Box Baú Solteiro com Colchão Mola Ensacada Probel Excede Premium</t>
  </si>
  <si>
    <t>PA85372</t>
  </si>
  <si>
    <t>Conjunto Box Queen Mola Ensacada Probel Turim  (158x198x66cm)</t>
  </si>
  <si>
    <t>PA66905</t>
  </si>
  <si>
    <t>Conjunto Box Casal Mola Ensacada Probel Versailles Ultra Gel (138x188x68cm)</t>
  </si>
  <si>
    <t>PAA1599</t>
  </si>
  <si>
    <t>Conjunto Box Queen Mola Prodormir Safira Plus (170x198x70cm)</t>
  </si>
  <si>
    <t>PAA6548</t>
  </si>
  <si>
    <t>Conjunto Box Queen Espuma D33 Prodormir Infinity Hotel (158x198x62cm)</t>
  </si>
  <si>
    <t>PA96884</t>
  </si>
  <si>
    <t>Conjunto Box Queen Mola Ensacada Probel Portugal (158x198x68cm)</t>
  </si>
  <si>
    <t>PA63388</t>
  </si>
  <si>
    <t>Colchão Queen Mola Probel Prohotel Prime (158x198x30cm)</t>
  </si>
  <si>
    <t>PA69954</t>
  </si>
  <si>
    <t>Conjunto Box Queen Mola Ensacada Probel Vancouver (158x198x66cm)</t>
  </si>
  <si>
    <t>PA73750</t>
  </si>
  <si>
    <t>Colchão King Mola Prodormir Hercules New Bege (193x203x40cm)</t>
  </si>
  <si>
    <t>PAA6558</t>
  </si>
  <si>
    <t>Conjunto Box Viúva Mola Max Hotel Premium Prodormir (128x188x70cm)</t>
  </si>
  <si>
    <t>PA92737</t>
  </si>
  <si>
    <t>Colchão King Espuma D45 Prodormir Infinity Hotel Pillow Super (193x203x24cm)</t>
  </si>
  <si>
    <t>PA67205</t>
  </si>
  <si>
    <t>Colchão Queen Espuma Visco Gel Prodormir Active In Box (158x198x25cm)</t>
  </si>
  <si>
    <t>PA92728</t>
  </si>
  <si>
    <t>Colchão King Espuma D45 Prodormir Infinity Hotel (193x203x24cm)</t>
  </si>
  <si>
    <t>PA66798</t>
  </si>
  <si>
    <t>Conjunto Box Queen Mola Probel Siena (158x198x66cm)</t>
  </si>
  <si>
    <t>PAA1593</t>
  </si>
  <si>
    <t>Conjunto Box Casal Mola Ensacada Prodormir King Hard (138x188x72cm)</t>
  </si>
  <si>
    <t>PA59718</t>
  </si>
  <si>
    <t>Colchao Queen Miracoil Prodormir Max Hotel Premium Force (158x198x32cm)</t>
  </si>
  <si>
    <t>PA59641</t>
  </si>
  <si>
    <t>Colchão Solteiro Mola Ensacada Prodormir Imperium Soft Gel (88x188x40cm)</t>
  </si>
  <si>
    <t>PAA6495</t>
  </si>
  <si>
    <t>Conjunto Box King Mola Prodormir Max Hotel Essential (193x203x61cm)</t>
  </si>
  <si>
    <t>PA67218</t>
  </si>
  <si>
    <t>Colchão King Mola Ensacada Prodormir Active In Box (193x203x26cm)</t>
  </si>
  <si>
    <t>PA69951</t>
  </si>
  <si>
    <t>Conjunto Box King Mola Ensacada Probel Sigma Plus (193x203x62cm)</t>
  </si>
  <si>
    <t>PA46178C6W</t>
  </si>
  <si>
    <t>Poltrona Reclinável Probel Jacarta Corino Preto</t>
  </si>
  <si>
    <t>PA46178C5P</t>
  </si>
  <si>
    <t>Poltrona Reclinável Probel Jacarta Corino Marrom</t>
  </si>
  <si>
    <t>PA46178C02</t>
  </si>
  <si>
    <t>Poltrona Reclinável Probel Jacarta Corino Bege</t>
  </si>
  <si>
    <t>PA46178C05</t>
  </si>
  <si>
    <t>Poltrona Reclinável Probel Jacarta Corino Azul</t>
  </si>
  <si>
    <t>PA71950</t>
  </si>
  <si>
    <t>Conjunto Box Viúva Mola Ensacada Probel Versailles (128x188x68cm)</t>
  </si>
  <si>
    <t>PAA6499</t>
  </si>
  <si>
    <t>Conjunto Box Casal Mola Mira-Coil Prodormir Max Hotel Comfort Force (138x188x63cm)</t>
  </si>
  <si>
    <t>PA96895</t>
  </si>
  <si>
    <t>Conjunto Box Casal Mola Probel Modern (138x188x70cm)</t>
  </si>
  <si>
    <t>PA33103</t>
  </si>
  <si>
    <t>Colchão King Mola Probel Roma (193x203x30cm)</t>
  </si>
  <si>
    <t>PA76279</t>
  </si>
  <si>
    <t>Colchão Casal Mola Prodormir Hotel Residence (138x188x40cm)</t>
  </si>
  <si>
    <t>PA69613</t>
  </si>
  <si>
    <t>Colchão King Mola Ensacada Prodormir Rubi Soft Gel (193x203x36cm)</t>
  </si>
  <si>
    <t>PA66801</t>
  </si>
  <si>
    <t>Conjunto Box Casal Mola Ensacada Probel Cairo Ultra Gel (138x188x68cm)</t>
  </si>
  <si>
    <t>PAA2526</t>
  </si>
  <si>
    <t>Conjunto Box Casal Mola Prodormir Top Bambu (138x188x68cm)</t>
  </si>
  <si>
    <t>PA57534</t>
  </si>
  <si>
    <t>Conjunto Box Queen Mola Probel Guardian (170x198x70cm)</t>
  </si>
  <si>
    <t>PAA2469</t>
  </si>
  <si>
    <t>Conjunto Box Casal Mola Prodormir Hercules New Bege (138x188x78cm)</t>
  </si>
  <si>
    <t>PAA2487</t>
  </si>
  <si>
    <t>Conjunto Box Queen Mola Ensacada Prodormir Outback New Bege (170x198x70cm)</t>
  </si>
  <si>
    <t>PAA4229</t>
  </si>
  <si>
    <t>Kit Box Baú Solteiro com Colchão Mola Probel Siena</t>
  </si>
  <si>
    <t>PA67568</t>
  </si>
  <si>
    <t>Conjunto Box Queen Mola Prodormir Sensitive Ômega (170x198x70cm)</t>
  </si>
  <si>
    <t>PAA2434</t>
  </si>
  <si>
    <t>Conjunto Box Solteiro Mola Ensacada Prodormir New Paris (88x188x74cm)</t>
  </si>
  <si>
    <t>PA63208</t>
  </si>
  <si>
    <t>Colchão King Mola Mira-Coil Prodormir Max Hotel Comfort Force (193x203x25cm)</t>
  </si>
  <si>
    <t>PA77235</t>
  </si>
  <si>
    <t>Colchão Casal Mola Probel Prohotel Residence (138x188x36cm)</t>
  </si>
  <si>
    <t>PA66761</t>
  </si>
  <si>
    <t>Colchão Casal Mola Ensacada Probel Munique (138x188x30cm)</t>
  </si>
  <si>
    <t>PAA1588</t>
  </si>
  <si>
    <t>Conjunto Box Queen Mola Ensacada Prodormir Imperial Premium (158x198x68cm)</t>
  </si>
  <si>
    <t>PA70047</t>
  </si>
  <si>
    <t>Conjunto Box Casal Mola Probel Prohotel Prime (138x188x68cm)</t>
  </si>
  <si>
    <t>PAA6503</t>
  </si>
  <si>
    <t>Conjunto Box Solteirão Mola Prodormir Hotel Residence (100x200x62cm)</t>
  </si>
  <si>
    <t>PAA2515</t>
  </si>
  <si>
    <t>Conjunto Box Viúva Mola Ensacada Prodormir Dinamo Luxo (128x188x70cm)</t>
  </si>
  <si>
    <t>PAA6474</t>
  </si>
  <si>
    <t>Conjunto Box Viúva Mola Prodormir Max Hotel Premium (128x188x70cm)</t>
  </si>
  <si>
    <t>PAA2473</t>
  </si>
  <si>
    <t>Conjunto Box Viúva Mola Prodormir Hercules New Marrom (128x188x78cm)</t>
  </si>
  <si>
    <t>PAA1584</t>
  </si>
  <si>
    <t>PAA2463</t>
  </si>
  <si>
    <t>Conjunto Box Viúva Mola Prodormir Hercules New Branco (128x188x78cm)</t>
  </si>
  <si>
    <t>PA51986</t>
  </si>
  <si>
    <t>Colchão Queen Mola Ensacada Prodormir Max Hotel Premium Springs (158x198x32cm)</t>
  </si>
  <si>
    <t>PA96867</t>
  </si>
  <si>
    <t>Conjunto Box Queen Mola Probel Pró Charge (158x198x66cm)</t>
  </si>
  <si>
    <t>PA77245</t>
  </si>
  <si>
    <t>Colchão King Mola Ensacada Prodormir Bourbon New (193x203x34cm)</t>
  </si>
  <si>
    <t>PAA4252</t>
  </si>
  <si>
    <t>Kit Box Baú Solteiro com Colchão Mola Ensacada Probel Turim Springs</t>
  </si>
  <si>
    <t>PA66745</t>
  </si>
  <si>
    <t>Colchão Viúva Mola Probel Prohotel Casa (128x188x40cm)</t>
  </si>
  <si>
    <t>PAA2479</t>
  </si>
  <si>
    <t>Conjunto Box Queen Mola Ensacada Prodormir Outback New Marrom (158x198x66cm)</t>
  </si>
  <si>
    <t>PAA2459</t>
  </si>
  <si>
    <t>Conjunto Box Casal Mola Ensacada Prodormir Rubi Soft Gel (138x188x74cm)</t>
  </si>
  <si>
    <t>PA66327</t>
  </si>
  <si>
    <t>Colchão Queen Mola Ensacada Probel Versailles Ultra Gel (158x198x30cm)</t>
  </si>
  <si>
    <t>PA96873</t>
  </si>
  <si>
    <t>Conjunto Box Queen Mola Ensacada Probel Santiago (158x198x62cm)</t>
  </si>
  <si>
    <t>PAA6494</t>
  </si>
  <si>
    <t>Conjunto Box Queen Mola Prodormir Max Hotel Essential (158x198x60cm)</t>
  </si>
  <si>
    <t>PA70340</t>
  </si>
  <si>
    <t>Colchão King Espuma D45 Prodormir Active In Box (193x203x17cm)</t>
  </si>
  <si>
    <t>PA77931</t>
  </si>
  <si>
    <t>Colchão Queen Mola Ensacada Prodormir King Hard (158x198x34cm)</t>
  </si>
  <si>
    <t>PAA2550</t>
  </si>
  <si>
    <t>Conjunto Box Casal Espuma Prodormir Falcon (138x188x72cm)</t>
  </si>
  <si>
    <t>PA66890</t>
  </si>
  <si>
    <t>Conjunto Box Queen Mola Probel Napoli (158x198x68cm)</t>
  </si>
  <si>
    <t>PA69860</t>
  </si>
  <si>
    <t>Colchão King Mola Ensacada Probel Vancouver (193x203x28cm)</t>
  </si>
  <si>
    <t>PA63144</t>
  </si>
  <si>
    <t>Colchão King Mola Ensacada Prodormir Max Hotel Comfort (193x203x26cm)</t>
  </si>
  <si>
    <t>PAA1592</t>
  </si>
  <si>
    <t>Conjunto Box Viúva Mola Ensacada Prodormir King Hard (128x188x72cm)</t>
  </si>
  <si>
    <t>PAA6456</t>
  </si>
  <si>
    <t>Conjunto Box Solteirão Mola Mira-Coil Prodormir Max Hotel Premium Force (100x200x70cm)</t>
  </si>
  <si>
    <t>PA70025</t>
  </si>
  <si>
    <t>Conjunto Box Queen Mola Ensacada Prodormir Max Hotel Essential (158x198x61cm)</t>
  </si>
  <si>
    <t>PA96889</t>
  </si>
  <si>
    <t>Conjunto Box Casal Mola Ensacada Probel Elegancy Springs (138x188x72cm)</t>
  </si>
  <si>
    <t>PA70130</t>
  </si>
  <si>
    <t>Colchão Embalado à Vácuo Casal Espuma D45 Guarda Costas (138x188x24cm)</t>
  </si>
  <si>
    <t>PAA4685</t>
  </si>
  <si>
    <t>Conjunto Box Solteirão Mola Ensacada Prodormir Comfort Bambu (100x200x72cm)</t>
  </si>
  <si>
    <t>PAA2541</t>
  </si>
  <si>
    <t>Conjunto Box Queen Mola Prodormir Florida (158x198x63cm)</t>
  </si>
  <si>
    <t>PA96861</t>
  </si>
  <si>
    <t>Conjunto Box Queen Mola Ensacada Probel Alpha (158x198x64cm)</t>
  </si>
  <si>
    <t>PA70127</t>
  </si>
  <si>
    <t>Colchão Embalado à Vácuo Queen Espuma D45 Guarda Costas (158x198x20cm)</t>
  </si>
  <si>
    <t>PA58275</t>
  </si>
  <si>
    <t>Conjunto Box Queen Mola Ensacada Probel Collin (158x198x68cm)</t>
  </si>
  <si>
    <t>PAA4683</t>
  </si>
  <si>
    <t>Conjunto Box Solteirão Mola Ensacada Prodormir Loft (100x200x70cm)</t>
  </si>
  <si>
    <t>PAA6595</t>
  </si>
  <si>
    <t>Conjunto Box Queen Espuma D33 Prodormir Infinity Hotel (180x200x55cm)</t>
  </si>
  <si>
    <t>PA79458</t>
  </si>
  <si>
    <t>Colchão King Mola Prodormir Top Bambu (193x203x30cm)</t>
  </si>
  <si>
    <t>PAA2525</t>
  </si>
  <si>
    <t>Conjunto Box Viúva Mola Prodormir Top Bambu (128x188x68cm)</t>
  </si>
  <si>
    <t>PA51424</t>
  </si>
  <si>
    <t>Colchão Solteirão Mola Ensacada Prodormir New Paris Ultra Gel (100x200x36cm)</t>
  </si>
  <si>
    <t>PA67577</t>
  </si>
  <si>
    <t>Conjunto Box Casal Mola Probel Volare Luxo (138x188x71cm)</t>
  </si>
  <si>
    <t>Colchão Queen Mola Ensacada Probel Cairo Ultra Gel (158x198x30cm)</t>
  </si>
  <si>
    <t>PA96894</t>
  </si>
  <si>
    <t>Conjunto Box Viúva Mola Probel Modern (128x188x70cm)</t>
  </si>
  <si>
    <t>PAA2468</t>
  </si>
  <si>
    <t>Conjunto Box Viúva Mola Prodormir Hercules New Bege (128x188x78cm)</t>
  </si>
  <si>
    <t>PA67586</t>
  </si>
  <si>
    <t>Conjunto Box Queen Mola Ensacada Probel Passione Bambu (158x198x64cm)</t>
  </si>
  <si>
    <t>PA70040</t>
  </si>
  <si>
    <t>Conjunto Box Casal Mola Probel Prohotel Comfort (138x188x64cm)</t>
  </si>
  <si>
    <t>PA62283</t>
  </si>
  <si>
    <t>Colchão King Espuma D45 Prodormir Active Techextreme (193x203x26cm)</t>
  </si>
  <si>
    <t>PAA1580</t>
  </si>
  <si>
    <t>Conjunto Box Queen Mola Ensacada Prodormir Califórnia (158x198x64cm)</t>
  </si>
  <si>
    <t>PA67197</t>
  </si>
  <si>
    <t>Colchão Queen Espuma Ultra Gel Prodormir Active In Box (158x198x25cm)</t>
  </si>
  <si>
    <t>PA76278</t>
  </si>
  <si>
    <t>Colchão Viúva Mola Prodormir Hotel Residence (128x188x40cm)</t>
  </si>
  <si>
    <t>PA92736</t>
  </si>
  <si>
    <t>Colchão Queen Espuma D45 Prodormir Infinity Hotel Pillow Super (180x200x24cm)</t>
  </si>
  <si>
    <t>PAA6512</t>
  </si>
  <si>
    <t>Conjunto Box Queen Espuma D45 Prodormir Infinity Hotel (158x198x55cm)</t>
  </si>
  <si>
    <t>PA70044</t>
  </si>
  <si>
    <t>PAA2535</t>
  </si>
  <si>
    <t>Conjunto Box Casal Espuma Prodormir Fiorano (138x188x72cm)</t>
  </si>
  <si>
    <t>PA92727</t>
  </si>
  <si>
    <t>Colchão Queen Espuma D45 Prodormir Infinity Hotel (180x200x24cm)</t>
  </si>
  <si>
    <t>PA59566</t>
  </si>
  <si>
    <t>Colchão Casal Mola Ensacada Prodormir Copenhague (138x188x36cm)</t>
  </si>
  <si>
    <t>PA85363</t>
  </si>
  <si>
    <t>Colchão King Mola Ensacada Probel Turim  (193x203x28cm)</t>
  </si>
  <si>
    <t>PAA6590</t>
  </si>
  <si>
    <t>Conjunto Box Solteirão Mola Prodormir Hotel Residence (90x200x62cm)</t>
  </si>
  <si>
    <t>PAA4651</t>
  </si>
  <si>
    <t>Conjunto Box Solteirão Mola Ensacada Prodormir Copenhague (100x200x74cm)</t>
  </si>
  <si>
    <t>PAA6523</t>
  </si>
  <si>
    <t>Conjunto Box Casal Espuma D45 Prodormir Infinity Hotel (138x188x62cm)</t>
  </si>
  <si>
    <t>PA70123</t>
  </si>
  <si>
    <t>Colchão Embalado à Vácuo Queen Espuma D33 Guarda Costas (158x198x24cm)</t>
  </si>
  <si>
    <t>PAA6529</t>
  </si>
  <si>
    <t>Conjunto Box Casal Espuma D45 Prodormir Infinity Hotel Pillow Super (138x188x62cm)</t>
  </si>
  <si>
    <t>PAA6542</t>
  </si>
  <si>
    <t>Conjunto Box Queen Espuma D33 Prodormir Infinity Hotel (158x198x58cm)</t>
  </si>
  <si>
    <t>PA51946</t>
  </si>
  <si>
    <t>Colchão Queen Mola Max Hotel Premium Prodormir (158x198x32cm)</t>
  </si>
  <si>
    <t>PA78203</t>
  </si>
  <si>
    <t>Colchão Casal Mola Ensacada Prodormir Comfort Bambu (138x188x34cm)</t>
  </si>
  <si>
    <t>PA94866</t>
  </si>
  <si>
    <t>Colchão King Mola Ensacada Probel Portugal (193x203x30cm)</t>
  </si>
  <si>
    <t>PA66727</t>
  </si>
  <si>
    <t>Colchão King Mola Probel Siena (193x203x28cm)</t>
  </si>
  <si>
    <t>PA35623</t>
  </si>
  <si>
    <t>Colchão King Mola Probel Guardian (193x203x32cm)</t>
  </si>
  <si>
    <t>PA51975</t>
  </si>
  <si>
    <t>Colchão Casal Mola Mira-Coil Prodormir Max Hotel Premium Force (138x188x32cm)</t>
  </si>
  <si>
    <t>PA71025</t>
  </si>
  <si>
    <t>Colchão King Espuma Prodormir Active Techextreme Luxo (193x203x32cm)</t>
  </si>
  <si>
    <t>PAA2458</t>
  </si>
  <si>
    <t>Conjunto Box Viúva Mola Ensacada Prodormir Rubi Soft Gel (128x188x74cm)</t>
  </si>
  <si>
    <t>PAA6498</t>
  </si>
  <si>
    <t>Conjunto Box Viúva Mola Mira-Coil Prodormir Max Hotel Comfort Force (128x188x63cm)</t>
  </si>
  <si>
    <t>PAA4257</t>
  </si>
  <si>
    <t>Kit Box Baú Solteiro com Colchão Mola Probel Pró Charge</t>
  </si>
  <si>
    <t>PA85367</t>
  </si>
  <si>
    <t>Conjunto Box Casal Mola Ensacada Probel Excede Premium (138x188x56cm)</t>
  </si>
  <si>
    <t>PA66793</t>
  </si>
  <si>
    <t>Conjunto Box Casal Mola Ensacada Probel Bari (138x188x58cm)</t>
  </si>
  <si>
    <t>PA94873</t>
  </si>
  <si>
    <t>Colchão Queen Mola Ensacada Probel Elegancy Springs (158x198x34cm)</t>
  </si>
  <si>
    <t>PA70151</t>
  </si>
  <si>
    <t>Colchão Queen Espuma D45 ProDormir Active Embalado à Vácuo (158x198x20cm)</t>
  </si>
  <si>
    <t>PA77921</t>
  </si>
  <si>
    <t>Colchão Queen Mola Ensacada Probel American Extra Firme</t>
  </si>
  <si>
    <t>PAA4657</t>
  </si>
  <si>
    <t>Conjunto Box Solteirão Mola Prodormir Max Hotel Premium (100x200x58cm)</t>
  </si>
  <si>
    <t>PA78133</t>
  </si>
  <si>
    <t>Colchão Casal Mola Ensacada Prodormir Loft (138x188x32cm)</t>
  </si>
  <si>
    <t>PAA2497</t>
  </si>
  <si>
    <t>Conjunto Box Queen Mola Ensacada Prodormir Solar Max (158x198x62cm)</t>
  </si>
  <si>
    <t>PA62883</t>
  </si>
  <si>
    <t>Colchão Queen Mola Prodormir Max Hotel Premium (158x198x32cm)</t>
  </si>
  <si>
    <t>PA17779</t>
  </si>
  <si>
    <t>Conjunto Box Casal Mola Probel Roma (138x188x68cm)</t>
  </si>
  <si>
    <t>PA96888</t>
  </si>
  <si>
    <t>Conjunto Box Viúva Mola Ensacada Probel Elegancy Springs (128x188x72cm)</t>
  </si>
  <si>
    <t>PA76277</t>
  </si>
  <si>
    <t>Colchão Solteirão Mola Prodormir Hotel Residence (120x203x40cm)</t>
  </si>
  <si>
    <t>PAA2483</t>
  </si>
  <si>
    <t>Conjunto Box Queen Mola Ensacada Prodormir Outback New Cinza (158x198x66cm)</t>
  </si>
  <si>
    <t>PA46202C6W</t>
  </si>
  <si>
    <t>Poltrona Reclinável Prodormir Tókio Corino Preto</t>
  </si>
  <si>
    <t>PA46202C5P</t>
  </si>
  <si>
    <t>Poltrona Reclinável Prodormir Tókio Corino Marrom</t>
  </si>
  <si>
    <t>PA46202C02</t>
  </si>
  <si>
    <t>Poltrona Reclinável Prodormir Tókio Corino Bege</t>
  </si>
  <si>
    <t>PA46202C05</t>
  </si>
  <si>
    <t>Poltrona Reclinável Prodormir Tókio Corino Azul</t>
  </si>
  <si>
    <t>PAA6487</t>
  </si>
  <si>
    <t>Conjunto Box Casal Mola Mira-Coil Prodormir Max Hotel Essential (138x188x60cm)</t>
  </si>
  <si>
    <t>PA70016</t>
  </si>
  <si>
    <t>Conjunto Box Casal Mola Ensacada Prodormir Max Hotel Comfort (138x188x64cm)</t>
  </si>
  <si>
    <t>PAA2545</t>
  </si>
  <si>
    <t>Conjunto Box Casal Mola Prodormir Foz (138x188x68cm)</t>
  </si>
  <si>
    <t>PA94881</t>
  </si>
  <si>
    <t>Colchão Queen Mola Probel Modern (158x198x32cm)</t>
  </si>
  <si>
    <t>PAA2549</t>
  </si>
  <si>
    <t>Conjunto Box Viúva Espuma Prodormir Falcon (128x188x72cm)</t>
  </si>
  <si>
    <t>PAA2491</t>
  </si>
  <si>
    <t>Conjunto Box Casal Mola Ensacada Prodormir New Life (138x188x68cm)</t>
  </si>
  <si>
    <t>PA11305C6W</t>
  </si>
  <si>
    <t>Poltrona Reclinável Prodormir Aspen Corino Preto</t>
  </si>
  <si>
    <t>PA11305C5P</t>
  </si>
  <si>
    <t>Poltrona Reclinável Prodormir Aspen Corino Marrom</t>
  </si>
  <si>
    <t>PA11305C02</t>
  </si>
  <si>
    <t>Poltrona Reclinável Prodormir Aspen Corino Bege</t>
  </si>
  <si>
    <t>PA11305C05</t>
  </si>
  <si>
    <t>Poltrona Reclinável Prodormir Aspen Corino Azul</t>
  </si>
  <si>
    <t>PAA4690</t>
  </si>
  <si>
    <t>Conjunto Box Solteirão Espuma Prodormir Active Force Extreme (100x200x56cm)</t>
  </si>
  <si>
    <t>PAA6468</t>
  </si>
  <si>
    <t>Conjunto Box Solteirão Mola Mira-Coil Prodormir Max Hotel Premium Force Dupla Face (100x200x70cm)</t>
  </si>
  <si>
    <t>PAA4687</t>
  </si>
  <si>
    <t>Conjunto Box Solteirão Mola Prodormir Manchester (100x200x71cm)</t>
  </si>
  <si>
    <t>PAA1573</t>
  </si>
  <si>
    <t>Conjunto Box Casal Mola Ensacada Prodormir Bourbon New (138x188x72cm)</t>
  </si>
  <si>
    <t>PAA6462</t>
  </si>
  <si>
    <t>Conjunto Box Solteirão Mola Ensacada Prodormir Max Hotel Premium Springs (100x200x70cm)</t>
  </si>
  <si>
    <t>PAA6537</t>
  </si>
  <si>
    <t>Conjunto Box King Espuma D33 Prodormir Infinity Hotel (193x203x55cm)</t>
  </si>
  <si>
    <t>PAA2506</t>
  </si>
  <si>
    <t>Conjunto Box Casal Mola Ensacada Prodormir Max Springs (138x188x68cm)</t>
  </si>
  <si>
    <t>PA86717</t>
  </si>
  <si>
    <t>Colchão Queen Espuma Prodormir Active Force Extreme (158x198x30cm)</t>
  </si>
  <si>
    <t>PAA6562</t>
  </si>
  <si>
    <t>Conjunto Box Solteirão MolaProdormir Max Hotel Premium Force (90x200x70cm)</t>
  </si>
  <si>
    <t>PA59565</t>
  </si>
  <si>
    <t>Colchão Viúva Mola Ensacada Prodormir Copenhague (128x188x36cm)</t>
  </si>
  <si>
    <t>PA96903</t>
  </si>
  <si>
    <t>Conjunto Box King Mola Ensacada Probel Akira (193x203x58cm)</t>
  </si>
  <si>
    <t>PA66758</t>
  </si>
  <si>
    <t>Colchão King Mola Probel Napoli (193x203x30cm)</t>
  </si>
  <si>
    <t>PA71604CAF</t>
  </si>
  <si>
    <t>Box Baú King Bipartido Prodormir Standard Rústico (193x203x34cm)</t>
  </si>
  <si>
    <t>PA71604CV6</t>
  </si>
  <si>
    <t>PA59717</t>
  </si>
  <si>
    <t>Colchao Casal Miracoil Prodormir Max Hotel Premium Force (138x188x32cm)</t>
  </si>
  <si>
    <t>PA66884</t>
  </si>
  <si>
    <t>Conjunto Box Solteiro Mola Probel Prohotel Casa (88x188x78cm)</t>
  </si>
  <si>
    <t>PA79446</t>
  </si>
  <si>
    <t>Colchão Queen Mola Prodormir Manchester (158x198x33cm)</t>
  </si>
  <si>
    <t>PA96879</t>
  </si>
  <si>
    <t>Conjunto Box Queen Mola Probel Chicago (158x198x62cm)</t>
  </si>
  <si>
    <t>PA71616CAB</t>
  </si>
  <si>
    <t>Box Baú King Bipartido Prodormir Standard Suede (193x203x34cm)</t>
  </si>
  <si>
    <t>PA71616C2R</t>
  </si>
  <si>
    <t>PA71616CDF</t>
  </si>
  <si>
    <t>PA71616CDD</t>
  </si>
  <si>
    <t>PA71616CAH</t>
  </si>
  <si>
    <t>PAA2534</t>
  </si>
  <si>
    <t>Conjunto Box Viúva Espuma Prodormir Fiorano (128x188x72cm)</t>
  </si>
  <si>
    <t>PA71541C77</t>
  </si>
  <si>
    <t>Box Baú King Bipartido Prodormir Standard Tela (193x203x34cm)</t>
  </si>
  <si>
    <t>PA71541CS4</t>
  </si>
  <si>
    <t>PA71541CAX</t>
  </si>
  <si>
    <t>PAA4680</t>
  </si>
  <si>
    <t>Conjunto Box Solteirão Mola Ensacada Prodormir King Hard (100x200x72cm)</t>
  </si>
  <si>
    <t>PA71550C45</t>
  </si>
  <si>
    <t>Box Baú King Bipartido Jacquard Prodormir Standard (193x203x34cm)</t>
  </si>
  <si>
    <t>PA78202</t>
  </si>
  <si>
    <t>Colchão Viúva Mola Ensacada Prodormir Comfort Bambu (128x188x34cm)</t>
  </si>
  <si>
    <t>PA94840</t>
  </si>
  <si>
    <t>Colchão King Mola Probel Pró Charge (193x203x28cm)</t>
  </si>
  <si>
    <t>PA63387</t>
  </si>
  <si>
    <t>Colchão Casal Mola Probel Prohotel Prime (138x188x30cm)</t>
  </si>
  <si>
    <t>PA63240</t>
  </si>
  <si>
    <t>Colchão King Mola Probel Prohotel Royal (193x203x23cm)</t>
  </si>
  <si>
    <t>PA63270</t>
  </si>
  <si>
    <t>Colchão Queen Mola Probel Prohotel Comfort (158x198x26cm)</t>
  </si>
  <si>
    <t>PA63048</t>
  </si>
  <si>
    <t>Colchão King Mola Prodormir Max Hotel Comfort (193x203x26cm)</t>
  </si>
  <si>
    <t>PA66892</t>
  </si>
  <si>
    <t>Conjunto Box Solteiro Mola Ensacada Probel Munique (88x188x68cm)</t>
  </si>
  <si>
    <t>PAA6528</t>
  </si>
  <si>
    <t>Conjunto Box Viúva Espuma D45 Prodormir Infinity Hotel Pillow Super (128x188x62cm)</t>
  </si>
  <si>
    <t>PAA6522</t>
  </si>
  <si>
    <t>Conjunto Box Viúva Espuma D45 Prodormir Infinity Hotel (128x188x62cm)</t>
  </si>
  <si>
    <t>PA70032</t>
  </si>
  <si>
    <t>Conjunto Box Casal Mola Probel Prohotel Royal (138x188x61cm)</t>
  </si>
  <si>
    <t>PA58281</t>
  </si>
  <si>
    <t>Conjunto Box Queen Mola Probel Loretto (158x198x66cm)</t>
  </si>
  <si>
    <t>PA78132</t>
  </si>
  <si>
    <t>Colchão Viúva Mola Ensacada Prodormir Loft (128x188x32cm)</t>
  </si>
  <si>
    <t>PA70115</t>
  </si>
  <si>
    <t>Colchão Embalado à Vácuo Queen Espuma D28 Guarda Costas (158x198x24cm)</t>
  </si>
  <si>
    <t>PA78772</t>
  </si>
  <si>
    <t>Colchão Queen Mola Ensacada Prodormir Dinamo Luxo (158x198x32cm)</t>
  </si>
  <si>
    <t>PA63080</t>
  </si>
  <si>
    <t>Colchão King Mola Mira-Coil Prodormir Max Hotel Essential (193x203x22cm)</t>
  </si>
  <si>
    <t>PA77983</t>
  </si>
  <si>
    <t>Colchão King Mola Ensacada Prodormir New Life (193x203x30cm)</t>
  </si>
  <si>
    <t>PA71946</t>
  </si>
  <si>
    <t>Conjunto Box Viúva Mola Probel Roma (128x188x68cm)</t>
  </si>
  <si>
    <t>PA52109</t>
  </si>
  <si>
    <t>Colchão King Espuma D45 Guarda Costas Probel 20cm Branco/Cinza (193x203x20cm)</t>
  </si>
  <si>
    <t>PAA2544</t>
  </si>
  <si>
    <t>Conjunto Box Viúva Mola Prodormir Foz (128x188x68cm)</t>
  </si>
  <si>
    <t>PA70036</t>
  </si>
  <si>
    <t>PAA2490</t>
  </si>
  <si>
    <t>Conjunto Box Viúva Mola Ensacada Prodormir New Life (128x188x68cm)</t>
  </si>
  <si>
    <t>PAA4666</t>
  </si>
  <si>
    <t>Conjunto Box Solteirão Mola Ensacada Probel Versailles Ultra Gel (100x200x68cm)</t>
  </si>
  <si>
    <t>PA92068</t>
  </si>
  <si>
    <t>Colchão King Espuma Prodormir Falcon (193x203x34cm)</t>
  </si>
  <si>
    <t>PA85352</t>
  </si>
  <si>
    <t>Colchão Queen Mola Ensacada Probel Excede Premium 158x198x30</t>
  </si>
  <si>
    <t>PAA6481</t>
  </si>
  <si>
    <t>Conjunto Box Casal Mola Prodormir Max Hotel Comfort (138x188x64cm)</t>
  </si>
  <si>
    <t>PA85915</t>
  </si>
  <si>
    <t>Conjunto Box Viúva Mola Ensacada Probel Excede Premium (128x188x56cm)</t>
  </si>
  <si>
    <t>PA97996</t>
  </si>
  <si>
    <t>Colchão King Espuma D33 Prodormir Infinity Hotel Pillow Super (193x203x24cm)</t>
  </si>
  <si>
    <t>PA11215C6W</t>
  </si>
  <si>
    <t>Poltrona Reclinável Prodormir Catânia Corino Preto</t>
  </si>
  <si>
    <t>PA11215C5P</t>
  </si>
  <si>
    <t>Poltrona Reclinável Prodormir Catânia Corino Marrom</t>
  </si>
  <si>
    <t>PA11215C02</t>
  </si>
  <si>
    <t>Poltrona Reclinável Prodormir Catânia Corino Bege</t>
  </si>
  <si>
    <t>PA11215C05</t>
  </si>
  <si>
    <t>Poltrona Reclinável Prodormir Catânia Corino Azul</t>
  </si>
  <si>
    <t>PAA6536</t>
  </si>
  <si>
    <t>Conjunto Box Queen Espuma D33 Prodormir Infinity Hotel (158x198x55cm)</t>
  </si>
  <si>
    <t>PAA6502</t>
  </si>
  <si>
    <t>Conjunto Box Solteiro Mola Prodormir Hotel Residence (88x188x62cm)</t>
  </si>
  <si>
    <t>PAA4654</t>
  </si>
  <si>
    <t>Conjunto Box Solteirão Espuma Prodormir Active Techextreme (100x200x52cm)</t>
  </si>
  <si>
    <t>PA94849</t>
  </si>
  <si>
    <t>Colchão King Mola Ensacada Probel Santiago (193x203x24cm)</t>
  </si>
  <si>
    <t>PA94832</t>
  </si>
  <si>
    <t>Colchão King Mola Ensacada Probel Alpha (193x203x26cm)</t>
  </si>
  <si>
    <t>PAA6455</t>
  </si>
  <si>
    <t>Conjunto Box Solteiro Mola Mira-Coil Prodormir Max Hotel Premium Force (88x188x70cm)</t>
  </si>
  <si>
    <t>PA97987</t>
  </si>
  <si>
    <t>Colchão King Espuma D33 Prodormir Infinity Hotel (193x203x24cm)</t>
  </si>
  <si>
    <t>PA73755</t>
  </si>
  <si>
    <t>Colchão Queen Mola Prodormir Hercules New Marrom (158x198x40cm)</t>
  </si>
  <si>
    <t>Colchão Queen Mola Probel Volare Luxo (158x198x33cm)</t>
  </si>
  <si>
    <t>PAA2505</t>
  </si>
  <si>
    <t>Conjunto Box Viúva Mola Ensacada Prodormir Max Springs (128x188x68cm)</t>
  </si>
  <si>
    <t>PA73743</t>
  </si>
  <si>
    <t>Colchão Queen Mola Prodormir Hercules New Branco (158x198x40cm)</t>
  </si>
  <si>
    <t>PA51974</t>
  </si>
  <si>
    <t>Colchão Viúva Mola Mira-Coil Prodormir Max Hotel Premium Force (128x188x32cm)</t>
  </si>
  <si>
    <t>PAA1572</t>
  </si>
  <si>
    <t>Conjunto Box Viúva Mola Ensacada Prodormir Bourbon New (128x188x72cm)</t>
  </si>
  <si>
    <t>PA69950</t>
  </si>
  <si>
    <t>Conjunto Box Queen Mola Ensacada Probel Sigma Plus (158x198x62cm)</t>
  </si>
  <si>
    <t>PAA6557</t>
  </si>
  <si>
    <t>Conjunto Box Solteirão Mola Prodormir Max Hotel Premium (100x200x70cm)</t>
  </si>
  <si>
    <t>PA96902</t>
  </si>
  <si>
    <t>Conjunto Box Queen Mola Ensacada Probel Akira (158x198x58cm)</t>
  </si>
  <si>
    <t>PA66797</t>
  </si>
  <si>
    <t>Conjunto Box Casal Mola Probel Siena (138x188x66cm)</t>
  </si>
  <si>
    <t>PA92719</t>
  </si>
  <si>
    <t>Colchão King Espuma D45 Prodormir Infinity Hotel (193x203x20cm)</t>
  </si>
  <si>
    <t>PA67204</t>
  </si>
  <si>
    <t>Colchão Casal Espuma Visco Gel Prodormir Active In Box (138x188x25cm)</t>
  </si>
  <si>
    <t>PAA4674</t>
  </si>
  <si>
    <t>Conjunto Box Solteirão Mola Prodormir Hércules New (100x200x78cm)</t>
  </si>
  <si>
    <t>PA85371</t>
  </si>
  <si>
    <t>Conjunto Box Casal Mola Ensacada Probel Turim  (138x188x66cm)</t>
  </si>
  <si>
    <t>PA69953</t>
  </si>
  <si>
    <t>Conjunto Box Casal Mola Ensacada Probel Vancouver (138x188x66cm)</t>
  </si>
  <si>
    <t>PA77219</t>
  </si>
  <si>
    <t>Colchão King Mola Prodormir Safira Plus (193x203x32cm)</t>
  </si>
  <si>
    <t>PA11245C6W</t>
  </si>
  <si>
    <t>Poltrona Reclinável Prodormir Vermont Corino Preto</t>
  </si>
  <si>
    <t>PA11245C5P</t>
  </si>
  <si>
    <t>Poltrona Reclinável Prodormir Vermont Corino Marrom</t>
  </si>
  <si>
    <t>PA11245C02</t>
  </si>
  <si>
    <t>Poltrona Reclinável Prodormir Vermont Corino Bege</t>
  </si>
  <si>
    <t>PA11245C05</t>
  </si>
  <si>
    <t>Poltrona Reclinável Prodormir Vermont Corino Azul</t>
  </si>
  <si>
    <t>PA85278</t>
  </si>
  <si>
    <t>Conjunto Box Solteiro Mola Probel Prohotel Residence (88x188x62cm)</t>
  </si>
  <si>
    <t>PAA2532</t>
  </si>
  <si>
    <t>Conjunto Box Queen Mola Ensacada Prodormir Solar Bambu Bege (158x198x58cm)</t>
  </si>
  <si>
    <t>PAA2499</t>
  </si>
  <si>
    <t>Conjunto Box Solteiro Mola Ensacada Prodormir Loft (88x188x70cm)</t>
  </si>
  <si>
    <t>PAA6486</t>
  </si>
  <si>
    <t>Conjunto Box Viúva Mola Mira-Coil Prodormir Max Hotel Essential (128x188x60cm)</t>
  </si>
  <si>
    <t>PAA4672</t>
  </si>
  <si>
    <t>PA67217</t>
  </si>
  <si>
    <t>Colchão Queen Mola Ensacada Prodormir Active In Box (158x198x26cm)</t>
  </si>
  <si>
    <t>PA67590</t>
  </si>
  <si>
    <t>Conjunto Box Queen Mola Probel Life (158x198x62cm)</t>
  </si>
  <si>
    <t>PAA6563</t>
  </si>
  <si>
    <t>Conjunto Box Solteirão Mola Mira-Coil Prodormir Max Hotel Premium Force (90x200x70cm)</t>
  </si>
  <si>
    <t>PAA2509</t>
  </si>
  <si>
    <t>Conjunto Box Solteiro Mola Ensacada Prodormir Comfort Bambu (88x188x72cm)</t>
  </si>
  <si>
    <t>PA51985</t>
  </si>
  <si>
    <t>Colchão Casal Mola Ensacada Prodormir Max Hotel Premium Springs (138x188x32cm)</t>
  </si>
  <si>
    <t>PA66413</t>
  </si>
  <si>
    <t>Colchão King Mola Ensacada Probel Passione Bambu (193x203x26cm)</t>
  </si>
  <si>
    <t>PA66326</t>
  </si>
  <si>
    <t>Colchão Casal Mola Ensacada Probel Versailles Ultra Gel (138x188x30cm)</t>
  </si>
  <si>
    <t>PAA6553</t>
  </si>
  <si>
    <t>Conjunto Box Casal Espuma D33 Prodormir Infinity Hotel Pillow Super (138x188x62cm)</t>
  </si>
  <si>
    <t>PA73749</t>
  </si>
  <si>
    <t>Colchão Queen Mola Prodormir Hercules New Bege (158x198x40cm)</t>
  </si>
  <si>
    <t>PAA2531</t>
  </si>
  <si>
    <t>Conjunto Box Casal Mola Ensacada Prodormir Solar Bambu Bege (138x188x58cm)</t>
  </si>
  <si>
    <t>PA63206</t>
  </si>
  <si>
    <t>Colchão Queen Mola Mira-Coil Prodormir Max Hotel Comfort Force (158x198x25cm)</t>
  </si>
  <si>
    <t>PAA4663</t>
  </si>
  <si>
    <t>Conjunto Box Solteirão Mola Probel Prohotel Prime (90x200x68cm)</t>
  </si>
  <si>
    <t>PA92038</t>
  </si>
  <si>
    <t>Colchão King Mola Prodormir Foz (193x203x30cm)</t>
  </si>
  <si>
    <t>PA92735</t>
  </si>
  <si>
    <t>Colchão Queen Espuma D45 Prodormir Infinity Hotel Pillow Super (158x198x24cm)</t>
  </si>
  <si>
    <t>PAA4686</t>
  </si>
  <si>
    <t>Conjunto Box Solteirão Mola Ensacada Prodormir Dinamo Luxo (100x200x70cm)</t>
  </si>
  <si>
    <t>PA77930</t>
  </si>
  <si>
    <t>Colchão Casal Mola Ensacada Prodormir King Hard (138x188x34cm)</t>
  </si>
  <si>
    <t>PA70336</t>
  </si>
  <si>
    <t>Colchão King Espuma D33 Prodormir Active In Box (193x203x17cm)</t>
  </si>
  <si>
    <t>PA96883</t>
  </si>
  <si>
    <t>Conjunto Box Casal Mola Ensacada Probel Portugal (138x188x68cm)</t>
  </si>
  <si>
    <t>PAA6517</t>
  </si>
  <si>
    <t>Conjunto Box Casal Espuma D45 Prodormir Infinity Hotel (138x188x58cm)</t>
  </si>
  <si>
    <t>PA57533</t>
  </si>
  <si>
    <t>Conjunto Box Casal Mola Probel Guardian (138x188x70cm)</t>
  </si>
  <si>
    <t>PAA2443</t>
  </si>
  <si>
    <t>Conjunto Box Solteiro Mola Ensacada Prodormir Copenhague (88x188x74cm)</t>
  </si>
  <si>
    <t>PAA1598</t>
  </si>
  <si>
    <t>Conjunto Box Casal Mola Prodormir Safira Plus (138x188x70cm)</t>
  </si>
  <si>
    <t>PAA4673</t>
  </si>
  <si>
    <t>PAA2442</t>
  </si>
  <si>
    <t>Conjunto Box Queen Mola Prodormir Max Sport (158x198x62cm)</t>
  </si>
  <si>
    <t>PAA6589</t>
  </si>
  <si>
    <t>Conjunto Box Solteirão Mola Mira-Coil Prodormir Max Hotel Comfort (100x200x63cm)</t>
  </si>
  <si>
    <t>PAA6547</t>
  </si>
  <si>
    <t>Conjunto Box Casal Espuma D33 Prodormir Infinity Hotel (138x188x62cm)</t>
  </si>
  <si>
    <t>PA59716</t>
  </si>
  <si>
    <t>Colchão Viúva Mola Mira-Coil Prodormir Max Hotel Premium Force Dupla Face (128x188x32cm)</t>
  </si>
  <si>
    <t>PA69612</t>
  </si>
  <si>
    <t>Colchão Queen Mola Ensacada Prodormir Rubi Soft Gel (158x198x36cm)</t>
  </si>
  <si>
    <t>PAA2456</t>
  </si>
  <si>
    <t>Conjunto Box Queen Mola Ensacada Prodormir Solar Bambu Cinza (158x198x58cm)</t>
  </si>
  <si>
    <t>PAA6480</t>
  </si>
  <si>
    <t>Conjunto Box Viúva Mola Prodormir Max Hotel Comfort (128x188x64cm)</t>
  </si>
  <si>
    <t>PA91953</t>
  </si>
  <si>
    <t>Colchão King Espuma Prodormir Fiorano (193x203x34cm)</t>
  </si>
  <si>
    <t>PA76276</t>
  </si>
  <si>
    <t>Colchão Solteirão Mola Prodormir Hotel Residence (100x200x40cm)</t>
  </si>
  <si>
    <t>PAA4661</t>
  </si>
  <si>
    <t>Conjunto Box Solteirão Mola Probel Prohotel Comfort (90x200x64cm)</t>
  </si>
  <si>
    <t>PA67567</t>
  </si>
  <si>
    <t>Conjunto Box Casal Mola Prodormir Sensitive Ômega (138x188x70cm)</t>
  </si>
  <si>
    <t>Colchão Casal Mola Ensacada Probel Cairo Ultra Gel (138x188x30cm)</t>
  </si>
  <si>
    <t>PA51945</t>
  </si>
  <si>
    <t>Colchão Casal Mola Max Hotel Premium Prodormir (138x188x32cm)</t>
  </si>
  <si>
    <t>PAA4688</t>
  </si>
  <si>
    <t>Conjunto Box Solteirão Mola Prodormir Top Bambu (100x200x68cm)</t>
  </si>
  <si>
    <t>PA70119</t>
  </si>
  <si>
    <t>Colchão Embalado à Vácuo Queen Espuma D33 Guarda Costas (158x198x20cm)</t>
  </si>
  <si>
    <t>PA92726</t>
  </si>
  <si>
    <t>Colchão Queen Espuma D45 Prodormir Infinity Hotel (158x198x24cm)</t>
  </si>
  <si>
    <t>PA70339</t>
  </si>
  <si>
    <t>Colchão Queen Espuma D45 Prodormir Active In Box (158x198x17cm)</t>
  </si>
  <si>
    <t>PA62882</t>
  </si>
  <si>
    <t>Colchão Casal Mola Prodormir Max Hotel Premium (138x188x32cm)</t>
  </si>
  <si>
    <t>PA94858</t>
  </si>
  <si>
    <t>Colchão King Mola Probel Chicago (193x203x24cm)</t>
  </si>
  <si>
    <t>PA63176</t>
  </si>
  <si>
    <t>Colchão King Mola Ensacada Prodormir Max Hotel Essential (193x203x23cm)</t>
  </si>
  <si>
    <t>PAA6467</t>
  </si>
  <si>
    <t>Conjunto Box Solteiro Mola Mira-Coil Prodormir Max Hotel Premium Force Dupla Face (88x188x70cm)</t>
  </si>
  <si>
    <t>PA71945</t>
  </si>
  <si>
    <t>Conjunto Box Viúva Mola Probel Siena (128x188x66cm)</t>
  </si>
  <si>
    <t>PA66889</t>
  </si>
  <si>
    <t>Conjunto Box Casal Mola Probel Napoli (138x188x68cm)</t>
  </si>
  <si>
    <t>PA67196</t>
  </si>
  <si>
    <t>Colchão Casal Espuma Ultra Gel Prodormir Active In Box (138x188x25cm)</t>
  </si>
  <si>
    <t>PA58308CV6</t>
  </si>
  <si>
    <t>Box Baú Queen Probel Luxo Rústico Bege (158x198x40cm)</t>
  </si>
  <si>
    <t>PA78146</t>
  </si>
  <si>
    <t>Colchão King Mola Ensacada Prodormir Max Springs (193x203x30cm)</t>
  </si>
  <si>
    <t>PA77244</t>
  </si>
  <si>
    <t>Colchão Queen Mola Ensacada Prodormir Bourbon New (158x198x34cm)</t>
  </si>
  <si>
    <t>PA97995</t>
  </si>
  <si>
    <t>Colchão Queen Espuma D33 Prodormir Infinity Hotel Pillow Super (180x200x24cm)</t>
  </si>
  <si>
    <t>PA70024</t>
  </si>
  <si>
    <t>Conjunto Box Casal Mola Ensacada Prodormir Max Hotel Essential (138x188x61cm)</t>
  </si>
  <si>
    <t>PA62388</t>
  </si>
  <si>
    <t>Colchão King Espuma D33 Prodormir Active Techintense (193x203x26cm)</t>
  </si>
  <si>
    <t>PA79456</t>
  </si>
  <si>
    <t>Colchão Queen Mola Prodormir Top Bambu (158x198x30cm)</t>
  </si>
  <si>
    <t>PA96866</t>
  </si>
  <si>
    <t>Conjunto Box Casal Mola Probel Pró Charge (138x188x66cm)</t>
  </si>
  <si>
    <t>PAA6497</t>
  </si>
  <si>
    <t>Conjunto Box Solteirão Mola Mira-Coil Prodormir Max Hotel Comfort Force (100x200x63cm)</t>
  </si>
  <si>
    <t>PA69743</t>
  </si>
  <si>
    <t>Colchão na Caixa Solteiro Espuma Visco Gel Probel Pró In Box (88x188x25cm)</t>
  </si>
  <si>
    <t>PAA2486</t>
  </si>
  <si>
    <t>Conjunto Box Casal Mola Ensacada Prodormir Outback New Bege (138x188x70cm)</t>
  </si>
  <si>
    <t>PA97986</t>
  </si>
  <si>
    <t>Colchão Queen Espuma D33 Prodormir Infinity Hotel (180x200x24cm)</t>
  </si>
  <si>
    <t>PA63142</t>
  </si>
  <si>
    <t>Colchão Queen Mola Ensacada Prodormir Max Hotel Comfort (158x198x26cm)</t>
  </si>
  <si>
    <t>PA73806</t>
  </si>
  <si>
    <t>Colchão King Mola Ensacada Prodormir Outback New Bege (193x203x32cm)</t>
  </si>
  <si>
    <t>PA85914</t>
  </si>
  <si>
    <t>Conjunto Box Viúva Mola Ensacada Probel Turim  (128x188x66cm)</t>
  </si>
  <si>
    <t>PAA4679</t>
  </si>
  <si>
    <t>Conjunto Box Solteirão Mola Ensacada Prodormir Bourbon New (100x200x72cm)</t>
  </si>
  <si>
    <t>PA92718</t>
  </si>
  <si>
    <t>Colchão Queen Espuma D45 Prodormir Infinity Hotel (180x200x20cm)</t>
  </si>
  <si>
    <t>PA51984</t>
  </si>
  <si>
    <t>Colchão Viúva Mola Ensacada Prodormir Max Hotel Premium Springs (128x188x32cm)</t>
  </si>
  <si>
    <t>PA66325</t>
  </si>
  <si>
    <t>Colchão Viúva Mola Ensacada Probel Versailles (128x188x30cm)</t>
  </si>
  <si>
    <t>PA70332</t>
  </si>
  <si>
    <t>Colchão King Espuma D28 Prodormir Active In Box (193x203x17cm)</t>
  </si>
  <si>
    <t>PA67585</t>
  </si>
  <si>
    <t>Conjunto Box Casal Mola Ensacada Probel Passione Bambu (138x188x64cm)</t>
  </si>
  <si>
    <t>PA77920</t>
  </si>
  <si>
    <t>Colchão Casal Mola Ensacada Probel American Extra Firme</t>
  </si>
  <si>
    <t>PAA2519</t>
  </si>
  <si>
    <t>Conjunto Box Solteiro Mola Prodormir Manchester (88x188x71cm)</t>
  </si>
  <si>
    <t>PAA4694</t>
  </si>
  <si>
    <t>Conjunto Box Solteirão Espuma Prodormir Falcon (100x200x60cm)</t>
  </si>
  <si>
    <t>PA94872</t>
  </si>
  <si>
    <t>Colchão Casal Mola Ensacada Probel Elegancy Springs (138x188x34cm)</t>
  </si>
  <si>
    <t>PA77929</t>
  </si>
  <si>
    <t>Colchão Viúva Mola Ensacada Prodormir King Hard (193x203x34cm)</t>
  </si>
  <si>
    <t>PA67227CAP</t>
  </si>
  <si>
    <t>Box Baú Queen Probel Luxo Suede Bege (79x198x40cm)</t>
  </si>
  <si>
    <t>PA70150</t>
  </si>
  <si>
    <t>Colchão Casal Espuma D45 ProDormir Active Embalado à Vácuo (138x188x20cm)</t>
  </si>
  <si>
    <t>PAA4667</t>
  </si>
  <si>
    <t>Conjunto Box Solteirão Mola Ensacada Prodormir Rubi Soft Gel (100x200x74cm)</t>
  </si>
  <si>
    <t>PAA6461</t>
  </si>
  <si>
    <t>Conjunto Box Solteiro Mola Ensacada Prodormir Max Hotel Premium Springs (88x188x70cm)</t>
  </si>
  <si>
    <t>PA71939</t>
  </si>
  <si>
    <t>Conjunto Box Viúva Mola Probel Guardian (128x188x70cm)</t>
  </si>
  <si>
    <t>PA94880</t>
  </si>
  <si>
    <t>Colchão Casal Mola Probel Modern (138x188x32cm)</t>
  </si>
  <si>
    <t>PAA6493</t>
  </si>
  <si>
    <t>Conjunto Box Casal Mola Prodormir Max Hotel Essential (138x188x61cm)</t>
  </si>
  <si>
    <t>PAA1587</t>
  </si>
  <si>
    <t>Conjunto Box Casal Mola Ensacada Prodormir Imperial Premium (138x188x68cm)</t>
  </si>
  <si>
    <t>PAA6552</t>
  </si>
  <si>
    <t>Conjunto Box Viúva Espuma D33 Prodormir Infinity Hotel Pillow Super (128x188x62cm)</t>
  </si>
  <si>
    <t>PA58274</t>
  </si>
  <si>
    <t>Conjunto Box Casal Mola Ensacada Probel Collin (138x188x68cm)</t>
  </si>
  <si>
    <t>PAA1597</t>
  </si>
  <si>
    <t>Conjunto Box Viúva Mola Prodormir Safira Plus (128x188x70cm)</t>
  </si>
  <si>
    <t>PAA2540</t>
  </si>
  <si>
    <t>Conjunto Box Casal Mola Prodormir Florida (138x188x63cm)</t>
  </si>
  <si>
    <t>PA96872</t>
  </si>
  <si>
    <t>Conjunto Box Casal Mola Ensacada Probel Santiago (138x188x62cm)</t>
  </si>
  <si>
    <t>PA78771</t>
  </si>
  <si>
    <t>Colchão Casal Mola Ensacada Prodormir Dinamo Luxo (138x188x32cm)</t>
  </si>
  <si>
    <t>PAA1583</t>
  </si>
  <si>
    <t>PA71039</t>
  </si>
  <si>
    <t>Colchão King Espuma Prodormir Active Techintense Plus (193x203x32cm)</t>
  </si>
  <si>
    <t>PAA6516</t>
  </si>
  <si>
    <t>Conjunto Box Viúva Espuma D45 Prodormir Infinity Hotel (128x188x58cm)</t>
  </si>
  <si>
    <t>PA96860</t>
  </si>
  <si>
    <t>Conjunto Box Casal Mola Ensacada Probel Alpha (138x188x64cm)</t>
  </si>
  <si>
    <t>PA51423</t>
  </si>
  <si>
    <t>Colchão Solteiro Mola Ensacada Prodormir New Paris (88x188x36cm)</t>
  </si>
  <si>
    <t>PA62282</t>
  </si>
  <si>
    <t>Colchão Queen Espuma D45 Prodormir Active Techextreme (158x198x26cm)</t>
  </si>
  <si>
    <t>PAA2478</t>
  </si>
  <si>
    <t>Conjunto Box Casal Mola Ensacada Prodormir Outback New Marrom (138x188x66cm)</t>
  </si>
  <si>
    <t>PAA6546</t>
  </si>
  <si>
    <t>Conjunto Box Viúva Espuma D33 Prodormir Infinity Hotel (128x188x62cm)</t>
  </si>
  <si>
    <t>PAA4662</t>
  </si>
  <si>
    <t>PAA6588</t>
  </si>
  <si>
    <t>Conjunto Box Solteirão Mola Mira-Coil Prodormir Max Hotel Comfort (90x200x63cm)</t>
  </si>
  <si>
    <t>PAA4670</t>
  </si>
  <si>
    <t>Conjunto Box Solteirão Espuma Prodormir Active Techextreme Luxo (100x200x58cm)</t>
  </si>
  <si>
    <t>PA63741</t>
  </si>
  <si>
    <t>Colchão King Espuma D33 Prohotel Probel 17cm Bege/Bege (193x203x17cm)</t>
  </si>
  <si>
    <t>PA85361</t>
  </si>
  <si>
    <t>Colchão Queen Mola Ensacada Probel Turim  (158x198x28cm)</t>
  </si>
  <si>
    <t>PAA4691</t>
  </si>
  <si>
    <t>Conjunto Box Solteirão Espuma Prodormir Fiorano (100x200x60cm)</t>
  </si>
  <si>
    <t>PA66725</t>
  </si>
  <si>
    <t>Colchão Queen Mola Probel Siena (158x198x28cm)</t>
  </si>
  <si>
    <t>PAA4658</t>
  </si>
  <si>
    <t>Conjunto Box Solteirão Mola Ensacada Prodormir Max Hotel Comfort Springs (90x200x64cm)</t>
  </si>
  <si>
    <t>PA79445</t>
  </si>
  <si>
    <t>Colchão Casal Mola Prodormir Manchester (138x188x33cm)</t>
  </si>
  <si>
    <t>PAA4656</t>
  </si>
  <si>
    <t>Conjunto Box Solteirão Espuma Prodormir Active Techintense (100x200x52cm)</t>
  </si>
  <si>
    <t>PA71606C2R</t>
  </si>
  <si>
    <t>Box Baú Queen Bipartido Probel Luxo Suede (158x198x40cm)</t>
  </si>
  <si>
    <t>PA71606CDD</t>
  </si>
  <si>
    <t>PA71606CAH</t>
  </si>
  <si>
    <t>PA71606CDF</t>
  </si>
  <si>
    <t>PA71606CAB</t>
  </si>
  <si>
    <t>PA63112</t>
  </si>
  <si>
    <t>Colchão King Mola Prodormir Max Hotel Essential (193x203x23cm)</t>
  </si>
  <si>
    <t>PA76275</t>
  </si>
  <si>
    <t>Colchão Solteirão Mola Prodormir Hotel Residence (90x200x40cm)</t>
  </si>
  <si>
    <t>PA67505</t>
  </si>
  <si>
    <t>Conjunto Box Queen Mola Ensacada Prodormir Vegas Comfort (158x198x58cm)</t>
  </si>
  <si>
    <t>PA71543C45</t>
  </si>
  <si>
    <t>Box Baú Queen Bipartido Probel Luxo Jacquard (158x198x40cm)</t>
  </si>
  <si>
    <t>PA66137CBY</t>
  </si>
  <si>
    <t>Box Baú Queen Probel Luxo Kupon Preto (158x198x40cm)</t>
  </si>
  <si>
    <t>PAA6541</t>
  </si>
  <si>
    <t>Conjunto Box Casal Espuma D33 Prodormir Infinity Hotel (138x188x58cm)</t>
  </si>
  <si>
    <t>PA86716</t>
  </si>
  <si>
    <t>Colchão Casal Espuma Prodormir Active Force Extreme (138x188x30cm)</t>
  </si>
  <si>
    <t>PA71024</t>
  </si>
  <si>
    <t>Colchão Queen Espuma Prodormir Active Techextreme Luxo (158x198x32cm)</t>
  </si>
  <si>
    <t>PA94865</t>
  </si>
  <si>
    <t>Colchão Queen Mola Ensacada Probel Portugal (158x198x30cm)</t>
  </si>
  <si>
    <t>PAA6580</t>
  </si>
  <si>
    <t>Conjunto Box Solteirão Mola Ensacada Prodormir Max Hotel Comfort (100x200x64cm)</t>
  </si>
  <si>
    <t>PAA4693</t>
  </si>
  <si>
    <t>Conjunto Box Solteirão Mola Prodormir Foz (100x200x68cm)</t>
  </si>
  <si>
    <t>PA63269</t>
  </si>
  <si>
    <t>Colchão Casal Mola Probel Prohotel Comfort (138x188x26cm)</t>
  </si>
  <si>
    <t>PA96865</t>
  </si>
  <si>
    <t>Conjunto Box Viúva Mola Probel Pró Charge (128x188x66cm)</t>
  </si>
  <si>
    <t>PA66760</t>
  </si>
  <si>
    <t>Colchão Solteiro Mola Ensacada Probel Munique (88x188x30cm)</t>
  </si>
  <si>
    <t>PA71942</t>
  </si>
  <si>
    <t>Conjunto Box Viúva Mola Probel Napoli (128x188x68cm)</t>
  </si>
  <si>
    <t>PA92711</t>
  </si>
  <si>
    <t>Colchão King Espuma D45 Prodormir Infinity Hotel (193x203x17cm)</t>
  </si>
  <si>
    <t>PAA1579</t>
  </si>
  <si>
    <t>Conjunto Box Casal Mola Ensacada Prodormir Califórnia (138x188x64cm)</t>
  </si>
  <si>
    <t>PA51944</t>
  </si>
  <si>
    <t>Colchão Viúva Mola Max Hotel Premium  Prodormir (128x188x32cm)</t>
  </si>
  <si>
    <t>PAA6572</t>
  </si>
  <si>
    <t>Conjunto Box Solteirão Mola Mira-Coil Max Hotel Essential Prodormir (100x200x60cm)</t>
  </si>
  <si>
    <t>PAA4647</t>
  </si>
  <si>
    <t>Conjunto Box Solteirão Espuma D45 Probel Guarda Costas (100x200x46cm)</t>
  </si>
  <si>
    <t>PAA6511</t>
  </si>
  <si>
    <t>Conjunto Box Casal Espuma D45 Prodormir Infinity Hotel (138x188x55cm)</t>
  </si>
  <si>
    <t>PAA6521</t>
  </si>
  <si>
    <t>Conjunto Box Solteirão Espuma D45 Prodormir Infinity Hotel (100x200x62cm)</t>
  </si>
  <si>
    <t>Colchão Casal Mola Ensacada Probel Bari 138x188x32 (138x188x32cm)</t>
  </si>
  <si>
    <t>PAA6556</t>
  </si>
  <si>
    <t>Conjunto Box Solteiro Mola Max Hotel Premium Prodormir (88x188x70cm)</t>
  </si>
  <si>
    <t>PAA6527</t>
  </si>
  <si>
    <t>Conjunto Box Solteirão Espuma D45 Prodormir Infinity Hotel Pillow Super (100x200x62cm)</t>
  </si>
  <si>
    <t>PA59563</t>
  </si>
  <si>
    <t>Colchão Solteirão Mola Ensacada Prodormir Copenhague Ultra Gel (100x200x36cm)</t>
  </si>
  <si>
    <t>PAA4671</t>
  </si>
  <si>
    <t>Conjunto Box Solteirão Espuma Prodormir Active Techintense Plus (100x200x58cm)</t>
  </si>
  <si>
    <t>PAA6585</t>
  </si>
  <si>
    <t>Conjunto Box Solteirão MolaProdormir Max Hotel Comfort (90x200x63cm)</t>
  </si>
  <si>
    <t>PA62881</t>
  </si>
  <si>
    <t>Colchão Viúva Mola Prodormir Max Hotel Premium (128x188x32cm)</t>
  </si>
  <si>
    <t>PA96871</t>
  </si>
  <si>
    <t>Conjunto Box Viúva Mola Ensacada Probel Santiago (128x188x62cm)</t>
  </si>
  <si>
    <t>PA94871</t>
  </si>
  <si>
    <t>Colchão Viúva Mola Ensacada Probel Elegancy Springs (128x188x34cm)</t>
  </si>
  <si>
    <t>PAA2539</t>
  </si>
  <si>
    <t>Conjunto Box Viúva Mola Prodormir Florida (128x188x63cm)</t>
  </si>
  <si>
    <t>PAA2496</t>
  </si>
  <si>
    <t>Conjunto Box Casal Mola Ensacada Prodormir Solar Max (138x188x62cm)</t>
  </si>
  <si>
    <t>PA85351</t>
  </si>
  <si>
    <t>Colchão Casal Mola Ensacada Probel Excede Premium (138x188x30cm)</t>
  </si>
  <si>
    <t>PA96859</t>
  </si>
  <si>
    <t>Conjunto Box Viúva Mola Ensacada Probel Alpha (128x188x64cm)</t>
  </si>
  <si>
    <t>PAA6587</t>
  </si>
  <si>
    <t>Conjunto Box Solteiro Mola Mira-Coil Prodormir Max Hotel Comfort (88x188x63cm)</t>
  </si>
  <si>
    <t>PAA6492</t>
  </si>
  <si>
    <t>Conjunto Box Viúva Mola Prodormir Max Hotel Essential (128x188x61cm)</t>
  </si>
  <si>
    <t>PA71531C77</t>
  </si>
  <si>
    <t>Box Baú Queen Bipartido Probel Luxo Tela (158x198x40cm)</t>
  </si>
  <si>
    <t>PA71531CS4</t>
  </si>
  <si>
    <t>PA71531CAX</t>
  </si>
  <si>
    <t>PA94879</t>
  </si>
  <si>
    <t>Colchão Viúva Mola Probel Modern (128x188x32cm)</t>
  </si>
  <si>
    <t>PA67135</t>
  </si>
  <si>
    <t>Colchão na Caixa Solteiro Espuma D33 Visco Gel Probel (35x100x35cm)</t>
  </si>
  <si>
    <t>PA63238</t>
  </si>
  <si>
    <t>Colchão Queen Mola Probel Prohotel Royal (158x198x23cm)</t>
  </si>
  <si>
    <t>PA63046</t>
  </si>
  <si>
    <t>Colchão Queen Mola Prodormir Max Hotel Comfort (158x198x26cm)</t>
  </si>
  <si>
    <t>PA78200</t>
  </si>
  <si>
    <t>Colchão Solteirão Mola Ensacada Prodormir Comfort Bambu (100x200x34cm)</t>
  </si>
  <si>
    <t>PA66756</t>
  </si>
  <si>
    <t>Colchão Queen Mola Probel Napoli (158x198x30cm)</t>
  </si>
  <si>
    <t>PA35622</t>
  </si>
  <si>
    <t>Colchão Queen Mola Probel Guardian (158x198x32cm)</t>
  </si>
  <si>
    <t>Colchão Casal Mola Probel Volare Luxo (138x188x33cm)</t>
  </si>
  <si>
    <t>PA78770</t>
  </si>
  <si>
    <t>Colchão Viúva Mola Ensacada Prodormir Dinamo Luxo (128x188x32cm)</t>
  </si>
  <si>
    <t>PA63078</t>
  </si>
  <si>
    <t>Colchão Queen Mola Mira-Coil Prodormir Max Hotel Essential (158x198x22cm)</t>
  </si>
  <si>
    <t>PAA2472</t>
  </si>
  <si>
    <t>Conjunto Box Solteiro Mola Prodormir Hercules New Marrom (88x188x78cm)</t>
  </si>
  <si>
    <t>PAA4681</t>
  </si>
  <si>
    <t>Conjunto Box Solteirão Mola Ensacada Prodormir New Life (100x200x68cm)</t>
  </si>
  <si>
    <t>PAA4678</t>
  </si>
  <si>
    <t>Conjunto Box Solteirão Mola Prodormir Safira Plus New (100x200x70cm)</t>
  </si>
  <si>
    <t>PA63205</t>
  </si>
  <si>
    <t>Colchão Casal Mola Mira-Coil Prodormir Max Hotel Comfort Force (138x188x25cm)</t>
  </si>
  <si>
    <t>PA73761</t>
  </si>
  <si>
    <t>Colchão King Mola Ensacada Prodormir Outback New Marrom (193x203x28cm)</t>
  </si>
  <si>
    <t>PA97978</t>
  </si>
  <si>
    <t>Colchão King Espuma D33 Prodormir Infinity Hotel (193x203x20cm)</t>
  </si>
  <si>
    <t>PAA4660</t>
  </si>
  <si>
    <t>Conjunto Box Solteirão Mola Probel Prohotel Royal (90x200x61cm)</t>
  </si>
  <si>
    <t>PA70114</t>
  </si>
  <si>
    <t>Colchão Embalado à Vácuo Casal Espuma D28 Guarda Costas (138x188x24cm)</t>
  </si>
  <si>
    <t>PAA6473</t>
  </si>
  <si>
    <t>Conjunto Box Solteiro Mola Prodormir Max Hotel Premium (88x188x70cm)</t>
  </si>
  <si>
    <t>PA37612</t>
  </si>
  <si>
    <t>Colchão Queen Mola Prodormir Sensitive Ômega (158x198x32cm)</t>
  </si>
  <si>
    <t>PA69851</t>
  </si>
  <si>
    <t>Colchão King Mola Ensacada Probel Sigma Plus (193x203x24cm)</t>
  </si>
  <si>
    <t>PA71530CAX</t>
  </si>
  <si>
    <t>Box Baú Casal Bipartido Probel Luxo Tela (138x188x40cm)</t>
  </si>
  <si>
    <t>PA71530C77</t>
  </si>
  <si>
    <t>PA71530CS4</t>
  </si>
  <si>
    <t>PAA2462</t>
  </si>
  <si>
    <t>Conjunto Box Solteiro Mola Prodormir Hercules New Branco (88x188x78cm)</t>
  </si>
  <si>
    <t>PAA6485</t>
  </si>
  <si>
    <t>Conjunto Box Solteirão Mola Mira-Coil Prodormir Max Hotel Essential (100x200x60cm)</t>
  </si>
  <si>
    <t>PA73742</t>
  </si>
  <si>
    <t>Colchão Casal Mola Prodormir Hercules New Branco (138x188x40cm)</t>
  </si>
  <si>
    <t>PA94839</t>
  </si>
  <si>
    <t>Colchão Queen Mola Probel Pró Charge (158x198x28cm)</t>
  </si>
  <si>
    <t>PA78130</t>
  </si>
  <si>
    <t>Colchão Solteirão Mola Ensacada Prodormir Loft (100x200x32cm)</t>
  </si>
  <si>
    <t>PA51973</t>
  </si>
  <si>
    <t>Colchão Solteirão Mola Mira-Coil Prodormir Max Hotel Premium Force (100x200x32cm)</t>
  </si>
  <si>
    <t>PAA2482</t>
  </si>
  <si>
    <t>Conjunto Box Casal Mola Ensacada Prodormir Outback New Cinza (138x188x66cm)</t>
  </si>
  <si>
    <t>PA96878</t>
  </si>
  <si>
    <t>Conjunto Box Casal Mola Probel Chicago (138x188x62cm)</t>
  </si>
  <si>
    <t>PA52319</t>
  </si>
  <si>
    <t>Colchão Queen Espuma AD Resistence Probel 28cm Branco/Cinza (158x198x28cm)</t>
  </si>
  <si>
    <t>PA71011</t>
  </si>
  <si>
    <t>Colchão King Espuma Prodormir Active Techmiddle Plus (193x203x32cm)</t>
  </si>
  <si>
    <t>PA79444</t>
  </si>
  <si>
    <t>Colchão Viúva Mola Prodormir Manchester (128x188x33cm)</t>
  </si>
  <si>
    <t>PAA2514</t>
  </si>
  <si>
    <t>Conjunto Box Solteiro Mola Ensacada Prodormir Dinamo Luxo (88x188x70cm)</t>
  </si>
  <si>
    <t>PAA4684</t>
  </si>
  <si>
    <t>Conjunto Box Solteirão Mola Ensacada Prodormir Max Springs (100x200x68cm)</t>
  </si>
  <si>
    <t>PA73754</t>
  </si>
  <si>
    <t>Colchão Casal Mola Prodormir Hercules New Marrom (138x188x40cm)</t>
  </si>
  <si>
    <t>PAA1578</t>
  </si>
  <si>
    <t>Conjunto Box Viúva Mola Ensacada Prodormir Califórnia (128x188x64cm)</t>
  </si>
  <si>
    <t>PA51422</t>
  </si>
  <si>
    <t>Colchão Beliche Mola Ensacada Prodormir New Paris (78x188x36cm)</t>
  </si>
  <si>
    <t>PA69858</t>
  </si>
  <si>
    <t>Colchão Queen Mola Ensacada Probel Vancouver (158x198x28cm)</t>
  </si>
  <si>
    <t>PA67216</t>
  </si>
  <si>
    <t>Colchão Casal Mola Ensacada Prodormir Active In Box (138x188x26cm)</t>
  </si>
  <si>
    <t>PAA6579</t>
  </si>
  <si>
    <t>Conjunto Box Solteirão Mola Ensacada Prodormir Max Hotel Comfort (90x200x64cm)</t>
  </si>
  <si>
    <t>PA96893</t>
  </si>
  <si>
    <t>Conjunto Box Solteiro Mola Probel Modern (88x188x70cm)</t>
  </si>
  <si>
    <t>PA77981</t>
  </si>
  <si>
    <t>Colchão Queen Mola Ensacada Prodormir New Life (158x198x30cm)</t>
  </si>
  <si>
    <t>PAA6567</t>
  </si>
  <si>
    <t>Conjunto Box Solteirão Mola Max Hotel Comfort Prodormir (100x200x64cm)</t>
  </si>
  <si>
    <t>PA58280</t>
  </si>
  <si>
    <t>Conjunto Box Casal Mola Probel Loretto (138x188x66cm)</t>
  </si>
  <si>
    <t>PA70323</t>
  </si>
  <si>
    <t>Colchão Queen Espuma D33 Probel Embalado à Vácuo (158x198x17cm)</t>
  </si>
  <si>
    <t>PA73748</t>
  </si>
  <si>
    <t>Colchão Casal Mola Prodormir Hercules New Bege (138x188x40cm)</t>
  </si>
  <si>
    <t>PAA6496</t>
  </si>
  <si>
    <t>Conjunto Box Solteiro Mola Mira-Coil Prodormir Max Hotel Comfort Force (88x188x63cm)</t>
  </si>
  <si>
    <t>PA70514</t>
  </si>
  <si>
    <t>Colchão King Mola Ensacada Prodormir Imperial Premium (193x203x30cm)</t>
  </si>
  <si>
    <t>PAA2524</t>
  </si>
  <si>
    <t>Conjunto Box Solteiro Mola Prodormir Top Bambu (88x188x68cm)</t>
  </si>
  <si>
    <t>PA66743</t>
  </si>
  <si>
    <t>Colchão Solteiro Mola Probel Prohotel Casa (88x188x40cm)</t>
  </si>
  <si>
    <t>PAA2495</t>
  </si>
  <si>
    <t>Conjunto Box Viúva Mola Ensacada Prodormir Solar Max (128x188x62cm)</t>
  </si>
  <si>
    <t>Colchão Casal Mola Probel Roma (138x188x30cm)</t>
  </si>
  <si>
    <t>PA92067</t>
  </si>
  <si>
    <t>Colchão Queen Espuma Prodormir Falcon (158x198x34cm)</t>
  </si>
  <si>
    <t>Colchão Queen Espuma D45 Guarda Costas Probel 20cm Branco/Cinza (158x198x20cm)</t>
  </si>
  <si>
    <t>PA86715</t>
  </si>
  <si>
    <t>Colchão Viúva Espuma Prodormir Active Force Extreme (128x188x30cm)</t>
  </si>
  <si>
    <t>PAA1591</t>
  </si>
  <si>
    <t>Conjunto Box Solteiro Mola Ensacada Prodormir King Hard (88x188x72cm)</t>
  </si>
  <si>
    <t>PA73766</t>
  </si>
  <si>
    <t>Colchão King Mola Ensacada Prodormir Outback New Cinza (193x203x28cm)</t>
  </si>
  <si>
    <t>PAA2467</t>
  </si>
  <si>
    <t>Conjunto Box Solteiro Mola Prodormir Hercules New Bege (88x188x78cm)</t>
  </si>
  <si>
    <t>PA70510</t>
  </si>
  <si>
    <t>PAA6571</t>
  </si>
  <si>
    <t>Conjunto Box Solteirão Mola Mira-Coil Prodormir Max Hotel Essential (90x200x60cm)</t>
  </si>
  <si>
    <t>PA92734</t>
  </si>
  <si>
    <t>Colchão Casal Espuma D45 Prodormir Infinity Hotel Pillow Super (138x188x24cm)</t>
  </si>
  <si>
    <t>PA92725</t>
  </si>
  <si>
    <t>Colchão Casal Espuma D45 Prodormir Infinity Hotel (138x188x24cm)</t>
  </si>
  <si>
    <t>PA97994</t>
  </si>
  <si>
    <t>Colchão Queen Espuma D33 Prodormir Infinity Hotel Pillow Super (158x198x24cm)</t>
  </si>
  <si>
    <t>PA70046</t>
  </si>
  <si>
    <t>Conjunto Box Solteiro Mola Probel Prohotel Prime (88x188x68cm)</t>
  </si>
  <si>
    <t>PA66800</t>
  </si>
  <si>
    <t>Conjunto Box Solteiro Mola Ensacada Probel Cairo Ultra Gel (88x188x68cm)</t>
  </si>
  <si>
    <t>PAA6510</t>
  </si>
  <si>
    <t>Conjunto Box Viúva Espuma D45 Prodormir Infinity Hotel (128x188x55cm)</t>
  </si>
  <si>
    <t>PA59715</t>
  </si>
  <si>
    <t>Colchão Solteirão Mola Mira-Coil Prodormir Max Hotel Premium Force Dupla Face (100x200x32cm)</t>
  </si>
  <si>
    <t>PA92710</t>
  </si>
  <si>
    <t>Colchão Queen Espuma D45 Prodormir Infinity Hotel (180x200x17cm)</t>
  </si>
  <si>
    <t>PA94847</t>
  </si>
  <si>
    <t>Colchão Queen Mola Ensacada Probel Santiago (158x198x24cm)</t>
  </si>
  <si>
    <t>PA69611</t>
  </si>
  <si>
    <t>Colchão Casal Mola Ensacada Prodormir Rubi Soft Gel (138x188x36cm)</t>
  </si>
  <si>
    <t>PA56269</t>
  </si>
  <si>
    <t>Colchão Queen Mola Ensacada Probel Collin (158x198x30cm)</t>
  </si>
  <si>
    <t>PA69949</t>
  </si>
  <si>
    <t>Conjunto Box Casal Mola Ensacada Probel Sigma Plus (138x188x62cm)</t>
  </si>
  <si>
    <t>PA63203</t>
  </si>
  <si>
    <t>Colchão Solteirão Mola Mira-Coil Prodormir Max Hotel Comfort (120x203x25cm)</t>
  </si>
  <si>
    <t>Colchão Viúva Mola Ensacada Probel Excede Premium (128x188x30cm)</t>
  </si>
  <si>
    <t>PAA4677</t>
  </si>
  <si>
    <t>Conjunto Box Solteirão Mola Ensacada Prodormir Outback New (108x198x70cm)</t>
  </si>
  <si>
    <t>PAA6540</t>
  </si>
  <si>
    <t>Conjunto Box Viúva Espuma D33 Prodormir Infinity Hotel (128x188x58cm)</t>
  </si>
  <si>
    <t>PA92717</t>
  </si>
  <si>
    <t>Colchão Queen Espuma D45 Prodormir Infinity Hotel (158x198x20cm)</t>
  </si>
  <si>
    <t>Colchão Queen Mola Ensacada Probel Alpha (158x198x26cm)</t>
  </si>
  <si>
    <t>PA71540C77</t>
  </si>
  <si>
    <t>Box Baú Queen Bipartido Prodormir Standard Tela (158x198x34cm)</t>
  </si>
  <si>
    <t>PA71540CS4</t>
  </si>
  <si>
    <t>PA71540CAX</t>
  </si>
  <si>
    <t>PA96901</t>
  </si>
  <si>
    <t>Conjunto Box Casal Mola Ensacada Probel Akira (138x188x58cm)</t>
  </si>
  <si>
    <t>PA77218</t>
  </si>
  <si>
    <t>Colchão Queen Mola Prodormir Safira Plus (158x198x32cm)</t>
  </si>
  <si>
    <t>PA67589</t>
  </si>
  <si>
    <t>Conjunto Box Casal Mola Probel Life (138x188x62cm)</t>
  </si>
  <si>
    <t>PAA4669</t>
  </si>
  <si>
    <t>Conjunto Box Solteirão Espuma Prodormir Active Techmiddle Plus (100x200x58cm)</t>
  </si>
  <si>
    <t>PA97985</t>
  </si>
  <si>
    <t>Colchão Queen Espuma D33 Prodormir Infinity Hotel (158x198x24cm)</t>
  </si>
  <si>
    <t>PAA6479</t>
  </si>
  <si>
    <t>Conjunto Box Solteirão Mola Prodormir Max Hotel Comfort (100x200x64cm)</t>
  </si>
  <si>
    <t>PA76274</t>
  </si>
  <si>
    <t>Colchão Solteiro Mola Prodormir Hotel Residence (88x188x40cm)</t>
  </si>
  <si>
    <t>PAA4659</t>
  </si>
  <si>
    <t>Conjunto Box Solteirão Mola Ensacada Prodormir Max Hotel Essential Springs (90x200x61cm)</t>
  </si>
  <si>
    <t>PA96877</t>
  </si>
  <si>
    <t>Conjunto Box Viúva Mola Probel Chicago (128x188x62cm)</t>
  </si>
  <si>
    <t>PAA6584</t>
  </si>
  <si>
    <t>Conjunto Box Solteirão Mola Ensacada Prodormir Max Hotel Essential (100x200x61cm)</t>
  </si>
  <si>
    <t>PA79455</t>
  </si>
  <si>
    <t>Colchão Casal Mola Prodormir Top Bambu (138x188x30cm)</t>
  </si>
  <si>
    <t>PA73753</t>
  </si>
  <si>
    <t>Colchão Viúva Mola Prodormir Hercules New Marrom (128x188x40cm)</t>
  </si>
  <si>
    <t>PA66411</t>
  </si>
  <si>
    <t>Colchão Queen Mola Ensacada Probel Passione Bambu (158x198x26cm)</t>
  </si>
  <si>
    <t>PAA6535</t>
  </si>
  <si>
    <t>Conjunto Box Casal Espuma D33 Prodormir Infinity Hotel (138x188x55cm)</t>
  </si>
  <si>
    <t>PA70338</t>
  </si>
  <si>
    <t>Colchão Casal Espuma D45 Prodormir Active In Box (138x188x17cm)</t>
  </si>
  <si>
    <t>PA92028</t>
  </si>
  <si>
    <t>Colchão King Mola Prodormir Florida (193x203x25cm)</t>
  </si>
  <si>
    <t>PA73741</t>
  </si>
  <si>
    <t>Colchão Viúva Mola Prodormir Hercules New Branco (128x188x40cm)</t>
  </si>
  <si>
    <t>PA94920</t>
  </si>
  <si>
    <t>Colchão King Mola Ensacada Prodormir Califórnia (193x203x26cm)</t>
  </si>
  <si>
    <t>PA70335</t>
  </si>
  <si>
    <t>Colchão Queen Espuma D33 Prodormir Active In Box (158x198x17cm)</t>
  </si>
  <si>
    <t>PA96887</t>
  </si>
  <si>
    <t>Conjunto Box Solteiro Mola Ensacada Probel Elegancy Springs (88x188x72cm)</t>
  </si>
  <si>
    <t>PAA2457</t>
  </si>
  <si>
    <t>Conjunto Box Solteiro Mola Ensacada Prodormir Rubi Soft Gel (88x188x74cm)</t>
  </si>
  <si>
    <t>PAA6568</t>
  </si>
  <si>
    <t>Conjunto Box Solteirão MolaProdormir Max Hotel Essential (90x200x60cm)</t>
  </si>
  <si>
    <t>PA92036</t>
  </si>
  <si>
    <t>Colchão Queen Mola Prodormir Foz (158x198x30cm)</t>
  </si>
  <si>
    <t>PA71615CAB</t>
  </si>
  <si>
    <t>Box Baú Queen Bipartido Prodormir Standard Suede (158x198x34cm)</t>
  </si>
  <si>
    <t>PA71615CDD</t>
  </si>
  <si>
    <t>PA71615CDF</t>
  </si>
  <si>
    <t>PA71615C2R</t>
  </si>
  <si>
    <t>PA71615CAH</t>
  </si>
  <si>
    <t>PA63141</t>
  </si>
  <si>
    <t>Colchão Casal Mola Ensacada Prodormir Max Hotel Comfort (138x188x26cm)</t>
  </si>
  <si>
    <t>PA62360</t>
  </si>
  <si>
    <t>Colchão King Espuma D28 Prodormir Active Techmiddle (193x203x26cm)</t>
  </si>
  <si>
    <t>PAA4649</t>
  </si>
  <si>
    <t>Conjunto Box Solteirão Espuma Prodormir Active Premium Hiper Firme (100x200x50cm)</t>
  </si>
  <si>
    <t>PA77243</t>
  </si>
  <si>
    <t>Colchão Casal Mola Ensacada Prodormir Bourbon New (138x188x34cm)</t>
  </si>
  <si>
    <t>PA77230</t>
  </si>
  <si>
    <t>Colchão Solteiro Mola Probel Prohotel Residence (188x88x36cm)</t>
  </si>
  <si>
    <t>PA52480</t>
  </si>
  <si>
    <t>Colchão King Espuma Prodormir Active Premium Hiper Firme (193x203x24cm)</t>
  </si>
  <si>
    <t>PAA6570</t>
  </si>
  <si>
    <t>Conjunto Box Solteiro Mola Mira-Coil Max Hotel Essential Prodormir (88x188x60cm)</t>
  </si>
  <si>
    <t>PA71549C45</t>
  </si>
  <si>
    <t>Box Baú Queen Bipartido Prodormir Standard Jacquard (158x198x34cm)</t>
  </si>
  <si>
    <t>PA97977</t>
  </si>
  <si>
    <t>Colchão Queen Espuma D33 Prodormir Infinity Hotel (180x200x20cm)</t>
  </si>
  <si>
    <t>PAA4675</t>
  </si>
  <si>
    <t>Conjunto Box Solteirão Mola Ensacada Prodormir Outback New (108x198x66cm)</t>
  </si>
  <si>
    <t>PA70039</t>
  </si>
  <si>
    <t>Conjunto Box Solteiro Mola Probel Prohotel Comfort (88x188x64cm)</t>
  </si>
  <si>
    <t>PA69857</t>
  </si>
  <si>
    <t>Colchão Casal Mola Ensacada Probel Vancouver (138x188x28cm)</t>
  </si>
  <si>
    <t>PA70319</t>
  </si>
  <si>
    <t>Colchão Embalado à Vácuo Queen Espuma D28 Probel (158x198x17cm)</t>
  </si>
  <si>
    <t>PA71605C2R</t>
  </si>
  <si>
    <t>Box Baú Casal Bipartido Probel Luxo Suede (138x188x40cm)</t>
  </si>
  <si>
    <t>PA71605CDF</t>
  </si>
  <si>
    <t>PA71605CAB</t>
  </si>
  <si>
    <t>PA71605CDD</t>
  </si>
  <si>
    <t>PA71605CAH</t>
  </si>
  <si>
    <t>PAA2548</t>
  </si>
  <si>
    <t>Conjunto Box Solteiro Espuma Prodormir Falcon (88x188x72cm)</t>
  </si>
  <si>
    <t>PA11920C6W</t>
  </si>
  <si>
    <t>Poltrona Reclinável Probel Supreme Corino Preto</t>
  </si>
  <si>
    <t>PA11920C5P</t>
  </si>
  <si>
    <t>Poltrona Reclinável Probel Supreme Corino Marrom</t>
  </si>
  <si>
    <t>PA11920C02</t>
  </si>
  <si>
    <t>Poltrona Reclinável Probel Supreme Corino Bege</t>
  </si>
  <si>
    <t>PA11920C05</t>
  </si>
  <si>
    <t>Poltrona Reclinável Probel Supreme Corino Azul</t>
  </si>
  <si>
    <t>PA73747</t>
  </si>
  <si>
    <t>Colchão Viúva Mola Prodormir Hercules New Bege (128x188x40cm)</t>
  </si>
  <si>
    <t>PA91952</t>
  </si>
  <si>
    <t>Colchão Queen Espuma Prodormir Fiorano (158x198x34cm)</t>
  </si>
  <si>
    <t>PA70043</t>
  </si>
  <si>
    <t>PA71542C45</t>
  </si>
  <si>
    <t>Box Baú Casal Bipartido Probel Luxo Jacquard (138x188x40cm)</t>
  </si>
  <si>
    <t>PA33099</t>
  </si>
  <si>
    <t>Colchão Viúva Mola Probel Roma (128x188x30cm)</t>
  </si>
  <si>
    <t>PA67576</t>
  </si>
  <si>
    <t>Conjunto Box Solteiro Mola Probel Volare Luxo (88x188x71cm)</t>
  </si>
  <si>
    <t>PA51972</t>
  </si>
  <si>
    <t>Colchão Solteirão MolaProdormir Max Hotel Premium Force (90x200x32cm)</t>
  </si>
  <si>
    <t>PAA4664</t>
  </si>
  <si>
    <t>Conjunto Box Solteirão Espuma D33 Probel Prohotel (100x200x43cm)</t>
  </si>
  <si>
    <t>PA51983</t>
  </si>
  <si>
    <t>Colchão Solteirão Mola Ensacada Prodormir Max Hotel Premium Springs (100x200x32cm)</t>
  </si>
  <si>
    <t>PA63174</t>
  </si>
  <si>
    <t>Colchão Queen Mola Ensacada Prodormir Max Hotel Essential (158x198x23cm)</t>
  </si>
  <si>
    <t>PAA6578</t>
  </si>
  <si>
    <t>Conjunto Box Solteiro Mola Ensacada Prodormir Max Hotel Comfort (88x188x64cm)</t>
  </si>
  <si>
    <t>PAA6551</t>
  </si>
  <si>
    <t>Conjunto Box Solteirão Espuma D33 Prodormir Infinity Hotel Pillow Super (100x200x62cm)</t>
  </si>
  <si>
    <t>PA63204</t>
  </si>
  <si>
    <t>Colchão Viúva Mola Mira-Coil Prodormir Max Hotel Comfort Force (128x188x25cm)</t>
  </si>
  <si>
    <t>PAA6515</t>
  </si>
  <si>
    <t>Conjunto Box Solteirão Espuma D45 Prodormir Infinity Hotel (100x200x58cm)</t>
  </si>
  <si>
    <t>PA67225CAP</t>
  </si>
  <si>
    <t>Box Baú Casal Probel Luxo Suede Bege (138x188x40cm)</t>
  </si>
  <si>
    <t>PAA2441</t>
  </si>
  <si>
    <t>Conjunto Box Casal Mola Prodormir Max Sport (138x188x62cm)</t>
  </si>
  <si>
    <t>PA96900</t>
  </si>
  <si>
    <t>Conjunto Box Viúva Mola Ensacada Probel Akira (128x188x58cm)</t>
  </si>
  <si>
    <t>PA92733</t>
  </si>
  <si>
    <t>Colchão Viúva Espuma D45 Prodormir Infinity Hotel Pillow Super (128x188x24cm)</t>
  </si>
  <si>
    <t>PA66724</t>
  </si>
  <si>
    <t>Colchão Casal Mola Probel Siena (138x188x28cm)</t>
  </si>
  <si>
    <t>PA94857</t>
  </si>
  <si>
    <t>Colchão Queen Mola Probel Chicago (158x198x24cm)</t>
  </si>
  <si>
    <t>PAA6545</t>
  </si>
  <si>
    <t>Conjunto Box Solteirão Espuma D33 Prodormir Infinity Hotel (100x200x62cm)</t>
  </si>
  <si>
    <t>PA92724</t>
  </si>
  <si>
    <t>Colchão Viúva Espuma D45 Prodormir Infinity Hotel (128x188x24cm)</t>
  </si>
  <si>
    <t>PAA4655</t>
  </si>
  <si>
    <t>Conjunto Box Solteirão Espuma Prodormir Active Techmiddle (100x200x52cm)</t>
  </si>
  <si>
    <t>PA85360</t>
  </si>
  <si>
    <t>Colchão Casal Mola Ensacada Probel Turim  (138x188x28cm)</t>
  </si>
  <si>
    <t>PA71948</t>
  </si>
  <si>
    <t>Conjunto Box Viúva Mola Ensacada Probel Sigma Plus (128x188x62cm)</t>
  </si>
  <si>
    <t>PA69610</t>
  </si>
  <si>
    <t>Colchão Viúva Mola Ensacada Prodormir Rubi Soft Gel (128x188x36cm)</t>
  </si>
  <si>
    <t>PAA2533</t>
  </si>
  <si>
    <t>Conjunto Box Solteiro Espuma Prodormir Fiorano (88x188x72cm)</t>
  </si>
  <si>
    <t>PAA4695</t>
  </si>
  <si>
    <t>Conjunto Box Solteirão Mola Ensacada Prodormir Califórnia (100x200x64cm)</t>
  </si>
  <si>
    <t>PAA6576</t>
  </si>
  <si>
    <t>Conjunto Box Solteirão Mola Max Hotel Essential Prodormir (100x200x61cm)</t>
  </si>
  <si>
    <t>PAA2543</t>
  </si>
  <si>
    <t>Conjunto Box Solteiro Mola Prodormir Foz (88x188x68cm)</t>
  </si>
  <si>
    <t>PA21780CAH</t>
  </si>
  <si>
    <t>Box Baú Casal Probel Luxo Suede (138x188x40cm)</t>
  </si>
  <si>
    <t>PA21780C2R</t>
  </si>
  <si>
    <t>PA21780CDF</t>
  </si>
  <si>
    <t>PA21780CAB</t>
  </si>
  <si>
    <t>PA21780CDD</t>
  </si>
  <si>
    <t>PA62387</t>
  </si>
  <si>
    <t>Colchão Queen Espuma D33 Prodormir Active Techintense (158x198x26cm)</t>
  </si>
  <si>
    <t>PAA2455</t>
  </si>
  <si>
    <t>Conjunto Box Casal Mola Ensacada Prodormir Solar Bambu Cinza (138x188x58cm)</t>
  </si>
  <si>
    <t>PAA6484</t>
  </si>
  <si>
    <t>Conjunto Box Solteiro Mola Mira-Coil Prodormir Max Hotel Essential (88x188x60cm)</t>
  </si>
  <si>
    <t>PA78144</t>
  </si>
  <si>
    <t>Colchão Queen Mola Ensacada Prodormir Max Springs (158x198x30cm)</t>
  </si>
  <si>
    <t>PA77927</t>
  </si>
  <si>
    <t>Colchão Solteirão Mola Ensacada Prodormir King Hard (100x200x34cm)</t>
  </si>
  <si>
    <t>PA71603CV6</t>
  </si>
  <si>
    <t>Box Baú Queen Bipartido Prodormir Standard Rústico (158x198x34cm)</t>
  </si>
  <si>
    <t>PA71603CV5</t>
  </si>
  <si>
    <t>PA71603CAF</t>
  </si>
  <si>
    <t>PA57482CCB</t>
  </si>
  <si>
    <t>Box Baú Casal Probel Luxo Corino (138x188x40cm)</t>
  </si>
  <si>
    <t>PA57482CBZ</t>
  </si>
  <si>
    <t>PA57482C02</t>
  </si>
  <si>
    <t>Box Baú Casal Probel Luxo Corino Bege (138x188x40cm)</t>
  </si>
  <si>
    <t>PA66135CBY</t>
  </si>
  <si>
    <t>Box Baú Casal Probel Luxo Kupon Preto (138x188x40cm)</t>
  </si>
  <si>
    <t>PA97970</t>
  </si>
  <si>
    <t>Colchão King Espuma D33 Prodormir Infinity Hotel (193x203x17cm)</t>
  </si>
  <si>
    <t>PA17776</t>
  </si>
  <si>
    <t>Conjunto Box Solteiro Mola Probel Roma (88x188x68cm)</t>
  </si>
  <si>
    <t>PAA6583</t>
  </si>
  <si>
    <t>Conjunto Box Solteirão Mola Ensacada Prodormir Max Hotel Essential (90x200x61cm)</t>
  </si>
  <si>
    <t>PA70129</t>
  </si>
  <si>
    <t>Colchão Embalado à Vácuo Solteiro Espuma D45 Guarda Costas (88x188x24cm)</t>
  </si>
  <si>
    <t>PA62281</t>
  </si>
  <si>
    <t>Colchão Casal Espuma D45 Prodormir Active Techextreme (138x188x26cm)</t>
  </si>
  <si>
    <t>PA79454</t>
  </si>
  <si>
    <t>Colchão Viúva Mola Prodormir Top Bambu (128x188x30cm)</t>
  </si>
  <si>
    <t>PA94890</t>
  </si>
  <si>
    <t>Colchão King Mola Ensacada Probel Akira (193x203x20cm)</t>
  </si>
  <si>
    <t>PA66792</t>
  </si>
  <si>
    <t>Conjunto Box Solteiro Mola Ensacada Probel Bari (88x188x58cm)</t>
  </si>
  <si>
    <t>PA59714</t>
  </si>
  <si>
    <t>Colchão Solteirão Mola Mira-Coil Prodormir Max Hotel Premium Force (90x200x32cm)</t>
  </si>
  <si>
    <t>PAA4692</t>
  </si>
  <si>
    <t>Conjunto Box Solteirão Mola Prodormir Florida (100x200x63cm)</t>
  </si>
  <si>
    <t>PA85366</t>
  </si>
  <si>
    <t>Conjunto Box Solteiro Mola Ensacada Probel Excede Premium (88x188x56cm)</t>
  </si>
  <si>
    <t>PAA2530</t>
  </si>
  <si>
    <t>Conjunto Box Viúva Mola Ensacada Prodormir Solar Bambu Bege (128x188x58cm)</t>
  </si>
  <si>
    <t>PAA6526</t>
  </si>
  <si>
    <t>Conjunto Box Solteiro Espuma D45 Prodormir Infinity Hotel Pillow Super (88x188x62cm)</t>
  </si>
  <si>
    <t>PA70331</t>
  </si>
  <si>
    <t>Colchão Queen Espuma D28 Prodormir Active In Box (158x198x17cm)</t>
  </si>
  <si>
    <t>PA73805</t>
  </si>
  <si>
    <t>Colchão Queen Mola Ensacada Prodormir Outback New Bege (158x198x32cm)</t>
  </si>
  <si>
    <t>PA70015</t>
  </si>
  <si>
    <t>PA51971</t>
  </si>
  <si>
    <t>Colchão Solteiro Mola Mira-Coil Prodormir Max Hotel Premium Force (88x188x32cm)</t>
  </si>
  <si>
    <t>PA58306CV6</t>
  </si>
  <si>
    <t>Box Baú Casal Probel Luxo Rústico Bege (138x188x40cm)</t>
  </si>
  <si>
    <t>PA63140</t>
  </si>
  <si>
    <t>Colchão Viúva Mola Ensacada Prodormir Max Hotel Comfort Springs (128x188x26cm)</t>
  </si>
  <si>
    <t>PA77242</t>
  </si>
  <si>
    <t>Colchão Viúva Mola Ensacada Prodormir Bourbon New (128x188x34cm)</t>
  </si>
  <si>
    <t>PA94864</t>
  </si>
  <si>
    <t>Colchão Casal Mola Ensacada Probel Portugal (138x188x30cm)</t>
  </si>
  <si>
    <t>PA63110</t>
  </si>
  <si>
    <t>Colchão Queen Mola Prodormir Max Hotel Essential (158x198x23cm)</t>
  </si>
  <si>
    <t>PA63077</t>
  </si>
  <si>
    <t>Colchão Casal Mola Mira-Coil Prodormir Max Hotel Essential (138x188x22cm)</t>
  </si>
  <si>
    <t>PAA2489</t>
  </si>
  <si>
    <t>Conjunto Box Solteiro Mola Ensacada Prodormir New Life (88x188x68cm)</t>
  </si>
  <si>
    <t>PA56275</t>
  </si>
  <si>
    <t>Colchão Queen Mola Probel Loretto (158x198x28cm)</t>
  </si>
  <si>
    <t>PA71038</t>
  </si>
  <si>
    <t>Colchão Queen Espuma Prodormir Active Techintense Plus (158x198x32cm)</t>
  </si>
  <si>
    <t>PAA6534</t>
  </si>
  <si>
    <t>Conjunto Box Viúva Espuma D33 Prodormir Infinity Hotel (128x188x55cm)</t>
  </si>
  <si>
    <t>PA21777C45</t>
  </si>
  <si>
    <t>Box Baú Casal Probel Luxo Jacquard (138x188x40cm)</t>
  </si>
  <si>
    <t>PA59562</t>
  </si>
  <si>
    <t>Colchão Solteiro Mola Ensacada Prodormir Copenhague (88x188x36cm)</t>
  </si>
  <si>
    <t>PA51943</t>
  </si>
  <si>
    <t>Colchão Solteirão Mola Max Hotel Premium Prodormir (100x200x32cm)</t>
  </si>
  <si>
    <t>PA67224CAP</t>
  </si>
  <si>
    <t>Box Baú Viúva Probel Luxo Suede Bege (128x188x40cm)</t>
  </si>
  <si>
    <t>PAA6566</t>
  </si>
  <si>
    <t>Conjunto Box Solteiro Mola Max Hotel Comfort Prodormir (88x188x64cm)</t>
  </si>
  <si>
    <t>PAA1571</t>
  </si>
  <si>
    <t>Conjunto Box Solteiro Mola Ensacada Prodormir Bourbon New (88x188x72cm)</t>
  </si>
  <si>
    <t>PA63237</t>
  </si>
  <si>
    <t>Colchão Casal Mola Probel Prohotel Royal (138x188x23cm)</t>
  </si>
  <si>
    <t>PA78129</t>
  </si>
  <si>
    <t>Colchão Solteiro Mola Ensacada Prodormir Loft (88x188x32cm)</t>
  </si>
  <si>
    <t>PA71539C77</t>
  </si>
  <si>
    <t>Box Baú Casal Bipartido Prodormir Standard Tela (138x188x34cm)</t>
  </si>
  <si>
    <t>PA71539CS4</t>
  </si>
  <si>
    <t>PA71539CAX</t>
  </si>
  <si>
    <t>Colchão Casal Espuma AD Resistence Probel 28cm Branco/Cinza (138x188x28cm)</t>
  </si>
  <si>
    <t>PA62880</t>
  </si>
  <si>
    <t>Colchão Solteirão Mola Prodormir Max Hotel Premium (100x200x32cm)</t>
  </si>
  <si>
    <t>PA63045</t>
  </si>
  <si>
    <t>Colchão Casal Mola Prodormir Max Hotel Comfort (138x188x26cm)</t>
  </si>
  <si>
    <t>PA63739</t>
  </si>
  <si>
    <t>Colchão Queen Espuma D33 Prohotel Probel 17cm Bege/Bege (158x198x17cm)</t>
  </si>
  <si>
    <t>PAA4676</t>
  </si>
  <si>
    <t>PA71023</t>
  </si>
  <si>
    <t>Colchão Casal Espuma Prodormir Active Techextreme Luxo (138x188x32cm)</t>
  </si>
  <si>
    <t>PA66755</t>
  </si>
  <si>
    <t>Colchão Casal Mola Probel Napoli (138x188x30cm)</t>
  </si>
  <si>
    <t>PAA2440</t>
  </si>
  <si>
    <t>Conjunto Box Viúva Mola Prodormir Max Sport (128x188x62cm)</t>
  </si>
  <si>
    <t>PA63383</t>
  </si>
  <si>
    <t>Colchão Solteirão Mola Probel Prohotel Prime (90x200x30cm)</t>
  </si>
  <si>
    <t>PAA6491</t>
  </si>
  <si>
    <t>Conjunto Box Solteirão Mola Prodormir Max Hotel Essential (100x200x61cm)</t>
  </si>
  <si>
    <t>PA76273</t>
  </si>
  <si>
    <t>Colchão Beliche Mola Prodormir Hotel Residence (78x188x40cm)</t>
  </si>
  <si>
    <t>PAA2504</t>
  </si>
  <si>
    <t>Conjunto Box Solteiro Mola Ensacada Prodormir Max Springs (88x188x68cm)</t>
  </si>
  <si>
    <t>PA78199</t>
  </si>
  <si>
    <t>Colchão Solteiro Mola Ensacada Prodormir Comfort Bambu (88x188x34cm)</t>
  </si>
  <si>
    <t>PA38689CAH</t>
  </si>
  <si>
    <t>Box Baú Viúva Probel Luxo Suede Marrom (128x188x40cm)</t>
  </si>
  <si>
    <t>PA94889</t>
  </si>
  <si>
    <t>Colchão Queen Mola Ensacada Probel Akira (158x198x20cm)</t>
  </si>
  <si>
    <t>PA62751</t>
  </si>
  <si>
    <t>Colchão Queen Espuma D33 PróIntense Probel 28cm Bege/Marrom (158x198x28cm)</t>
  </si>
  <si>
    <t>PAA2454</t>
  </si>
  <si>
    <t>Conjunto Box Viúva Mola Ensacada Prodormir Solar Bambu Cinza (128x188x58cm)</t>
  </si>
  <si>
    <t>PA70031</t>
  </si>
  <si>
    <t>Conjunto Box Solteiro Mola Probel Prohotel Royal (88x188x61cm)</t>
  </si>
  <si>
    <t>PA67504</t>
  </si>
  <si>
    <t>Conjunto Box Casal Mola Ensacada Prodormir Vegas Comfort (138x188x58cm)</t>
  </si>
  <si>
    <t>Colchão Viúva Mola Ensacada Probel Turim  (128x188x28cm)</t>
  </si>
  <si>
    <t>PA63139</t>
  </si>
  <si>
    <t>Colchão Solteirão Mola Ensacada Prodormir Max Hotel Comfort (120x203x26cm)</t>
  </si>
  <si>
    <t>PA35621</t>
  </si>
  <si>
    <t>Colchão Casal Mola Probel Guardian (138x188x32cm)</t>
  </si>
  <si>
    <t>PA21781C77</t>
  </si>
  <si>
    <t>Box Baú Casal Probel Luxo Tela (138x188x40cm)</t>
  </si>
  <si>
    <t>PA21781CAX</t>
  </si>
  <si>
    <t>PA21781CS4</t>
  </si>
  <si>
    <t>PA37611</t>
  </si>
  <si>
    <t>Colchão Casal Mola Prodormir Sensitive Ômega (138x188x32cm)</t>
  </si>
  <si>
    <t>PA70035</t>
  </si>
  <si>
    <t>PA59713</t>
  </si>
  <si>
    <t>Colchao Solteiro Miracoil Prodormir Max Hotel Premium Force (88x188x32cm)</t>
  </si>
  <si>
    <t>PA63075</t>
  </si>
  <si>
    <t>Colchão Solteirão Mola Mira-Coil Prodormir Max Hotel Essential (120x203x22cm)</t>
  </si>
  <si>
    <t>PA71602CAF</t>
  </si>
  <si>
    <t>Box Baú Casal Bipartido Prodormir Standard Rústico (138x188x34cm)</t>
  </si>
  <si>
    <t>PA71602CV5</t>
  </si>
  <si>
    <t>PA71602CV6</t>
  </si>
  <si>
    <t>PA70322</t>
  </si>
  <si>
    <t>Colchão Embalado à Vácuo Casal Espuma D33 Guarda Costas (138x188x17cm)</t>
  </si>
  <si>
    <t>PAA6520</t>
  </si>
  <si>
    <t>Conjunto Box Solteiro Espuma D45 Prodormir Infinity Hotel (88x188x62cm)</t>
  </si>
  <si>
    <t>PA66323</t>
  </si>
  <si>
    <t>Colchão Solteirão Mola Ensacada Probel Versailles Ultra Gel (100x200x30cm)</t>
  </si>
  <si>
    <t>PA94838</t>
  </si>
  <si>
    <t>Colchão Casal Mola Probel Pró Charge (138x188x28cm)</t>
  </si>
  <si>
    <t>PA92709</t>
  </si>
  <si>
    <t>Colchão Queen Espuma D45 Prodormir Infinity Hotel (158x198x17cm)</t>
  </si>
  <si>
    <t>PA77980</t>
  </si>
  <si>
    <t>Colchão Casal Mola Ensacada Prodormir New Life (138x188x30cm)</t>
  </si>
  <si>
    <t>PA35620</t>
  </si>
  <si>
    <t>Colchão Viúva Mola Probel Guardian (128x188x32cm)</t>
  </si>
  <si>
    <t>PA77993</t>
  </si>
  <si>
    <t>Colchão King Mola Ensacada Prodormir Solar Max (193x203x24cm)</t>
  </si>
  <si>
    <t>PAA4682</t>
  </si>
  <si>
    <t>Conjunto Box Solteirão Mola Ensacada Prodormir Solar Max (100x200x62cm)</t>
  </si>
  <si>
    <t>PA59561</t>
  </si>
  <si>
    <t>Colchão Beliche Mola Ensacada Prodormir Copenhague (78x188x36cm)</t>
  </si>
  <si>
    <t>PAA6478</t>
  </si>
  <si>
    <t>Conjunto Box Solteiro Mola Prodormir Max Hotel Comfort (88x188x64cm)</t>
  </si>
  <si>
    <t>PA62280</t>
  </si>
  <si>
    <t>Colchão Viúva Espuma D45 Prodormir Active Techextreme (128x188x26cm)</t>
  </si>
  <si>
    <t>PA71614CDD</t>
  </si>
  <si>
    <t>Box Baú Casal Bipartido Prodormir Standard Suede (138x188x34cm)</t>
  </si>
  <si>
    <t>PA71614CAB</t>
  </si>
  <si>
    <t>PA71614CAH</t>
  </si>
  <si>
    <t>PA71614CDF</t>
  </si>
  <si>
    <t>PA71614C2R</t>
  </si>
  <si>
    <t>PA97993</t>
  </si>
  <si>
    <t>Colchão Casal Espuma D33 Prodormir Infinity Hotel Pillow Super (138x188x24cm)</t>
  </si>
  <si>
    <t>PA66796</t>
  </si>
  <si>
    <t>Conjunto Box Solteiro Mola Probel Siena (88x188x66cm)</t>
  </si>
  <si>
    <t>PA63382</t>
  </si>
  <si>
    <t>Colchão Solteiro Mola Probel Prohotel Prime (88x188x30cm)</t>
  </si>
  <si>
    <t>PAA4668</t>
  </si>
  <si>
    <t>Conjunto Box Solteirão Mola Ensacada Probel Sigma Plus (100x200x62cm)</t>
  </si>
  <si>
    <t>PA78768</t>
  </si>
  <si>
    <t>Colchão Solteirão Mola Ensacada Prodormir Dinamo Luxo Visco (100x200x32cm)</t>
  </si>
  <si>
    <t>PA79442</t>
  </si>
  <si>
    <t>Colchão Solteirão Mola Prodormir Manchester (100x200x33cm)</t>
  </si>
  <si>
    <t>PAA6573</t>
  </si>
  <si>
    <t>Conjunto Box Solteirão Mola Prodormir Max Hotel Essential (90x200x61cm)</t>
  </si>
  <si>
    <t>PA52106</t>
  </si>
  <si>
    <t>Colchão Casal Espuma D45 Guarda Costas Probel 20cm Branco/Cinza (138x188x20cm)</t>
  </si>
  <si>
    <t>PAA6582</t>
  </si>
  <si>
    <t>Conjunto Box Solteiro Mola Ensacada Prodormir Max Hotel Essential (88x188x61cm)</t>
  </si>
  <si>
    <t>PAA6509</t>
  </si>
  <si>
    <t>Conjunto Box Solteirão Espuma D45 Prodormir Infinity Hotel (100x200x55cm)</t>
  </si>
  <si>
    <t>PA97969</t>
  </si>
  <si>
    <t>Colchão Queen Espuma D33 Prodormir Infinity Hotel (180x200x17cm)</t>
  </si>
  <si>
    <t>PA58305CV6</t>
  </si>
  <si>
    <t>Box Baú Viúva Probel Luxo Rústico Bege (128x188x40cm)</t>
  </si>
  <si>
    <t>PA66421</t>
  </si>
  <si>
    <t>Colchão Queen Mola Probel Life (158x198x24cm)</t>
  </si>
  <si>
    <t>PA94846</t>
  </si>
  <si>
    <t>Colchão Casal Mola Ensacada Probel Santiago (138x188x24cm)</t>
  </si>
  <si>
    <t>PAA6539</t>
  </si>
  <si>
    <t>Conjunto Box Solteirão Espuma D33 Prodormir Infinity Hotel (100x200x58cm)</t>
  </si>
  <si>
    <t>PA92066</t>
  </si>
  <si>
    <t>Colchão Casal Espuma Prodormir Falcon (138x188x34cm)</t>
  </si>
  <si>
    <t>PA86714</t>
  </si>
  <si>
    <t>Colchão Solteirão Espuma Prodormir Active Force Extreme (100x200x30cm)</t>
  </si>
  <si>
    <t>PA63044</t>
  </si>
  <si>
    <t>Colchão Viúva Mola Prodormir Max Hotel Comfort (128x188x26cm)</t>
  </si>
  <si>
    <t>PA97976</t>
  </si>
  <si>
    <t>Colchão Queen Espuma D33 Prodormir Infinity Hotel (158x198x20cm)</t>
  </si>
  <si>
    <t>PA85370</t>
  </si>
  <si>
    <t>Conjunto Box Solteiro Mola Ensacada Probel Turim  (88x188x66cm)</t>
  </si>
  <si>
    <t>PA92716</t>
  </si>
  <si>
    <t>Colchão Casal Espuma D45 Prodormir Infinity Hotel (138x188x20cm)</t>
  </si>
  <si>
    <t>PA71010</t>
  </si>
  <si>
    <t>Colchão Queen Espuma Prodormir Active Techmiddle Plus (158x198x32cm)</t>
  </si>
  <si>
    <t>PA56268</t>
  </si>
  <si>
    <t>Colchão Casal Mola Ensacada Probel Collin (138x188x30cm)</t>
  </si>
  <si>
    <t>Colchão Queen Mola Ensacada Probel Sigma Plus (158x198x24cm)</t>
  </si>
  <si>
    <t>PA73760</t>
  </si>
  <si>
    <t>Colchão Queen Mola Ensacada Prodormir Outback New Marrom (158x198x28cm)</t>
  </si>
  <si>
    <t>PA66754</t>
  </si>
  <si>
    <t>Colchão Viúva Mola Probel Napoli (128x188x30cm)</t>
  </si>
  <si>
    <t>PA70334</t>
  </si>
  <si>
    <t>Colchão Casal Espuma D33 Prodormir Active In Box (138x188x17cm)</t>
  </si>
  <si>
    <t>PA71022</t>
  </si>
  <si>
    <t>Colchão Viúva Espuma Prodormir Active Techextreme Luxo (128x188x32cm)</t>
  </si>
  <si>
    <t>PA96882</t>
  </si>
  <si>
    <t>Conjunto Box Solteiro Mola Ensacada Probel Portugal (88x188x68cm)</t>
  </si>
  <si>
    <t>PA73740</t>
  </si>
  <si>
    <t>Colchão Solteirão Mola Prodormir Hércules New Branco (100x200x40cm)</t>
  </si>
  <si>
    <t>PA57572</t>
  </si>
  <si>
    <t>Conjunto Box Solteiro Mola Probel Guardian (88x188x70cm)</t>
  </si>
  <si>
    <t>PA69952</t>
  </si>
  <si>
    <t>Conjunto Box Solteiro Mola Ensacada Probel Vancouver (88x188x66cm)</t>
  </si>
  <si>
    <t>PA97984</t>
  </si>
  <si>
    <t>Colchão Casal Espuma D33 Prodormir Infinity Hotel (138x188x24cm)</t>
  </si>
  <si>
    <t>Colchão Casal Mola Ensacada Probel Alpha (138x188x26cm)</t>
  </si>
  <si>
    <t>PA63043</t>
  </si>
  <si>
    <t>Colchão Solteirão Mola Prodormir Max Hotel Comfort (120x203x26cm)</t>
  </si>
  <si>
    <t>PA63224</t>
  </si>
  <si>
    <t>Colchão Solteirão Mola Mira-Coil Prodormir Max Hotel Comfort (100x200x25cm)</t>
  </si>
  <si>
    <t>PA73752</t>
  </si>
  <si>
    <t>Colchão Solteirão Mola Prodormir Hércules New (100x200x40cm)</t>
  </si>
  <si>
    <t>PA92035</t>
  </si>
  <si>
    <t>Colchão Casal Mola Prodormir Foz (138x188x30cm)</t>
  </si>
  <si>
    <t>PA77217</t>
  </si>
  <si>
    <t>Colchão Casal Mola Prodormir Safira Plus (138x188x32cm)</t>
  </si>
  <si>
    <t>PAA6544</t>
  </si>
  <si>
    <t>Conjunto Box Solteiro Espuma D33 Prodormir Infinity Hotel (88x188x62cm)</t>
  </si>
  <si>
    <t>PA67566</t>
  </si>
  <si>
    <t>Conjunto Box Solteiro Mola Prodormir Sensitive Ômega (88x188x70cm)</t>
  </si>
  <si>
    <t>PA63076</t>
  </si>
  <si>
    <t>Colchão Viúva Mola Mira-Coil Prodormir Max Hotel Essential (128x188x22cm)</t>
  </si>
  <si>
    <t>PA51970</t>
  </si>
  <si>
    <t>Colchão Beliche Mola Mira-Coil Prodormir Max Hotel Premium Force (78x188x32cm)</t>
  </si>
  <si>
    <t>PA70513</t>
  </si>
  <si>
    <t>Colchão Queen Mola Ensacada Prodormir Imperial Premium (158x198x30cm)</t>
  </si>
  <si>
    <t>PAA1596</t>
  </si>
  <si>
    <t>Conjunto Box Solteiro Mola Prodormir Safira Plus (88x188x70cm)</t>
  </si>
  <si>
    <t>PA94837</t>
  </si>
  <si>
    <t>Colchão Viúva Mola Probel Pró Charge (128x188x28cm)</t>
  </si>
  <si>
    <t>Colchão Casal Mola Ensacada Probel Passione Bambu 138x188x26 (138x188x26cm)</t>
  </si>
  <si>
    <t>PA71548C45</t>
  </si>
  <si>
    <t>Box Baú Casal Bipartido Prodormir Standard Jacquard (138x188x34cm)</t>
  </si>
  <si>
    <t>PAA6575</t>
  </si>
  <si>
    <t>Conjunto Box Solteiro Mola Max Hotel Essential Prodormir (88x188x61cm)</t>
  </si>
  <si>
    <t>PA77979</t>
  </si>
  <si>
    <t>Colchão Viúva Mola Ensacada Prodormir New Life (128x188x30cm)</t>
  </si>
  <si>
    <t>PA73746</t>
  </si>
  <si>
    <t>Colchão Solteirão Mola Prodormir Hércules New Bege (100x200x40cm)</t>
  </si>
  <si>
    <t>PA69609</t>
  </si>
  <si>
    <t>Colchão Solteirão Mola Ensacada Prodormir Rubi Soft Gel (100x200x36cm)</t>
  </si>
  <si>
    <t>PA67222CAP</t>
  </si>
  <si>
    <t>Box Baú King Probel Luxo Suede Bege (96x203x40cm)</t>
  </si>
  <si>
    <t>PAA6550</t>
  </si>
  <si>
    <t>Conjunto Box Solteiro Espuma D33 Prodormir Infinity Hotel Pillow Super (88x188x62cm)</t>
  </si>
  <si>
    <t>PA70509</t>
  </si>
  <si>
    <t>PA63173</t>
  </si>
  <si>
    <t>Colchão Casal Mola Ensacada Prodormir Max Hotel Essential (138x188x23cm)</t>
  </si>
  <si>
    <t>PA67203</t>
  </si>
  <si>
    <t>Colchão Solteiro Espuma Visco Gel Prodormir Active In Box (88x188x25cm)</t>
  </si>
  <si>
    <t>PA78198</t>
  </si>
  <si>
    <t>Colchão Beliche Mola Ensacada Prodormir Comfort Bambu (78x188x34cm)</t>
  </si>
  <si>
    <t>PA73765</t>
  </si>
  <si>
    <t>Colchão Queen Mola Ensacada Prodormir Outback New Cinza (158x198x28cm)</t>
  </si>
  <si>
    <t>PA94845</t>
  </si>
  <si>
    <t>Colchão Viúva Mola Ensacada Probel Santiago (128x188x24cm)</t>
  </si>
  <si>
    <t>PAA6514</t>
  </si>
  <si>
    <t>Conjunto Box Solteiro Espuma D45 Prodormir Infinity Hotel (88x188x58cm)</t>
  </si>
  <si>
    <t>PA96864</t>
  </si>
  <si>
    <t>Conjunto Box Solteiro Mola Probel Pró Charge (88x188x66cm)</t>
  </si>
  <si>
    <t>PA70023</t>
  </si>
  <si>
    <t>PA78128</t>
  </si>
  <si>
    <t>Colchão Beliche Mola Ensacada Prodormir Loft (78x188x32cm)</t>
  </si>
  <si>
    <t>PA51981</t>
  </si>
  <si>
    <t>Colchão Solteiro Mola Ensacada Prodormir Max Hotel Premium Springs (88x188x32cm)</t>
  </si>
  <si>
    <t>PA70318</t>
  </si>
  <si>
    <t>Colchão Embalado à Vácuo Casal Espuma D28 Probel (138x188x17cm)</t>
  </si>
  <si>
    <t>PA66888</t>
  </si>
  <si>
    <t>Conjunto Box Solteiro Mola Probel Napoli (88x188x68cm)</t>
  </si>
  <si>
    <t>PA66322</t>
  </si>
  <si>
    <t>Colchão Solteiro Mola Ensacada Probel Versailles Ultra Gel (88x188x30cm)</t>
  </si>
  <si>
    <t>PA91951</t>
  </si>
  <si>
    <t>Colchão Casal Espuma Prodormir Fiorano (138x188x34cm)</t>
  </si>
  <si>
    <t>PA59712</t>
  </si>
  <si>
    <t>Colchão Beliche Mola Mira-Coil Prodormir Max Hotel Premium Force Dupla Face (78x188x32cm)</t>
  </si>
  <si>
    <t>PA63202</t>
  </si>
  <si>
    <t>Colchão Solteirão Mola Mira-Coil Prodormir Max Hotel Comfort Force (100x200x25cm)</t>
  </si>
  <si>
    <t>PAA2485</t>
  </si>
  <si>
    <t>Conjunto Box Solteiro Mola Ensacada Prodormir Outback New Bege (88x188x70cm)</t>
  </si>
  <si>
    <t>PA97992</t>
  </si>
  <si>
    <t>Colchão Viúva Espuma D33 Prodormir Infinity Hotel Pillow Super (128x188x24cm)</t>
  </si>
  <si>
    <t>PA78143</t>
  </si>
  <si>
    <t>Colchão Casal Mola Ensacada Prodormir Max Springs (138x188x30cm)</t>
  </si>
  <si>
    <t>PA94856</t>
  </si>
  <si>
    <t>Colchão Casal Mola Probel Chicago (138x188x24cm)</t>
  </si>
  <si>
    <t>PAA2538</t>
  </si>
  <si>
    <t>Conjunto Box Solteiro Mola Prodormir Florida (88x188x63cm)</t>
  </si>
  <si>
    <t>PAA1586</t>
  </si>
  <si>
    <t>Conjunto Box Solteiro Mola Ensacada Prodormir Imperial Premium (88x188x68cm)</t>
  </si>
  <si>
    <t>PA92026</t>
  </si>
  <si>
    <t>Colchão Queen Mola Prodormir Florida (158x198x25cm)</t>
  </si>
  <si>
    <t>PA62359</t>
  </si>
  <si>
    <t>Colchão Queen Espuma D28 Prodormir Active Techmiddle (158x198x26cm)</t>
  </si>
  <si>
    <t>PA62233</t>
  </si>
  <si>
    <t>Colchão Queen Espuma Prodormir Tech2000 (158x198x25cm)</t>
  </si>
  <si>
    <t>PA11684C6W</t>
  </si>
  <si>
    <t>Poltrona Reclinável Probel Lumieré Corino Preto</t>
  </si>
  <si>
    <t>PA11684C5P</t>
  </si>
  <si>
    <t>Poltrona Reclinável Probel Lumieré Corino Marrom</t>
  </si>
  <si>
    <t>PA11684C02</t>
  </si>
  <si>
    <t>Poltrona Reclinável Probel Lumieré Corino Bege</t>
  </si>
  <si>
    <t>PA11684C05</t>
  </si>
  <si>
    <t>Poltrona Reclinável Probel Lumieré Corino Azul</t>
  </si>
  <si>
    <t>PA63160</t>
  </si>
  <si>
    <t>Colchão Solteirão Mola Ensacada Prodormir Max Hotel Comfort (100x200x26cm)</t>
  </si>
  <si>
    <t>PA70125</t>
  </si>
  <si>
    <t>Colchão Embalado à Vácuo Solteiro Espuma D45 Guarda Costas (88x188x20cm)</t>
  </si>
  <si>
    <t>PA66132CBY</t>
  </si>
  <si>
    <t>Box Baú King Probel Luxo Kupon Preto (96x203x40cm)</t>
  </si>
  <si>
    <t>PA92065</t>
  </si>
  <si>
    <t>Colchão Viúva Espuma Prodormir Falcon (128x188x34cm)</t>
  </si>
  <si>
    <t>PA77926</t>
  </si>
  <si>
    <t>Colchão Solteiro Mola Ensacada Prodormir King Hard (88x188x34cm)</t>
  </si>
  <si>
    <t>PAA1582</t>
  </si>
  <si>
    <t>PAA6490</t>
  </si>
  <si>
    <t>Conjunto Box Solteiro Mola Prodormir Max Hotel Essential (88x188x61cm)</t>
  </si>
  <si>
    <t>PA94919</t>
  </si>
  <si>
    <t>Colchão Queen Mola Ensacada Prodormir Califórnia (158x198x26cm)</t>
  </si>
  <si>
    <t>PA58273</t>
  </si>
  <si>
    <t>Conjunto Box Solteiro Mola Ensacada Probel Collin (88x188x68cm)</t>
  </si>
  <si>
    <t>PA94893</t>
  </si>
  <si>
    <t>Conjunto Box Conjugado Casal Mola ProDormir Vênus (138x188x42cm)</t>
  </si>
  <si>
    <t>PA63109</t>
  </si>
  <si>
    <t>Colchão Casal Mola Prodormir Max Hotel Essential (138x188x23cm)</t>
  </si>
  <si>
    <t>PA67584</t>
  </si>
  <si>
    <t>Conjunto Box Solteiro Mola Ensacada Probel Passione Bambu (88x188x64cm)</t>
  </si>
  <si>
    <t>PA92723</t>
  </si>
  <si>
    <t>Colchão Solteirão Espuma D45 Prodormir Infinity Hotel (100x200x24cm)</t>
  </si>
  <si>
    <t>PA96858</t>
  </si>
  <si>
    <t>Conjunto Box Solteiro Mola Ensacada Probel Alpha (88x188x64cm)</t>
  </si>
  <si>
    <t>PA23345CAH</t>
  </si>
  <si>
    <t>Box Baú King Probel Luxo Suede Marrom (96x203x40cm)</t>
  </si>
  <si>
    <t>PA92732</t>
  </si>
  <si>
    <t>Colchão Solteirão Espuma D45 Prodormir Infinity Hotel Pillow Super (100x200x24cm)</t>
  </si>
  <si>
    <t>PA92034</t>
  </si>
  <si>
    <t>Colchão Viúva Mola Prodormir Foz (128x188x30cm)</t>
  </si>
  <si>
    <t>PA66729</t>
  </si>
  <si>
    <t>Colchão Solteiro Mola Ensacada Probel Cairo Ultra Gel (88x188x30cm)</t>
  </si>
  <si>
    <t>PA63265</t>
  </si>
  <si>
    <t>Colchão Solteirão Mola Probel Prohotel Comfort (90x200x26cm)</t>
  </si>
  <si>
    <t>PA96870</t>
  </si>
  <si>
    <t>Conjunto Box Solteiro Mola Ensacada Probel Santiago (88x188x62cm)</t>
  </si>
  <si>
    <t>PA77216</t>
  </si>
  <si>
    <t>Colchão Viúva Mola Prodormir Safira Plus (128x188x32cm)</t>
  </si>
  <si>
    <t>PA63223</t>
  </si>
  <si>
    <t>Colchão Solteirão Mola Mira-Coil Prodormir Max Hotel Comfort (90x200x25cm)</t>
  </si>
  <si>
    <t>PA97983</t>
  </si>
  <si>
    <t>Colchão Viúva Espuma D33 Prodormir Infinity Hotel (128x188x24cm)</t>
  </si>
  <si>
    <t>PAA6533</t>
  </si>
  <si>
    <t>Conjunto Box Solteirão Espuma D33 Prodormir Infinity Hotel (100x200x55cm)</t>
  </si>
  <si>
    <t>PA58302CV6</t>
  </si>
  <si>
    <t>Box Baú King Probel Luxo Rústico Bege (96x203x40cm)</t>
  </si>
  <si>
    <t>PA92715</t>
  </si>
  <si>
    <t>Colchão Viúva Espuma D45 Prodormir Infinity Hotel (128x188x20cm)</t>
  </si>
  <si>
    <t>PA23352C45</t>
  </si>
  <si>
    <t>Box Baú King Probel Luxo Jacquard Branco (96x203x40cm)</t>
  </si>
  <si>
    <t>PAA2477</t>
  </si>
  <si>
    <t>Conjunto Box Solteiro Mola Ensacada Prodormir Outback New Marrom (88x188x66cm)</t>
  </si>
  <si>
    <t>PA51941</t>
  </si>
  <si>
    <t>Colchão Solteiro Mola Max Hotel Premium Prodormir (88x188x32cm)</t>
  </si>
  <si>
    <t>PAA4645</t>
  </si>
  <si>
    <t>Conjunto Box Solteirão Mola Prodormir Max Sport (100x200x62cm)</t>
  </si>
  <si>
    <t>PA84471</t>
  </si>
  <si>
    <t>Colchão Queen Mola Ensacada Prodormir Solar Bambu Bege (158x198x20cm)</t>
  </si>
  <si>
    <t>PA77241</t>
  </si>
  <si>
    <t>Colchão Solteirão Mola Ensacada Prodormir Bourbon New (100x200x34cm)</t>
  </si>
  <si>
    <t>PA63138</t>
  </si>
  <si>
    <t>Colchão Solteirão Mola Ensacada Max Hotel Comfort Springs Prodormir (100x200x26cm)</t>
  </si>
  <si>
    <t>PA63172</t>
  </si>
  <si>
    <t>Colchão Viúva Mola Ensacada Prodormir Max Hotel Essential Springs (128x188x23cm)</t>
  </si>
  <si>
    <t>PA70330</t>
  </si>
  <si>
    <t>Colchão Casal Espuma D28 Prodormir Active In Box (138x188x17cm)</t>
  </si>
  <si>
    <t>PA79452</t>
  </si>
  <si>
    <t>Colchão Solteirão Mola Prodormir Top Bambu (100x200x30cm)</t>
  </si>
  <si>
    <t>PA62653</t>
  </si>
  <si>
    <t>Colchão Queen Espuma D33 PróIntense Probel 24cm Bege/Marrom (158x198x24cm)</t>
  </si>
  <si>
    <t>PA94868</t>
  </si>
  <si>
    <t>Colchão Solteiro Mola Ensacada Probel Elegancy Springs (88x188x34cm)</t>
  </si>
  <si>
    <t>PA52478</t>
  </si>
  <si>
    <t>Colchão Queen Espuma Prodormir Active Premium Hiper Firme (158x198x24cm)</t>
  </si>
  <si>
    <t>PA67195</t>
  </si>
  <si>
    <t>Colchão Solteiro Espuma Ultra Gel Prodormir Active In Box (88x188x25cm)</t>
  </si>
  <si>
    <t>PA62878</t>
  </si>
  <si>
    <t>Colchão Solteiro Mola Prodormir Max Hotel Premium (88x188x32cm)</t>
  </si>
  <si>
    <t>PA94876</t>
  </si>
  <si>
    <t>Colchão Solteiro Mola Probel Modern (88x188x32cm)</t>
  </si>
  <si>
    <t>PA62386</t>
  </si>
  <si>
    <t>Colchão Casal Espuma D33 Prodormir Active Techintense (138x188x26cm)</t>
  </si>
  <si>
    <t>PA73804</t>
  </si>
  <si>
    <t>Colchão Casal Mola Ensacada Prodormir Outback New Bege (138x188x32cm)</t>
  </si>
  <si>
    <t>PA70302CAF</t>
  </si>
  <si>
    <t>Box Baú Casal ProDormir Standard Rústico (138x188x34cm)</t>
  </si>
  <si>
    <t>PA70302CV6</t>
  </si>
  <si>
    <t>PA70302CV5</t>
  </si>
  <si>
    <t>PA21622CAH</t>
  </si>
  <si>
    <t>Box Baú Solteiro Probel Luxo Suede (88x188x40cm)</t>
  </si>
  <si>
    <t>PA21622CDF</t>
  </si>
  <si>
    <t>PA21622C2R</t>
  </si>
  <si>
    <t>PA21622CAB</t>
  </si>
  <si>
    <t>PA21622CDD</t>
  </si>
  <si>
    <t>PA51980</t>
  </si>
  <si>
    <t>Colchão Beliche Mola Ensacada Prodormir Max Hotel Premium Springs (78x188x32cm)</t>
  </si>
  <si>
    <t>PA63738</t>
  </si>
  <si>
    <t>Colchão Casal Espuma D33 Prohotel Probel 17cm Bege/Bege (138x188x17cm)</t>
  </si>
  <si>
    <t>PA71037</t>
  </si>
  <si>
    <t>Colchão Casal Espuma Prodormir Active Techintense Plus (138x188x32cm)</t>
  </si>
  <si>
    <t>PAA1577</t>
  </si>
  <si>
    <t>Conjunto Box Solteiro Mola Ensacada Prodormir Califórnia (88x188x64cm)</t>
  </si>
  <si>
    <t>PA94888</t>
  </si>
  <si>
    <t>Colchão Casal Mola Ensacada Probel Akira (138x188x20cm)</t>
  </si>
  <si>
    <t>PA97968</t>
  </si>
  <si>
    <t>Colchão Queen Espuma D33 Prodormir Infinity Hotel (158x198x17cm)</t>
  </si>
  <si>
    <t>PA67221CAP</t>
  </si>
  <si>
    <t>Box Baú Solteiro Probel Luxo Linho Specially Bege (88x188x40cm)</t>
  </si>
  <si>
    <t>PA70222C45</t>
  </si>
  <si>
    <t>Box Baú Casal ProDormir Standard Jacquard (138x188x34cm)</t>
  </si>
  <si>
    <t>PA63222</t>
  </si>
  <si>
    <t>Colchão Solteiro Mola Mira-Coil Prodormir Max Hotel Comfort (88x188x25cm)</t>
  </si>
  <si>
    <t>PA78142</t>
  </si>
  <si>
    <t>Colchão Viúva Mola Ensacada Prodormir Max Springs (128x188x30cm)</t>
  </si>
  <si>
    <t>PA94855</t>
  </si>
  <si>
    <t>Colchão Viúva Mola Probel Chicago (128x188x24cm)</t>
  </si>
  <si>
    <t>PA77916</t>
  </si>
  <si>
    <t>Colchão Solteiro Mola Ensacada Probel American Extra Firme</t>
  </si>
  <si>
    <t>PA58300CV6</t>
  </si>
  <si>
    <t>Box Baú Solteiro Probel Luxo Rústico Bege (88x188x40cm)</t>
  </si>
  <si>
    <t>PA97975</t>
  </si>
  <si>
    <t>Colchão Casal Espuma D33 Prodormir Infinity Hotel (138x188x20cm)</t>
  </si>
  <si>
    <t>PAA4665</t>
  </si>
  <si>
    <t>Conjunto Box Solteirão Mola Ensacada Prodormir Solar Bambu (100x200x58cm)</t>
  </si>
  <si>
    <t>PA52310</t>
  </si>
  <si>
    <t>Colchão Queen Espuma AD Mega Firme Probel 22cm Bege/Marrom (158x198x22cm)</t>
  </si>
  <si>
    <t>PA79441</t>
  </si>
  <si>
    <t>Colchão Solteiro Mola Prodormir Manchester (88x188x33cm)</t>
  </si>
  <si>
    <t>PAA2494</t>
  </si>
  <si>
    <t>Conjunto Box Solteiro Mola Ensacada Prodormir Solar Max (88x188x62cm)</t>
  </si>
  <si>
    <t>PA63201</t>
  </si>
  <si>
    <t>Colchão Solteirão MolaProdormir Max Hotel Comfort (90x200x25cm)</t>
  </si>
  <si>
    <t>PA70232CCB</t>
  </si>
  <si>
    <t>Box Baú Casal ProDormir Standard Corino (138x188x34cm)</t>
  </si>
  <si>
    <t>PA70232C02</t>
  </si>
  <si>
    <t>PA66131CBY</t>
  </si>
  <si>
    <t>Box Baú Solteiro Probel Luxo Kupon Preto (88x188x40cm)</t>
  </si>
  <si>
    <t>PA91950</t>
  </si>
  <si>
    <t>Colchão Viúva Espuma Prodormir Fiorano (128x188x34cm)</t>
  </si>
  <si>
    <t>PA63108</t>
  </si>
  <si>
    <t>Colchão Viúva Mola Prodormir Max Hotel Essential (128x188x23cm)</t>
  </si>
  <si>
    <t>PA21775C45</t>
  </si>
  <si>
    <t>Box Baú Solteiro Probel Luxo Jacquard (88x188x40cm)</t>
  </si>
  <si>
    <t>PA92708</t>
  </si>
  <si>
    <t>Colchão Casal Espuma D45 Prodormir Infinity Hotel (138x188x17cm)</t>
  </si>
  <si>
    <t>PA63159</t>
  </si>
  <si>
    <t>Colchão Solteirão Mola Ensacada Prodormir Max Hotel Comfort (90x200x26cm)</t>
  </si>
  <si>
    <t>PA63264</t>
  </si>
  <si>
    <t>Colchão Solteiro Mola Probel Prohotel Comfort (88x188x26cm)</t>
  </si>
  <si>
    <t>PA63096</t>
  </si>
  <si>
    <t>Colchão Solteirão Mola Mira-Coil Max Hotel Essential Prodormir (100x200x22cm)</t>
  </si>
  <si>
    <t>PA78767</t>
  </si>
  <si>
    <t>Colchão Solteiro Mola Ensacada Prodormir Dinamo Luxo (88x188x32cm)</t>
  </si>
  <si>
    <t>PA70212C77</t>
  </si>
  <si>
    <t>Box Baú Casal ProDormir Standard Tela (138x188x34cm)</t>
  </si>
  <si>
    <t>PA70212CS4</t>
  </si>
  <si>
    <t>PA70212CAX</t>
  </si>
  <si>
    <t>Colchão Casal Espuma D33 PróIntense Probel 28cm Bege/Marrom (138x188x28cm)</t>
  </si>
  <si>
    <t>PAA6508</t>
  </si>
  <si>
    <t>Conjunto Box Solteiro Espuma D45 Prodormir Infinity Hotel (88x188x55cm)</t>
  </si>
  <si>
    <t>PAA6538</t>
  </si>
  <si>
    <t>Conjunto Box Solteiro Espuma D33 Prodormir Infinity Hotel (88x188x58cm)</t>
  </si>
  <si>
    <t>PA63064</t>
  </si>
  <si>
    <t>Colchão Solteirão Mola Max Hotel Comfort Prodormir (100x200x26cm)</t>
  </si>
  <si>
    <t>PA66420</t>
  </si>
  <si>
    <t>Colchão Casal Mola Probel Life (138x188x24cm)</t>
  </si>
  <si>
    <t>PA96876</t>
  </si>
  <si>
    <t>Conjunto Box Solteiro Mola Probel Chicago (88x188x62cm)</t>
  </si>
  <si>
    <t>PA62385</t>
  </si>
  <si>
    <t>Colchão Viúva Espuma D33 Prodormir Active Techintense (128x188x26cm)</t>
  </si>
  <si>
    <t>PA63107</t>
  </si>
  <si>
    <t>Colchão Solteirão Mola Prodormir Max Hotel Essential (120x203x23cm)</t>
  </si>
  <si>
    <t>PA77925</t>
  </si>
  <si>
    <t>Colchão Beliche Mola Ensacada Prodormir King Hard (78x188x34cm)</t>
  </si>
  <si>
    <t>PA63171</t>
  </si>
  <si>
    <t>Colchão Solteirão Mola Ensacada Prodormir Max Hotel Essential (120x203x23cm)</t>
  </si>
  <si>
    <t>PAA2481</t>
  </si>
  <si>
    <t>Conjunto Box Solteiro Mola Ensacada Prodormir Outback New Cinza (88x188x66cm)</t>
  </si>
  <si>
    <t>PA21626C77</t>
  </si>
  <si>
    <t>Box Baú Solteiro Probel Luxo Tela (88x188x40cm)</t>
  </si>
  <si>
    <t>PA21626CS4</t>
  </si>
  <si>
    <t>PA71036</t>
  </si>
  <si>
    <t>Colchão Viúva Espuma Prodormir Active Techintense Plus (128x188x32cm)</t>
  </si>
  <si>
    <t>PA62583</t>
  </si>
  <si>
    <t>Colchão Queen Espuma D28 PróMiddle Probel 24cm Branco/Preto (158x198x24cm)</t>
  </si>
  <si>
    <t>PA86713</t>
  </si>
  <si>
    <t>Colchão Solteiro Espuma Prodormir Active Force Extreme (88x188x30cm)</t>
  </si>
  <si>
    <t>PA62279</t>
  </si>
  <si>
    <t>Colchão Solteirão Espuma Prodormir Active Techextreme (100x200x26cm)</t>
  </si>
  <si>
    <t>PA58279</t>
  </si>
  <si>
    <t>Conjunto Box Solteiro Mola Probel Loretto (88x188x66cm)</t>
  </si>
  <si>
    <t>PA63200</t>
  </si>
  <si>
    <t>Colchão Solteiro Mola Mira-Coil Prodormir Max Hotel Comfort Force (88x188x25cm)</t>
  </si>
  <si>
    <t>PA29238C45</t>
  </si>
  <si>
    <t>Box Baú Queen Probel Luxo Jacquard Branco (79x198x40cm)</t>
  </si>
  <si>
    <t>PAA4646</t>
  </si>
  <si>
    <t>Conjunto Box Solteirão Espuma D33 Probel Guarda Costas (100x200x40cm)</t>
  </si>
  <si>
    <t>PA94887</t>
  </si>
  <si>
    <t>Colchão Viúva Mola Ensacada Probel Akira (128x188x20cm)</t>
  </si>
  <si>
    <t>PA09773</t>
  </si>
  <si>
    <t>Colchão King Espuma D33 Platinum Prodormir 20cm Cinza/Preto (193x203x20cm)</t>
  </si>
  <si>
    <t>PA78766</t>
  </si>
  <si>
    <t>Colchão Beliche Mola Ensacada Prodormir Dinamo Luxo (78x188x32cm)</t>
  </si>
  <si>
    <t>Colchão Casal Mola Ensacada Probel Sigma Plus (138x188x24cm)</t>
  </si>
  <si>
    <t>PA70252C2R</t>
  </si>
  <si>
    <t>Box Baú Casal Box Baú Casal ProDormir Standard Suede Liso Bege (138x188x34cm)</t>
  </si>
  <si>
    <t>PA70252CDF</t>
  </si>
  <si>
    <t>Box Baú Casal Box Baú Casal ProDormir Standard Suede Bege Liso (138x188x34cm)</t>
  </si>
  <si>
    <t>PA70252CAB</t>
  </si>
  <si>
    <t>Box Baú Casal Box Baú Casal ProDormir Standard Suede Liso Camurça (138x188x34cm)</t>
  </si>
  <si>
    <t>PA70252CDD</t>
  </si>
  <si>
    <t>Box Baú Casal Box Baú Casal ProDormir Standard Suede Liso Marrom (138x188x34cm)</t>
  </si>
  <si>
    <t>PA70252CAH</t>
  </si>
  <si>
    <t>PA85347</t>
  </si>
  <si>
    <t>Colchão Solteiro Mola Ensacada Probel Excede Premium (88x188x30cm)</t>
  </si>
  <si>
    <t>PA63137</t>
  </si>
  <si>
    <t>PA57481C02</t>
  </si>
  <si>
    <t>Box Baú Solteiro Probel Luxo Corino (88x188x40cm)</t>
  </si>
  <si>
    <t>PA57481CCB</t>
  </si>
  <si>
    <t>PA57481CBZ</t>
  </si>
  <si>
    <t>Box Baú Solteiro Probel Luxo Corino Marrom (88x188x40cm)</t>
  </si>
  <si>
    <t>PA71009</t>
  </si>
  <si>
    <t>Colchão Casal Espuma Prodormir Active Techmiddle Plus (138x188x32cm)</t>
  </si>
  <si>
    <t>PA77991</t>
  </si>
  <si>
    <t>Colchão Queen Mola Ensacada Prodormir Solar Max (158x198x24cm)</t>
  </si>
  <si>
    <t>PA71021</t>
  </si>
  <si>
    <t>Colchão Solteirão Espuma Prodormir Active Techextreme Luxo (100x200x32cm)</t>
  </si>
  <si>
    <t>PA63074</t>
  </si>
  <si>
    <t>Colchão Solteirão Mola Mira-Coil Prodormir Max Hotel Essential (100x200x22cm)</t>
  </si>
  <si>
    <t>PA94867</t>
  </si>
  <si>
    <t>Colchão Beliche Mola Ensacada Probel Elegancy Springs (78x188x34cm)</t>
  </si>
  <si>
    <t>PA52006</t>
  </si>
  <si>
    <t>Colchão King Espuma D33 Guarda Costas Probel 14cm Bege/Marrom (193x203x14cm)</t>
  </si>
  <si>
    <t>PA94875</t>
  </si>
  <si>
    <t>Colchão Beliche Mola Probel Modern (78x188x32cm)</t>
  </si>
  <si>
    <t>PA51940</t>
  </si>
  <si>
    <t>Colchão Beliche Mola Max Hotel Premium Prodormir (78x188x32cm)</t>
  </si>
  <si>
    <t>PA73739</t>
  </si>
  <si>
    <t>Colchão Solteiro Mola Prodormir Hercules New Branco (88x188x40cm)</t>
  </si>
  <si>
    <t>PA62877</t>
  </si>
  <si>
    <t>Colchão Beliche Mola Prodormir Max Hotel Premium (78x188x32cm)</t>
  </si>
  <si>
    <t>PA63042</t>
  </si>
  <si>
    <t>Colchão Solteirão Mola Prodormir Max Hotel Comfort (100x200x26cm)</t>
  </si>
  <si>
    <t>PA67215</t>
  </si>
  <si>
    <t>Colchão Solteiro Mola Ensacada Prodormir Active In Box (88x188x26cm)</t>
  </si>
  <si>
    <t>PA70512</t>
  </si>
  <si>
    <t>Colchão Casal Mola Ensacada Prodormir Imperial Premium (138x188x30cm)</t>
  </si>
  <si>
    <t>Colchão Solteiro Mola Probel Volare Luxo (88x188x33cm)</t>
  </si>
  <si>
    <t>PA51066</t>
  </si>
  <si>
    <t>Conjunto Box Conjugado Casal Espuma D28 Prodormir Active (138x188x62cm)</t>
  </si>
  <si>
    <t>PA66712</t>
  </si>
  <si>
    <t>Colchão Solteiro Mola Ensacada Probel Bari (88x188x32cm)</t>
  </si>
  <si>
    <t>PA67588</t>
  </si>
  <si>
    <t>Conjunto Box Solteiro Mola Probel Life (88x188x62cm)</t>
  </si>
  <si>
    <t>PA73759</t>
  </si>
  <si>
    <t>Colchão Casal Mola Ensacada Prodormir Outback New Marrom (138x188x28cm)</t>
  </si>
  <si>
    <t>PA73751</t>
  </si>
  <si>
    <t>Colchão Solteiro Mola Prodormir Hercules New Marrom (88x188x40cm)</t>
  </si>
  <si>
    <t>PA69948</t>
  </si>
  <si>
    <t>Conjunto Box Solteiro Mola Ensacada Probel Sigma Plus (88x188x62cm)</t>
  </si>
  <si>
    <t>PA63095</t>
  </si>
  <si>
    <t>Colchão Solteirão Mola Mira-Coil Prodormir Max Hotel Essential (90x200x22cm)</t>
  </si>
  <si>
    <t>PA70508</t>
  </si>
  <si>
    <t>PA96899</t>
  </si>
  <si>
    <t>Conjunto Box Solteiro Mola Ensacada Probel Akira (88x188x58cm)</t>
  </si>
  <si>
    <t>PA92707</t>
  </si>
  <si>
    <t>Colchão Viúva Espuma D45 Prodormir Infinity Hotel (128x188x17cm)</t>
  </si>
  <si>
    <t>PA58661</t>
  </si>
  <si>
    <t>Colchão Queen Mola Probel Sevilha</t>
  </si>
  <si>
    <t>Colchão Solteiro Mola Probel Roma (88x188x30cm)</t>
  </si>
  <si>
    <t>PA73745</t>
  </si>
  <si>
    <t>Colchão Solteiro Mola Prodormir Hercules New Bege (88x188x40cm)</t>
  </si>
  <si>
    <t>PA77977</t>
  </si>
  <si>
    <t>Colchão Solteirão Mola Ensacada Prodormir New Life (100x200x30cm)</t>
  </si>
  <si>
    <t>PA92025</t>
  </si>
  <si>
    <t>Colchão Casal Mola Prodormir Florida (138x188x25cm)</t>
  </si>
  <si>
    <t>PA63158</t>
  </si>
  <si>
    <t>Colchão Solteiro Mola Ensacada Prodormir Max Hotel Comfort (88x188x26cm)</t>
  </si>
  <si>
    <t>PAA4653</t>
  </si>
  <si>
    <t>Conjunto Box Solteirão Espuma D33 Prodormir Advanced (100x200x40cm)</t>
  </si>
  <si>
    <t>PAA6532</t>
  </si>
  <si>
    <t>Conjunto Box Solteiro Espuma D33 Prodormir Infinity Hotel (88x188x55cm)</t>
  </si>
  <si>
    <t>PA73764</t>
  </si>
  <si>
    <t>Colchão Casal Mola Ensacada Prodormir Outback New Cinza (138x188x28cm)</t>
  </si>
  <si>
    <t>PA70117</t>
  </si>
  <si>
    <t>Colchão Embalado à Vácuo Solteiro Espuma D33 Guarda Costas (88x188x20cm)</t>
  </si>
  <si>
    <t>PA79440</t>
  </si>
  <si>
    <t>Colchão Beliche Mola Prodormir Manchester (78x188x33cm)</t>
  </si>
  <si>
    <t>PA56274</t>
  </si>
  <si>
    <t>Colchão Casal Mola Probel Loretto (138x188x28cm)</t>
  </si>
  <si>
    <t>PAA2529</t>
  </si>
  <si>
    <t>Conjunto Box Solteiro Mola Ensacada Prodormir Solar Bambu Bege (88x188x58cm)</t>
  </si>
  <si>
    <t>PA92032</t>
  </si>
  <si>
    <t>Colchão Solteirão Mola Prodormir Foz (100x200x30cm)</t>
  </si>
  <si>
    <t>PAA4644</t>
  </si>
  <si>
    <t>Conjunto Box Solteirão Espuma D28 Probel Guarda Costas (100x200x40cm)</t>
  </si>
  <si>
    <t>PA79451</t>
  </si>
  <si>
    <t>Colchão Solteiro Mola Prodormir Top Bambu (88x188x30cm)</t>
  </si>
  <si>
    <t>PA63192</t>
  </si>
  <si>
    <t>Colchão Solteirão Mola Ensacada Prodormir Max Hotel Essential (100x200x23cm)</t>
  </si>
  <si>
    <t>PA63094</t>
  </si>
  <si>
    <t>Colchão Solteiro Mola Mira-Coil Max Hotel Essential Prodormir (88x188x22cm)</t>
  </si>
  <si>
    <t>PA62219</t>
  </si>
  <si>
    <t>Colchão Queen Espuma Prodormir Tech1500 (158x198x24cm)</t>
  </si>
  <si>
    <t>PA63221</t>
  </si>
  <si>
    <t>Colchão Beliche Mola Mira-Coil Prodormir Max Hotel Comfort (78x188x25cm)</t>
  </si>
  <si>
    <t>PA77214</t>
  </si>
  <si>
    <t>Colchão Solteirão Mola Prodormir Safira Plus New (100x200x32cm)</t>
  </si>
  <si>
    <t>PA97974</t>
  </si>
  <si>
    <t>Colchão Viúva Espuma D33 Prodormir Infinity Hotel (128x188x20cm)</t>
  </si>
  <si>
    <t>PA52104</t>
  </si>
  <si>
    <t>Colchão Solteirão Espuma D45 Probel Guarda Costas (100x200x20cm)</t>
  </si>
  <si>
    <t>PAA2439</t>
  </si>
  <si>
    <t>Conjunto Box Solteiro Mola Prodormir Max Sport (88x188x62cm)</t>
  </si>
  <si>
    <t>PA52477</t>
  </si>
  <si>
    <t>Colchão Casal Espuma Prodormir Active Premium Hiper Firme (138x188x24cm)</t>
  </si>
  <si>
    <t>PA94918</t>
  </si>
  <si>
    <t>Colchão Casal Mola Ensacada Prodormir Califórnia (138x188x26cm)</t>
  </si>
  <si>
    <t>PA69608</t>
  </si>
  <si>
    <t>Colchão Solteiro Mola Ensacada Prodormir Rubi Soft Gel (88x188x36cm)</t>
  </si>
  <si>
    <t>PA92731</t>
  </si>
  <si>
    <t>Colchão Solteiro Espuma D45 Prodormir Infinity Hotel Pillow Super (88x188x24cm)</t>
  </si>
  <si>
    <t>PA92063</t>
  </si>
  <si>
    <t>Colchão Solteirão Espuma Prodormir Falcon (100x200x34cm)</t>
  </si>
  <si>
    <t>PA97991</t>
  </si>
  <si>
    <t>Colchão Solteirão Espuma D33 Prodormir Infinity Hotel Pillow Super (100x200x24cm)</t>
  </si>
  <si>
    <t>PA71008</t>
  </si>
  <si>
    <t>Colchão Viúva Espuma Prodormir Active Techmiddle Plus (128x188x32cm)</t>
  </si>
  <si>
    <t>PA62358</t>
  </si>
  <si>
    <t>Colchão Casal Espuma D28 Prodormir Active Techmiddle (138x188x26cm)</t>
  </si>
  <si>
    <t>PA11363C6W</t>
  </si>
  <si>
    <t>Poltrona Reclinável Prodormir Eclipse Corino Preto</t>
  </si>
  <si>
    <t>PA11363C5P</t>
  </si>
  <si>
    <t>Poltrona Reclinável Prodormir Eclipse Corino Marrom</t>
  </si>
  <si>
    <t>PA11363C02</t>
  </si>
  <si>
    <t>Poltrona Reclinável Prodormir Eclipse Corino Bege</t>
  </si>
  <si>
    <t>PA11363C05</t>
  </si>
  <si>
    <t>Poltrona Reclinável Prodormir Eclipse Corino Azul</t>
  </si>
  <si>
    <t>PA63073</t>
  </si>
  <si>
    <t>Colchão Solteirão MolaProdormir Max Hotel Essential (90x200x22cm)</t>
  </si>
  <si>
    <t>PA77240</t>
  </si>
  <si>
    <t>Colchão Solteiro Mola Ensacada Prodormir Bourbon New (88x188x34cm)</t>
  </si>
  <si>
    <t>PA70337</t>
  </si>
  <si>
    <t>Colchão Solteiro Espuma D45 Prodormir Active In Box (88x188x17cm)</t>
  </si>
  <si>
    <t>PA92714</t>
  </si>
  <si>
    <t>Colchão Solteirão Espuma D45 Prodormir Infinity Hotel (100x200x20cm)</t>
  </si>
  <si>
    <t>PA84470</t>
  </si>
  <si>
    <t>Colchão Casal Mola Ensacada Prodormir Solar Bambu Bege (138x188x20cm)</t>
  </si>
  <si>
    <t>PA63136</t>
  </si>
  <si>
    <t>PAA2453</t>
  </si>
  <si>
    <t>Conjunto Box Solteiro Mola Ensacada Prodormir Solar Bambu Cinza (88x188x58cm)</t>
  </si>
  <si>
    <t>PA62156</t>
  </si>
  <si>
    <t>Colchão Queen Espuma Prodormir Tech1000 (158x198x22cm)</t>
  </si>
  <si>
    <t>PA97982</t>
  </si>
  <si>
    <t>Colchão Solteirão Espuma D33 Prodormir Infinity Hotel (100x200x24cm)</t>
  </si>
  <si>
    <t>PA52309</t>
  </si>
  <si>
    <t>Colchão Casal Espuma AD Mega Firme Probel 22cm Bege/Marrom (138x188x22cm)</t>
  </si>
  <si>
    <t>PA63128</t>
  </si>
  <si>
    <t>Colchão Solteirão Mola Max Hotel Essential Prodormir  (100x200x23cm)</t>
  </si>
  <si>
    <t>Colchão Solteiro Mola Probel Siena (88x188x28cm)</t>
  </si>
  <si>
    <t>PA63041</t>
  </si>
  <si>
    <t>Colchão Solteirão Mola Prodormir Max Hotel Comfort (90x200x26cm)</t>
  </si>
  <si>
    <t>PA63233</t>
  </si>
  <si>
    <t>Colchão Solteirão Mola Probel Prohotel Royal (90x200x23cm)</t>
  </si>
  <si>
    <t>PA63170</t>
  </si>
  <si>
    <t>Colchão Solteirão Mola Ensacada Max Hotel Essential Springs Prodormir (100x200x23cm)</t>
  </si>
  <si>
    <t>PA69854</t>
  </si>
  <si>
    <t>Colchão Solteiro Mola Ensacada Probel Vancouver (88x188x28cm)</t>
  </si>
  <si>
    <t>PA63062</t>
  </si>
  <si>
    <t>Colchão Solteiro Mola Max Hotel Comfort Prodormir  (88x188x26cm)</t>
  </si>
  <si>
    <t>PA63169</t>
  </si>
  <si>
    <t>Colchão Solteirão Mola Ensacada Prodormir Max Hotel Essential (90x200x23cm)</t>
  </si>
  <si>
    <t>PA65756</t>
  </si>
  <si>
    <t>Colchão Queen Mola Ensacada Prodormir Vegas Comfort (158x198x20cm)</t>
  </si>
  <si>
    <t>PA62652</t>
  </si>
  <si>
    <t>Colchão Casal Espuma D33 PróIntense Probel 24cm Bege/Marrom (138x188x24cm)</t>
  </si>
  <si>
    <t>PA92024</t>
  </si>
  <si>
    <t>Colchão Viúva Mola Prodormir Florida (128x188x25cm)</t>
  </si>
  <si>
    <t>PA63191</t>
  </si>
  <si>
    <t>PA35618</t>
  </si>
  <si>
    <t>Colchão Solteiro Mola Probel Guardian (88x188x32cm)</t>
  </si>
  <si>
    <t>PA97967</t>
  </si>
  <si>
    <t>Colchão Casal Espuma D33 Prodormir Infinity Hotel (138x188x17cm)</t>
  </si>
  <si>
    <t>PA51673</t>
  </si>
  <si>
    <t>Colchão King Espuma D28 Guarda Costas Probel 14cm Branco/Marrom (193x203x14cm)</t>
  </si>
  <si>
    <t>PA63072</t>
  </si>
  <si>
    <t>Colchão Solteiro Mola Mira-Coil Prodormir Max Hotel Essential (88x188x22cm)</t>
  </si>
  <si>
    <t>PA63199</t>
  </si>
  <si>
    <t>Colchão Beliche Mola Mira-Coil Prodormir Max Hotel Comfort Force (78x188x25cm)</t>
  </si>
  <si>
    <t>Colchão Solteiro Mola Ensacada Probel Turim  (88x188x28cm)</t>
  </si>
  <si>
    <t>PA94917</t>
  </si>
  <si>
    <t>Colchão Viúva Mola Ensacada Prodormir Califórnia (128x188x26cm)</t>
  </si>
  <si>
    <t>PA86712</t>
  </si>
  <si>
    <t>Colchão Beliche Espuma Prodormir Active Force Extreme (78x188x30cm)</t>
  </si>
  <si>
    <t>PA73803</t>
  </si>
  <si>
    <t>Colchão Solteirão Mola Ensacada Prodormir Outback New (108x198x32cm)</t>
  </si>
  <si>
    <t>PA63157</t>
  </si>
  <si>
    <t>Colchão Beliche Mola Ensacada Prodormir Max Hotel Comfort (78x188x26cm)</t>
  </si>
  <si>
    <t>PA91948</t>
  </si>
  <si>
    <t>Colchão Solteirão Espuma Prodormir Fiorano (100x200x34cm)</t>
  </si>
  <si>
    <t>PA94860</t>
  </si>
  <si>
    <t>Colchão Solteiro Mola Ensacada Probel Portugal (88x188x30cm)</t>
  </si>
  <si>
    <t>PA67503</t>
  </si>
  <si>
    <t>Conjunto Box Solteiro Mola Ensacada Prodormir Vegas Comfort (88x188x58cm)</t>
  </si>
  <si>
    <t>PA78140</t>
  </si>
  <si>
    <t>Colchão Solteirão Mola Ensacada Prodormir Max Springs (100x200x30cm)</t>
  </si>
  <si>
    <t>PA84469</t>
  </si>
  <si>
    <t>Colchão Viúva Mola Ensacada Prodormir Solar Bambu Bege (128x188x20cm)</t>
  </si>
  <si>
    <t>PA52476</t>
  </si>
  <si>
    <t>Colchão Viúva Espuma Prodormir Active Premium Hiper Firme (128x188x24cm)</t>
  </si>
  <si>
    <t>PA92722</t>
  </si>
  <si>
    <t>Colchão Solteiro Espuma D45 Prodormir Infinity Hotel (88x188x24cm)</t>
  </si>
  <si>
    <t>PA62357</t>
  </si>
  <si>
    <t>Colchão Viúva Espuma D28 Prodormir Active Techmiddle (128x188x26cm)</t>
  </si>
  <si>
    <t>PA65729</t>
  </si>
  <si>
    <t>Colchão Queen Mola Ensacada Prodormir Solar Bambu Cinza (158x198x20cm)</t>
  </si>
  <si>
    <t>PA63232</t>
  </si>
  <si>
    <t>Colchão Solteiro Mola Probel Prohotel Royal (88x188x23cm)</t>
  </si>
  <si>
    <t>PA63106</t>
  </si>
  <si>
    <t>Colchão Solteirão Mola Prodormir Max Hotel Essential (100x200x23cm)</t>
  </si>
  <si>
    <t>PA63040</t>
  </si>
  <si>
    <t>Colchão Solteiro Mola Prodormir Max Hotel Comfort (88x188x26cm)</t>
  </si>
  <si>
    <t>PA66752</t>
  </si>
  <si>
    <t>Colchão Solteiro Mola Probel Napoli (88x188x30cm)</t>
  </si>
  <si>
    <t>PA51815</t>
  </si>
  <si>
    <t>Colchão Queen Mola Prodormir Max Sport (158x198x22cm)</t>
  </si>
  <si>
    <t>PA62278</t>
  </si>
  <si>
    <t>Colchão Solteiro Espuma D45 Prodormir Active Techextreme (88x188x26cm)</t>
  </si>
  <si>
    <t>PAA4648</t>
  </si>
  <si>
    <t>Conjunto Box Solteirão Espuma Probel Guarda Costas Super Resistente (100x200x40cm)</t>
  </si>
  <si>
    <t>PA37608</t>
  </si>
  <si>
    <t>Colchão Solteiro Mola Prodormir Sensitive Ômega (88x188x32cm)</t>
  </si>
  <si>
    <t>PA94834</t>
  </si>
  <si>
    <t>Colchão Solteiro Mola Probel Pró Charge (88x188x28cm)</t>
  </si>
  <si>
    <t>PA62384</t>
  </si>
  <si>
    <t>Colchão Solteirão Espuma Prodormir Active Techintense (100x200x26cm)</t>
  </si>
  <si>
    <t>PA71035</t>
  </si>
  <si>
    <t>Colchão Solteirão Espuma Prodormir Active Techintense Plus (100x200x32cm)</t>
  </si>
  <si>
    <t>PA79450</t>
  </si>
  <si>
    <t>Colchão Beliche Mola Prodormir Top Bambu (78x188x30cm)</t>
  </si>
  <si>
    <t>PA71020</t>
  </si>
  <si>
    <t>Colchão Solteiro Espuma Prodormir Active Techextreme Luxo (88x188x32cm)</t>
  </si>
  <si>
    <t>PA63135</t>
  </si>
  <si>
    <t>Colchão Beliche Mola Ensacada Prodormir Max Hotel Comfort Springs (78x188x26cm)</t>
  </si>
  <si>
    <t>PA77990</t>
  </si>
  <si>
    <t>Colchão Casal Mola Ensacada Prodormir Solar Max (138x188x24cm)</t>
  </si>
  <si>
    <t>PA70297CAF</t>
  </si>
  <si>
    <t>Box Baú Solteiro ProDormir Standard Rústico (88x188x34cm)</t>
  </si>
  <si>
    <t>PA70297CV6</t>
  </si>
  <si>
    <t>PA70297CV5</t>
  </si>
  <si>
    <t>PA92721</t>
  </si>
  <si>
    <t>Colchão Beliche Espuma D45 Prodormir Infinity Hotel (78x188x24cm)</t>
  </si>
  <si>
    <t>PA92730</t>
  </si>
  <si>
    <t>Colchão Beliche Espuma D45 Prodormir Infinity Hotel Pillow Super (78x188x24cm)</t>
  </si>
  <si>
    <t>PA97966</t>
  </si>
  <si>
    <t>Colchão Viúva Espuma D33 Prodormir Infinity Hotel (128x188x17cm)</t>
  </si>
  <si>
    <t>PA63093</t>
  </si>
  <si>
    <t>Colchão Beliche Mola Mira-Coil Max Hotel Essential Prodormir  (78x188x22cm)</t>
  </si>
  <si>
    <t>PA62582</t>
  </si>
  <si>
    <t>Colchão Casal Espuma D28 PróMiddle Probel 24cm Branco/Preto (138x188x24cm)</t>
  </si>
  <si>
    <t>PA70217C45</t>
  </si>
  <si>
    <t>Box Baú Solteiro ProDormir Standard Jacquard (88x188x34cm)</t>
  </si>
  <si>
    <t>PA77976</t>
  </si>
  <si>
    <t>Colchão Solteiro Mola Ensacada Prodormir New Life (88x188x30cm)</t>
  </si>
  <si>
    <t>PA58660</t>
  </si>
  <si>
    <t>Colchão Casal Mola Probel Sevilha</t>
  </si>
  <si>
    <t>PA70227CCB</t>
  </si>
  <si>
    <t>Box Baú Solteiro ProDormir Standard Corino (88x188x34cm)</t>
  </si>
  <si>
    <t>PA70227CBZ</t>
  </si>
  <si>
    <t>PA70227C02</t>
  </si>
  <si>
    <t>PA09771</t>
  </si>
  <si>
    <t>Colchão Queen Espuma D33 Platinum Prodormir 20cm Cinza/Preto (158x198x20cm)</t>
  </si>
  <si>
    <t>PA70247CDD</t>
  </si>
  <si>
    <t>Box Baú Solteiro ProDormir Standard Suede Liso (88x188x34cm)</t>
  </si>
  <si>
    <t>PA70247C2R</t>
  </si>
  <si>
    <t>PA70247CDF</t>
  </si>
  <si>
    <t>PA70247CAB</t>
  </si>
  <si>
    <t>PA70247CAH</t>
  </si>
  <si>
    <t>PA63190</t>
  </si>
  <si>
    <t>Colchão Solteiro Mola Ensacada Prodormir Max Hotel Essential (88x188x23cm)</t>
  </si>
  <si>
    <t>PA52315</t>
  </si>
  <si>
    <t>Colchão Solteiro Espuma AD Resistence Probel 28cm Branco/Cinza (88x188x28cm)</t>
  </si>
  <si>
    <t>PA92706</t>
  </si>
  <si>
    <t>Colchão Solteirão Espuma D45 Prodormir Infinity Hotel (100x200x17cm)</t>
  </si>
  <si>
    <t>PA94895</t>
  </si>
  <si>
    <t>Conjunto Box Conjugado Casal Mola Ensacada ProDormir Postural (138x188x43cm)</t>
  </si>
  <si>
    <t>PA94842</t>
  </si>
  <si>
    <t>Colchão Solteiro Mola Ensacada Probel Santiago (88x188x24cm)</t>
  </si>
  <si>
    <t>PA63061</t>
  </si>
  <si>
    <t>Colchão Beliche Mola Max Hotel Comfort Prodormir  (78x188x26cm)</t>
  </si>
  <si>
    <t>PA70207CS4</t>
  </si>
  <si>
    <t>Box Baú Solteiro ProDormir Standard Tela (88x188x34cm)</t>
  </si>
  <si>
    <t>PA70207C77</t>
  </si>
  <si>
    <t>PA70207CAX</t>
  </si>
  <si>
    <t>PA92031</t>
  </si>
  <si>
    <t>Colchão Solteiro Mola Prodormir Foz (88x188x30cm)</t>
  </si>
  <si>
    <t>PA94859</t>
  </si>
  <si>
    <t>Colchão Beliche Mola Ensacada Probel Portugal (78x188x30cm)</t>
  </si>
  <si>
    <t>PA73758</t>
  </si>
  <si>
    <t>Colchão Solteirão Mola Ensacada Prodormir Outback New Bege (108x198x28cm)</t>
  </si>
  <si>
    <t>PA56267</t>
  </si>
  <si>
    <t>Colchão Solteiro Mola Ensacada Probel Collin (88x188x30cm)</t>
  </si>
  <si>
    <t>PA92062</t>
  </si>
  <si>
    <t>Colchão Solteiro Espuma Prodormir Falcon (88x188x34cm)</t>
  </si>
  <si>
    <t>PA77989</t>
  </si>
  <si>
    <t>Colchão Viúva Mola Ensacada Prodormir Solar Max (128x188x24cm)</t>
  </si>
  <si>
    <t>PA52004</t>
  </si>
  <si>
    <t>Colchão Queen Espuma D33 Guarda Costas Probel 14cm Bege/Marrom (158x198x14cm)</t>
  </si>
  <si>
    <t>PA63105</t>
  </si>
  <si>
    <t>Colchão Solteirão Mola Prodormir Max Hotel Essential (90x200x23cm)</t>
  </si>
  <si>
    <t>PA97990</t>
  </si>
  <si>
    <t>Colchão Solteiro Espuma D33 Prodormir Infinity Hotel Pillow Super (88x188x24cm)</t>
  </si>
  <si>
    <t>PA70333</t>
  </si>
  <si>
    <t>Colchão Solteiro Espuma D33 Prodormir Active In Box (88x188x17cm)</t>
  </si>
  <si>
    <t>PA77213</t>
  </si>
  <si>
    <t>Colchão Solteiro Mola Prodormir Safira Plus (88x188x32cm)</t>
  </si>
  <si>
    <t>PA63126</t>
  </si>
  <si>
    <t>Colchão Solteiro Mola Max Hotel Essential Prodormir  (88x188x23cm)</t>
  </si>
  <si>
    <t>PA52103</t>
  </si>
  <si>
    <t>Colchão Solteiro Espuma D45 Guarda Costas Probel 20cm Branco/Cinza (88x188x20cm)</t>
  </si>
  <si>
    <t>PA97973</t>
  </si>
  <si>
    <t>Colchão Solteirão Espuma D33 Prodormir Infinity Hotel (100x200x20cm)</t>
  </si>
  <si>
    <t>PA63071</t>
  </si>
  <si>
    <t>Colchão Beliche Mola Mira-Coil Prodormir Max Hotel Essential (78x188x22cm)</t>
  </si>
  <si>
    <t>PA63736</t>
  </si>
  <si>
    <t>Colchão Solteirão Espuma D33 Probel Prohotel (100x200x17cm)</t>
  </si>
  <si>
    <t>PA71007</t>
  </si>
  <si>
    <t>Colchão Solteirão Espuma Prodormir Active Techmiddle Plus (100x200x32cm)</t>
  </si>
  <si>
    <t>PA94833</t>
  </si>
  <si>
    <t>Colchão Beliche Mola Probel Pró Charge (78x188x28cm)</t>
  </si>
  <si>
    <t>PA92713</t>
  </si>
  <si>
    <t>Colchão Solteiro Espuma D45 Prodormir Infinity Hotel (88x188x20cm)</t>
  </si>
  <si>
    <t>PA97981</t>
  </si>
  <si>
    <t>Colchão Solteiro Espuma D33 Prodormir Infinity Hotel (88x188x24cm)</t>
  </si>
  <si>
    <t>PA73763</t>
  </si>
  <si>
    <t>Colchão Solteirão Mola Ensacada Prodormir Outback New (108x198x28cm)</t>
  </si>
  <si>
    <t>PA63168</t>
  </si>
  <si>
    <t>PA70317</t>
  </si>
  <si>
    <t>Colchão Embalado à Vácuo Solteiro Espuma D28 Probel (88x188x17cm)</t>
  </si>
  <si>
    <t>PA94892</t>
  </si>
  <si>
    <t>Conjunto Box Conjugado Solteiro Mola ProDormir Vênus (88x188x42cm)</t>
  </si>
  <si>
    <t>PA92022</t>
  </si>
  <si>
    <t>Colchão Solteirão Mola Prodormir Florida (100x200x25cm)</t>
  </si>
  <si>
    <t>PA62277</t>
  </si>
  <si>
    <t>Colchão Beliche Espuma D45 Prodormir Active Techextreme (78x188x26cm)</t>
  </si>
  <si>
    <t>PA63039</t>
  </si>
  <si>
    <t>Colchão Beliche Mola Prodormir Max Hotel Comfort (78x188x26cm)</t>
  </si>
  <si>
    <t>Colchão Solteiro Mola Ensacada Probel Passione Bambu (88x188x26cm)</t>
  </si>
  <si>
    <t>PA94852</t>
  </si>
  <si>
    <t>Colchão Solteiro Mola Probel Chicago (88x188x24cm)</t>
  </si>
  <si>
    <t>PAA4643</t>
  </si>
  <si>
    <t>Conjunto Box Solteirão Espuma D23 Probel Guarda Costas (100x200x38cm)</t>
  </si>
  <si>
    <t>PA62218</t>
  </si>
  <si>
    <t>Colchão Casal Espuma Prodormir Tech1500 (138x188x24cm)</t>
  </si>
  <si>
    <t>PA63189</t>
  </si>
  <si>
    <t>Colchão Beliche Mola Ensacada Prodormir Max Hotel Essential (78x188x23cm)</t>
  </si>
  <si>
    <t>PA77975</t>
  </si>
  <si>
    <t>Colchão Beliche Mola Ensacada Prodormir New Life (78x188x30cm)</t>
  </si>
  <si>
    <t>Colchão Casal Mola Ensacada Prodormir Vegas Comfort (138x188x20cm)</t>
  </si>
  <si>
    <t>PA91947</t>
  </si>
  <si>
    <t>Colchão Solteiro Espuma Prodormir Fiorano (88x188x34cm)</t>
  </si>
  <si>
    <t>PA78139</t>
  </si>
  <si>
    <t>Colchão Solteiro Mola Ensacada Prodormir Max Springs (88x188x30cm)</t>
  </si>
  <si>
    <t>PA94841</t>
  </si>
  <si>
    <t>Colchão Beliche Mola Ensacada Probel Santiago (78x188x24cm)</t>
  </si>
  <si>
    <t>PA63104</t>
  </si>
  <si>
    <t>Colchão Solteiro Mola Prodormir Max Hotel Essential (88x188x23cm)</t>
  </si>
  <si>
    <t>PA94915</t>
  </si>
  <si>
    <t>Colchão Solteirão Mola Ensacada Prodormir Califórnia (100x200x26cm)</t>
  </si>
  <si>
    <t>PA70329</t>
  </si>
  <si>
    <t>Colchão Solteiro Espuma D28 Prodormir Active In Box (88x188x17cm)</t>
  </si>
  <si>
    <t>PA92030</t>
  </si>
  <si>
    <t>Colchão Beliche Mola Prodormir Foz (78x188x30cm)</t>
  </si>
  <si>
    <t>PA56273</t>
  </si>
  <si>
    <t>Colchão Solteiro Mola Probel Loretto (88x188x28cm)</t>
  </si>
  <si>
    <t>PA69846</t>
  </si>
  <si>
    <t>Colchão Solteirão Mola Ensacada Probel Sigma Plus (100x200x24cm)</t>
  </si>
  <si>
    <t>PA52475</t>
  </si>
  <si>
    <t>Colchão Solteirão Espuma Prodormir Active Premium Hiper Firme (100x200x24cm)</t>
  </si>
  <si>
    <t>PA65728</t>
  </si>
  <si>
    <t>Colchão Casal Mola Ensacada Prodormir Solar Bambu Cinza (138x188x20cm)</t>
  </si>
  <si>
    <t>PA51814</t>
  </si>
  <si>
    <t>Colchão Casal Mola Prodormir Max Sport (138x188x22cm)</t>
  </si>
  <si>
    <t>PA62383</t>
  </si>
  <si>
    <t>Colchão Solteiro Espuma D33 Prodormir Active Techintense (88x188x26cm)</t>
  </si>
  <si>
    <t>PAA4642</t>
  </si>
  <si>
    <t>Conjunto Box Solteirão Espuma D20 Probel Guarda Costas (100x200x38cm)</t>
  </si>
  <si>
    <t>PA84468</t>
  </si>
  <si>
    <t>Colchão Solteirão Mola Ensacada Solar Bambu Prodormir (100x200x20cm)</t>
  </si>
  <si>
    <t>PA71034</t>
  </si>
  <si>
    <t>Colchão Solteiro Espuma Prodormir Active Techintense Plus (88x188x32cm)</t>
  </si>
  <si>
    <t>PA51671</t>
  </si>
  <si>
    <t>Colchão Queen Espuma D28 Guarda Costas Probel 14cm Branco/Marrom (158x198x14cm)</t>
  </si>
  <si>
    <t>PA92061</t>
  </si>
  <si>
    <t>Colchão Beliche Espuma Prodormir Falcon (78x188x34cm)</t>
  </si>
  <si>
    <t>PA73802</t>
  </si>
  <si>
    <t>Colchão Solteiro Mola Ensacada Prodormir Outback New Bege (88x188x32cm)</t>
  </si>
  <si>
    <t>PA62356</t>
  </si>
  <si>
    <t>Colchão Solteirão Espuma Prodormir Active Techmiddle (100x200x26cm)</t>
  </si>
  <si>
    <t>PA97989</t>
  </si>
  <si>
    <t>Colchão Beliche Espuma D33 Prodormir Infinity Hotel Pillow Super (78x188x24cm)</t>
  </si>
  <si>
    <t>PAA4650</t>
  </si>
  <si>
    <t>Conjunto Box Solteirão Espuma D20 Prodormir Active (100x200x38cm)</t>
  </si>
  <si>
    <t>PA94884</t>
  </si>
  <si>
    <t>Colchão Solteiro Mola Ensacada Probel Akira (88x188x20cm)</t>
  </si>
  <si>
    <t>PA63125</t>
  </si>
  <si>
    <t>Colchão Beliche Mola Max Hotel Essential Prodormir (78x188x23cm)</t>
  </si>
  <si>
    <t>PA63167</t>
  </si>
  <si>
    <t>Colchão Beliche Mola Ensacada Prodormir Max Hotel Essential Springs (78x188x23cm)</t>
  </si>
  <si>
    <t>PA59929</t>
  </si>
  <si>
    <t>Colchão Queen Espuma D33 Advanced ProDormir 14cm Bege/Marrom (158x198x14cm)</t>
  </si>
  <si>
    <t>PA63735</t>
  </si>
  <si>
    <t>Colchão Solteiro Espuma D33 Prohotel Probel 17cm Bege/Bege (88x188x17cm)</t>
  </si>
  <si>
    <t>PA92712</t>
  </si>
  <si>
    <t>Colchão Beliche Espuma D45 Prodormir Infinity Hotel (78x188x20cm)</t>
  </si>
  <si>
    <t>Colchão Solteiro Mola Probel Life (88x188x24cm)</t>
  </si>
  <si>
    <t>PA94851</t>
  </si>
  <si>
    <t>Colchão Beliche Mola Probel Chicago (78x188x24cm)</t>
  </si>
  <si>
    <t>PA97965</t>
  </si>
  <si>
    <t>Colchão Solteirão Espuma D33 Prodormir Infinity Hotel (100x200x17cm)</t>
  </si>
  <si>
    <t>PA97980</t>
  </si>
  <si>
    <t>Colchão Beliche Espuma D33 Prodormir Infinity Hotel (78x188x24cm)</t>
  </si>
  <si>
    <t>PA78138</t>
  </si>
  <si>
    <t>Colchão Beliche Mola Ensacada Prodormir Max Springs (78x188x30cm)</t>
  </si>
  <si>
    <t>PA65727</t>
  </si>
  <si>
    <t>Colchão Viúva Mola Ensacada Prodormir Solar Bambu Cinza (128x188x20cm)</t>
  </si>
  <si>
    <t>PA62747</t>
  </si>
  <si>
    <t>Colchão Solteiro Espuma D33 PróIntense Probel 28cm Bege/Marrom (88x188x28cm)</t>
  </si>
  <si>
    <t>PA51813</t>
  </si>
  <si>
    <t>Colchão Viúva Mola Prodormir Max Sport (128x188x22cm)</t>
  </si>
  <si>
    <t>PA92705</t>
  </si>
  <si>
    <t>Colchão Solteiro Espuma D45 Prodormir Infinity Hotel (88x188x17cm)</t>
  </si>
  <si>
    <t>PA61623</t>
  </si>
  <si>
    <t>Conjunto Box Conjugado Casal Espuma D28 Prodormir Advanced (138x188x55cm)</t>
  </si>
  <si>
    <t>PA91946</t>
  </si>
  <si>
    <t>Colchão Beliche Espuma Prodormir Fiorano (78x188x34cm)</t>
  </si>
  <si>
    <t>PA09770</t>
  </si>
  <si>
    <t>Colchão Casal Espuma D33 Platinum Prodormir 20cm Cinza/Preto (138x188x20cm)</t>
  </si>
  <si>
    <t>PA51065</t>
  </si>
  <si>
    <t>Conjunto Box Conjugado Solteiro Espuma D28 Prodormir Active (88x188x62cm)</t>
  </si>
  <si>
    <t>PA63103</t>
  </si>
  <si>
    <t>Colchão Beliche Mola Prodormir Max Hotel Essential (78x188x23cm)</t>
  </si>
  <si>
    <t>PA70511</t>
  </si>
  <si>
    <t>Colchão Solteiro Mola Ensacada Prodormir Imperial Premium (88x188x30cm)</t>
  </si>
  <si>
    <t>PA71006</t>
  </si>
  <si>
    <t>Colchão Solteiro Espuma Prodormir Active Techmiddle Plus (88x188x32cm)</t>
  </si>
  <si>
    <t>PA97972</t>
  </si>
  <si>
    <t>Colchão Solteiro Espuma D33 Prodormir Infinity Hotel (88x188x20cm)</t>
  </si>
  <si>
    <t>PA52003</t>
  </si>
  <si>
    <t>Colchão Casal Espuma D33 Guarda Costas Probel 14cm Bege/Marrom (138x188x14cm)</t>
  </si>
  <si>
    <t>Colchão Solteiro Mola Ensacada Probel Sigma Plus (88x188x24cm)</t>
  </si>
  <si>
    <t>PA70507</t>
  </si>
  <si>
    <t>PA51524</t>
  </si>
  <si>
    <t>Colchão King Espuma D23 Guarda Costas Probel 12cm Branco/Preto (193x203x12cm)</t>
  </si>
  <si>
    <t>PA77987</t>
  </si>
  <si>
    <t>Colchão Solteirão Mola Ensacada Prodormir Solar Max (100x200x24cm)</t>
  </si>
  <si>
    <t>PA73757</t>
  </si>
  <si>
    <t>Colchão Solteiro Mola Ensacada Prodormir Outback New Marrom (88x188x28cm)</t>
  </si>
  <si>
    <t>PA92021</t>
  </si>
  <si>
    <t>Colchão Solteiro Mola Prodormir Florida (88x188x25cm)</t>
  </si>
  <si>
    <t>PA94883</t>
  </si>
  <si>
    <t>Colchão Beliche Mola Ensacada Probel Akira (78x188x20cm)</t>
  </si>
  <si>
    <t>PA62382</t>
  </si>
  <si>
    <t>Colchão Beliche Espuma D33 Prodormir Active Techintense (78x188x26cm)</t>
  </si>
  <si>
    <t>PA71033</t>
  </si>
  <si>
    <t>Colchão Beliche Espuma Prodormir Active Techintense Plus (78x188x32cm)</t>
  </si>
  <si>
    <t>PA94914</t>
  </si>
  <si>
    <t>Colchão Solteiro Mola Ensacada Prodormir Califórnia (88x188x26cm)</t>
  </si>
  <si>
    <t>PA73762</t>
  </si>
  <si>
    <t>Colchão Solteiro Mola Ensacada Prodormir Outback New Cinza (88x188x28cm)</t>
  </si>
  <si>
    <t>PA51811</t>
  </si>
  <si>
    <t>Colchão Solteirão Mola Prodormir Max Sport (100x200x22cm)</t>
  </si>
  <si>
    <t>PA51490</t>
  </si>
  <si>
    <t>Colchão King Espuma D20 Guarda Costas Probel 12cm Branco/Preto (193x203x12cm)</t>
  </si>
  <si>
    <t>PA62355</t>
  </si>
  <si>
    <t>Colchão Solteiro Espuma D28 Prodormir Active Techmiddle (88x188x26cm)</t>
  </si>
  <si>
    <t>PA84467</t>
  </si>
  <si>
    <t>Colchão Solteiro Mola Ensacada Prodormir Solar Bambu Bege (88x188x20cm)</t>
  </si>
  <si>
    <t>PA52474</t>
  </si>
  <si>
    <t>Colchão Solteiro Espuma Prodormir Active Premium Hiper Firme (88x188x24cm)</t>
  </si>
  <si>
    <t>PA92704</t>
  </si>
  <si>
    <t>Colchão Beliche Espuma D45 Prodormir Infinity Hotel (78x188x17cm)</t>
  </si>
  <si>
    <t>PA92739</t>
  </si>
  <si>
    <t>Colchão Beliche Espuma D45 Infinity Hotel Prodormir (78x188x17cm)</t>
  </si>
  <si>
    <t>PA65726</t>
  </si>
  <si>
    <t>Colchão Solteirão Mola Ensacada Prodormir Solar Bambu (100x200x20cm)</t>
  </si>
  <si>
    <t>PA71005</t>
  </si>
  <si>
    <t>Colchão Beliche Espuma D28 Prodormir Active Techmiddle Plus (78x188x32cm)</t>
  </si>
  <si>
    <t>Colchão Solteiro Espuma D33 PróIntense Probel 24cm Bege/Marrom (88x188x24cm)</t>
  </si>
  <si>
    <t>Colchão Casal Espuma D28 Guarda Costas Probel 14cm Branco/Marrom (138x188x14cm)</t>
  </si>
  <si>
    <t>PA92020</t>
  </si>
  <si>
    <t>Colchão Beliche Mola Prodormir Florida (78x188x25cm)</t>
  </si>
  <si>
    <t>PA97971</t>
  </si>
  <si>
    <t>Colchão Beliche Espuma D33 Prodormir Infinity Hotel (78x188x20cm)</t>
  </si>
  <si>
    <t>PA94894</t>
  </si>
  <si>
    <t>Conjunto Box Conjugado Solteiro Mola Ensacada ProDormir Postural (88x188x43cm)</t>
  </si>
  <si>
    <t>PA97964</t>
  </si>
  <si>
    <t>Colchão Solteiro Espuma D33 Prodormir Infinity Hotel (88x188x17cm)</t>
  </si>
  <si>
    <t>PA70962CBY</t>
  </si>
  <si>
    <t>Base Box king Bipartido Kupon Probel (193x203x26cm)</t>
  </si>
  <si>
    <t>PA70962CBX</t>
  </si>
  <si>
    <t>PA70966CCB</t>
  </si>
  <si>
    <t>Base Box king Bipartido Corino Probel (193x203x26cm)</t>
  </si>
  <si>
    <t>PA70966CBZ</t>
  </si>
  <si>
    <t>PA70966C02</t>
  </si>
  <si>
    <t>PA52306</t>
  </si>
  <si>
    <t>Colchão Solteiro Espuma AD Mega Firme Probel 22cm Bege/Marrom (88x188x22cm)</t>
  </si>
  <si>
    <t>PA94913</t>
  </si>
  <si>
    <t>Colchão Beliche Mola Ensacada Prodormir Califórnia (78x188x26cm)</t>
  </si>
  <si>
    <t>PA70964CV5</t>
  </si>
  <si>
    <t>Base Box king Bipartido Rústico Probel (193x203x26cm)</t>
  </si>
  <si>
    <t>PA70964CV6</t>
  </si>
  <si>
    <t>PA70964CAF</t>
  </si>
  <si>
    <t>PA59928</t>
  </si>
  <si>
    <t>Colchão Casal Espuma D33 Advanced ProDormir 14cm Bege/Marrom (138x188x14cm)</t>
  </si>
  <si>
    <t>PA77986</t>
  </si>
  <si>
    <t>Colchão Solteiro Mola Ensacada Prodormir Solar Max (88x188x24cm)</t>
  </si>
  <si>
    <t>PA84466</t>
  </si>
  <si>
    <t>Colchão Beliche Mola Ensacada Prodormir Solar Bambu Bege (78x188x20cm)</t>
  </si>
  <si>
    <t>PA70960C45</t>
  </si>
  <si>
    <t>Base Box king Bipartido Jacquard Probel (193x203x26cm)</t>
  </si>
  <si>
    <t>PA58659</t>
  </si>
  <si>
    <t>Colchão Solteiro Mola Probel Sevilha</t>
  </si>
  <si>
    <t>PA62354</t>
  </si>
  <si>
    <t>Colchão Beliche Espuma D28 Prodormir Active Techmiddle (78x188x26cm)</t>
  </si>
  <si>
    <t>PA52473</t>
  </si>
  <si>
    <t>Colchão Beliche Espuma Prodormir Active Premium Hiper Firme (78x188x24cm)</t>
  </si>
  <si>
    <t>PA62579</t>
  </si>
  <si>
    <t>Colchão Solteiro Espuma D28 PróMiddle Probel 24cm Branco/Preto (88x188x24cm)</t>
  </si>
  <si>
    <t>PA80196CDE</t>
  </si>
  <si>
    <t>Base Box Casal Probel Hotelaria (138x188x26cm)</t>
  </si>
  <si>
    <t>PA80196CD1</t>
  </si>
  <si>
    <t>PA80196CAK</t>
  </si>
  <si>
    <t>PA53598</t>
  </si>
  <si>
    <t>Colchão King Espuma D20 Prodormir Active (193x203x12cm)</t>
  </si>
  <si>
    <t>PA51522</t>
  </si>
  <si>
    <t>Colchão Queen Espuma D23 Guarda Costas Probel 12cm Branco/Preto (158x198x12cm)</t>
  </si>
  <si>
    <t>PA70961CBY</t>
  </si>
  <si>
    <t>Base Box Queen Bipartido Kupon Probel (158x198x26cm)</t>
  </si>
  <si>
    <t>PA70961CBX</t>
  </si>
  <si>
    <t>PA52131</t>
  </si>
  <si>
    <t>Colchão Casal Espuma D23 Super Resistente Probel 14cm Branco/Preto (138x188x14cm)</t>
  </si>
  <si>
    <t>PA97963</t>
  </si>
  <si>
    <t>Colchão Beliche Espuma D33 Prodormir Infinity Hotel (78x188x17cm)</t>
  </si>
  <si>
    <t>PA55999CEU</t>
  </si>
  <si>
    <t>Base Box Casal Probel Malha (138x188x26cm)</t>
  </si>
  <si>
    <t>PA77985</t>
  </si>
  <si>
    <t>Colchão Beliche Mola Ensacada Prodormir Solar Max (78x188x24cm)</t>
  </si>
  <si>
    <t>PA70965CCB</t>
  </si>
  <si>
    <t>Base Box Queen Bipartido Corino Probel (158x198x26cm)</t>
  </si>
  <si>
    <t>PA70965CBZ</t>
  </si>
  <si>
    <t>PA70965C02</t>
  </si>
  <si>
    <t>PA52001</t>
  </si>
  <si>
    <t>Colchão Solteirão Espuma D33 Probel Guarda Costas (100x200x14cm)</t>
  </si>
  <si>
    <t>PA70963CV6</t>
  </si>
  <si>
    <t>Base Box Queen Bipartido Rústico Probel (158x198x26cm)</t>
  </si>
  <si>
    <t>PA70963CAF</t>
  </si>
  <si>
    <t>PA70963CV5</t>
  </si>
  <si>
    <t>PA62215</t>
  </si>
  <si>
    <t>Colchão Solteiro Espuma Prodormir Tech1500 (88x188x24cm)</t>
  </si>
  <si>
    <t>PA78997CAP</t>
  </si>
  <si>
    <t>Base Box Casal Probel Linho Specially (138x188x26cm)</t>
  </si>
  <si>
    <t>PA78997CDP</t>
  </si>
  <si>
    <t>PA70959C45</t>
  </si>
  <si>
    <t>Base Box Queen Bipartido Jacquard Probel (158x198x26cm)</t>
  </si>
  <si>
    <t>PA65752</t>
  </si>
  <si>
    <t>Colchão Solteiro Mola Ensacada Prodormir Vegas Comfort (88x188x20cm)</t>
  </si>
  <si>
    <t>PA51488</t>
  </si>
  <si>
    <t>Colchão Queen Espuma D20 Guarda Costas Probel 12cm Branco/Preta (158x198x12cm)</t>
  </si>
  <si>
    <t>PA73628CAH</t>
  </si>
  <si>
    <t>Base Box Casal Probel Ecológico (138x188x26cm)</t>
  </si>
  <si>
    <t>PA73628CAB</t>
  </si>
  <si>
    <t>Base Box Casal Probel Suede (138x188x26cm)</t>
  </si>
  <si>
    <t>PA62152</t>
  </si>
  <si>
    <t>Colchão Solteiro Espuma Prodormir Tech1000 (88x188x22cm)</t>
  </si>
  <si>
    <t>PA51810</t>
  </si>
  <si>
    <t>Colchão Solteiro Mola Prodormir Max Sport (88x188x22cm)</t>
  </si>
  <si>
    <t>PA78996CAP</t>
  </si>
  <si>
    <t>Base Box Viúva Probel Linho Specially (128x188x26cm)</t>
  </si>
  <si>
    <t>PA78996CDP</t>
  </si>
  <si>
    <t>PA80412CDE</t>
  </si>
  <si>
    <t>Base Box Casal Prodormir Hotelaria (138x188x26cm)</t>
  </si>
  <si>
    <t>PA80412CD1</t>
  </si>
  <si>
    <t>Base Box Casal Poliéster Bege Prodormir (138x188x26cm)</t>
  </si>
  <si>
    <t>PA65725</t>
  </si>
  <si>
    <t>Colchão Solteiro Mola Ensacada Prodormir Solar Bambu Cinza (88x188x20cm)</t>
  </si>
  <si>
    <t>PA61622</t>
  </si>
  <si>
    <t>Conjunto Box Conjugado Solteiro Espuma D28 Prodormir Advanced (88x188x55cm)</t>
  </si>
  <si>
    <t>PA80088C45</t>
  </si>
  <si>
    <t>Base Box Casal Probel Jacquard (138x188x26cm)</t>
  </si>
  <si>
    <t>PA78272CA9</t>
  </si>
  <si>
    <t>Base Box Casal Probel Roma (138x188x26cm)</t>
  </si>
  <si>
    <t>PA78272C56</t>
  </si>
  <si>
    <t>PA78272C60</t>
  </si>
  <si>
    <t>PA73627CAH</t>
  </si>
  <si>
    <t>Base Box Viúva Probel Suede (128x188x26cm)</t>
  </si>
  <si>
    <t>PA73627CAB</t>
  </si>
  <si>
    <t>PA70958C77</t>
  </si>
  <si>
    <t>Base Box king Bipartido Tela Probel (193x203x26cm)</t>
  </si>
  <si>
    <t>PA70958C83</t>
  </si>
  <si>
    <t>PA70958CAX</t>
  </si>
  <si>
    <t>PA70958CS4</t>
  </si>
  <si>
    <t>PA70469CBY</t>
  </si>
  <si>
    <t>Base Box Casal Probel Kupon (138x188x26cm)</t>
  </si>
  <si>
    <t>PA70469CBX</t>
  </si>
  <si>
    <t>PA70469CEI</t>
  </si>
  <si>
    <t>Base Box Casal Probel Kupon Bege (138x188x26cm)</t>
  </si>
  <si>
    <t>PA70469CEJ</t>
  </si>
  <si>
    <t>Base Box Casal Probel Kupon Marrom (138x188x26cm)</t>
  </si>
  <si>
    <t>PA78236CEY</t>
  </si>
  <si>
    <t>Base Box Casal Prodormir Suede Bege - Cinza (138x188x26cm)</t>
  </si>
  <si>
    <t>PA78236CAP</t>
  </si>
  <si>
    <t>Base Box Casal Linho Bege Prodormir (138x188x26cm)</t>
  </si>
  <si>
    <t>PA80411CDE</t>
  </si>
  <si>
    <t>Base Box Viúva Poliéster Bege Prodormir (128x188x26cm)</t>
  </si>
  <si>
    <t>PA80411CD1</t>
  </si>
  <si>
    <t>PA43054CCB</t>
  </si>
  <si>
    <t>Base Box Casal Probel Luxo Corino (138x188x26cm)</t>
  </si>
  <si>
    <t>PA43054CBZ</t>
  </si>
  <si>
    <t>PA43054C02</t>
  </si>
  <si>
    <t>PA59926</t>
  </si>
  <si>
    <t>Colchão Solteirão Espuma D33 Prodormir Advanced (100x200x14cm)</t>
  </si>
  <si>
    <t>PA78036CV5</t>
  </si>
  <si>
    <t>Base Box Casal Probel Rústico (138x188x26cm)</t>
  </si>
  <si>
    <t>PA78036CV6</t>
  </si>
  <si>
    <t>PA78036CAF</t>
  </si>
  <si>
    <t>Colchão Beliche Mola Ensacada Prodormir Vegas Comfort (78x188x20cm)</t>
  </si>
  <si>
    <t>PA09767</t>
  </si>
  <si>
    <t>Colchão Solteiro Espuma D33 Platinum Prodormir 20cm cinza/Preto (88x188x20cm)</t>
  </si>
  <si>
    <t>PA78271C56</t>
  </si>
  <si>
    <t>PA78271C60</t>
  </si>
  <si>
    <t>PA78271CA9</t>
  </si>
  <si>
    <t>PA80410CDE</t>
  </si>
  <si>
    <t>Base Box Solteirão Poliéster Bege Prodormir (120x203x26cm)</t>
  </si>
  <si>
    <t>PA78235CEY</t>
  </si>
  <si>
    <t>Base Box Viúva Prodormir Suede Bege - Cinza (128x188x26cm)</t>
  </si>
  <si>
    <t>PA78235CAP</t>
  </si>
  <si>
    <t>Base Box Viúva Linho Bege Prodormir (128x188x26cm)</t>
  </si>
  <si>
    <t>PA73665CAH</t>
  </si>
  <si>
    <t>Base Box Casal Prodormir Suede Marrom (138x188x26cm)</t>
  </si>
  <si>
    <t>PA73665CAB</t>
  </si>
  <si>
    <t>Base Box Casal Suede Bege Prodormir (138x188x26cm)</t>
  </si>
  <si>
    <t>PA80193CD1</t>
  </si>
  <si>
    <t>Base Box Solteirão Probel Luxo Bege (100x200x26cm)</t>
  </si>
  <si>
    <t>PA80192CDE</t>
  </si>
  <si>
    <t>Base Box King Probel Hotelaria (96x203x26cm)</t>
  </si>
  <si>
    <t>PA80192CD1</t>
  </si>
  <si>
    <t>PA80192CAK</t>
  </si>
  <si>
    <t>PA78416C60</t>
  </si>
  <si>
    <t>Base Box Casal Prodormir Suede Marfim  (138x188x26cm)</t>
  </si>
  <si>
    <t>PA78416CA9</t>
  </si>
  <si>
    <t>Base Box Casal Prodormir Suede Cinza  (138x188x26cm)</t>
  </si>
  <si>
    <t>PA51668</t>
  </si>
  <si>
    <t>Colchão Solteirão Espuma D28 Probel Guarda Costas (100x200x14cm)</t>
  </si>
  <si>
    <t>PA65724</t>
  </si>
  <si>
    <t>Colchão Beliche Mola Ensacada Prodormir Solar Bambu Cinza (78x188x20cm)</t>
  </si>
  <si>
    <t>PA51521</t>
  </si>
  <si>
    <t>Colchão Casal Espuma D23 Guarda Costas Probel 12cm Branco/Preto (138x188x12cm)</t>
  </si>
  <si>
    <t>PA78035CV5</t>
  </si>
  <si>
    <t>Base Box Viúva Probel Rústico (128x188x26cm)</t>
  </si>
  <si>
    <t>PA78035CV6</t>
  </si>
  <si>
    <t>PA78035CAF</t>
  </si>
  <si>
    <t>PA80484CBX</t>
  </si>
  <si>
    <t>Base Box Casal Prodormir Kupon Cinza  (138x188x26cm)</t>
  </si>
  <si>
    <t>PA78234CAP</t>
  </si>
  <si>
    <t>Base Box Solteirão Linho Bege Prodormir (120x203x26cm)</t>
  </si>
  <si>
    <t>Colchão Solteiro Espuma D33 Guarda Costas Probel 14cm Bege/Marrom (88x188x14cm)</t>
  </si>
  <si>
    <t>PA55995CEU</t>
  </si>
  <si>
    <t>Base Box King Probel Malha (96x203x26cm)</t>
  </si>
  <si>
    <t>PA72177CBX</t>
  </si>
  <si>
    <t>PA72177CEI</t>
  </si>
  <si>
    <t>PA53596</t>
  </si>
  <si>
    <t>Colchão Queen Espuma D20 Prodormir Active (158x198x12cm)</t>
  </si>
  <si>
    <t>PA77345CV5</t>
  </si>
  <si>
    <t>Base Box Casal Prodormir Rústico (138x188x26cm)</t>
  </si>
  <si>
    <t>PA77345CV6</t>
  </si>
  <si>
    <t>PA77345CAF</t>
  </si>
  <si>
    <t>PA79033CFB</t>
  </si>
  <si>
    <t>Base Box Casal Prodormir Suede Bege (138x188x26cm)</t>
  </si>
  <si>
    <t>PA79033CFC</t>
  </si>
  <si>
    <t>Base Box Casal Prodormir Suede Cinza (138x188x26cm)</t>
  </si>
  <si>
    <t>PA55076CBF</t>
  </si>
  <si>
    <t>Base Box Casal Prodormir Suede Specially Marrom (138x188x26cm)</t>
  </si>
  <si>
    <t>PA72187CV6</t>
  </si>
  <si>
    <t>PA72187CAF</t>
  </si>
  <si>
    <t>Base Box Casal Probel Ecológico Rústico Cinza (138x188x26cm)</t>
  </si>
  <si>
    <t>PA73664CAH</t>
  </si>
  <si>
    <t>Base Box Viúva Prodormir Suede Marrom (128x188x26cm)</t>
  </si>
  <si>
    <t>PA73664CAB</t>
  </si>
  <si>
    <t>Base Box Viúva Suede Bege Prodormir (128x188x26cm)</t>
  </si>
  <si>
    <t>PA78415C60</t>
  </si>
  <si>
    <t>Base Box Viúva Prodormir Suede Marfim (128x188x26cm)</t>
  </si>
  <si>
    <t>PA80483CBX</t>
  </si>
  <si>
    <t>Base Box Viúva Prodormir Kupon Cinza  (128x188x26cm)</t>
  </si>
  <si>
    <t>PA80191CD1</t>
  </si>
  <si>
    <t>Base Box Solteirão Probel Luxo Bege (90x200x26cm)</t>
  </si>
  <si>
    <t>PA29629CBZ</t>
  </si>
  <si>
    <t>Cabeceira King Estofada Hampton Probel Corino (14x203x122cm)</t>
  </si>
  <si>
    <t>PA29629CCB</t>
  </si>
  <si>
    <t>PA29629C02</t>
  </si>
  <si>
    <t>PA70957C77</t>
  </si>
  <si>
    <t>Base Box Queen Bipartido Tela Probel (158x198x26cm)</t>
  </si>
  <si>
    <t>PA70957C83</t>
  </si>
  <si>
    <t>PA70957CAX</t>
  </si>
  <si>
    <t>PA70957CS4</t>
  </si>
  <si>
    <t>PA80304C45</t>
  </si>
  <si>
    <t>Base Box Casal Prodormir Jacquard Branco (138x188x26cm)</t>
  </si>
  <si>
    <t>PA43030CS4</t>
  </si>
  <si>
    <t>Base Box Casal Probel Guardian (138x188x26cm)</t>
  </si>
  <si>
    <t>PA43030CBC</t>
  </si>
  <si>
    <t>Base Box Casal Probel Life (138x188x26cm)</t>
  </si>
  <si>
    <t>PA43030CAX</t>
  </si>
  <si>
    <t>Base Box Casal Probel Loretto (138x188x26cm)</t>
  </si>
  <si>
    <t>PA43030CG2</t>
  </si>
  <si>
    <t>Base Box Casal Probel Sigma Plus (138x188x26cm)</t>
  </si>
  <si>
    <t>PA43030C77</t>
  </si>
  <si>
    <t>Base Box Casal Probel Luxo Tela (138x188x26cm)</t>
  </si>
  <si>
    <t>PA78993CAP</t>
  </si>
  <si>
    <t>Base Box King Probel Linho Specially (96x203x26cm)</t>
  </si>
  <si>
    <t>PA78993CDP</t>
  </si>
  <si>
    <t>PA29631CBZ</t>
  </si>
  <si>
    <t>Cabeceira King Estofada Oxford Probel Corino (11x203x123cm)</t>
  </si>
  <si>
    <t>PA29631CCB</t>
  </si>
  <si>
    <t>PA29631C02</t>
  </si>
  <si>
    <t>PA72176CEI</t>
  </si>
  <si>
    <t>Base Box Viúva Probel Ecológico (128x188x26cm)</t>
  </si>
  <si>
    <t>PA72176CBX</t>
  </si>
  <si>
    <t>PA77344CAF</t>
  </si>
  <si>
    <t>Base Box Viúva ProdormirRústico Cinza  (128x188x26cm)</t>
  </si>
  <si>
    <t>PA77344CV6</t>
  </si>
  <si>
    <t>Base Box Viúva Prodormir Rústico Bege  (128x188x26cm)</t>
  </si>
  <si>
    <t>PA77344CV5</t>
  </si>
  <si>
    <t>Base Box Viúva Prodormir Rústico Marrom (128x188x26cm)</t>
  </si>
  <si>
    <t>PA79032CFB</t>
  </si>
  <si>
    <t>Base Box Viúva Prodormir Suede Bege (128x188x26cm)</t>
  </si>
  <si>
    <t>PA79032CFC</t>
  </si>
  <si>
    <t>Base Box Viúva Prodormir Suede Cinza (128x188x26cm)</t>
  </si>
  <si>
    <t>PA55075CBF</t>
  </si>
  <si>
    <t>Base Box Viúva Prodormir Suede Specially Marrom (128x188x26cm)</t>
  </si>
  <si>
    <t>PA73625CAH</t>
  </si>
  <si>
    <t>Base Box Solteirão Probel Luxo Suede Marrom (100x200x26cm)</t>
  </si>
  <si>
    <t>PA72186CV6</t>
  </si>
  <si>
    <t>PA72186CAF</t>
  </si>
  <si>
    <t>Base Box Viúva Probel Ecológico Rústico Cinza (128x188x26cm)</t>
  </si>
  <si>
    <t>PA72137CBC</t>
  </si>
  <si>
    <t>Base Box Casal Probel Ecológico Tela Preto (138x188x26cm)</t>
  </si>
  <si>
    <t>PA72137CG2</t>
  </si>
  <si>
    <t>Base Box Casal Probel Ecológico Tela Cinza (138x188x26cm)</t>
  </si>
  <si>
    <t>PA73624CAH</t>
  </si>
  <si>
    <t>Base Box King Probel Ecológico (96x203x26cm)</t>
  </si>
  <si>
    <t>PA73624CAB</t>
  </si>
  <si>
    <t>Base Box King Probel Suede (96x203x26cm)</t>
  </si>
  <si>
    <t>PA55993CEU</t>
  </si>
  <si>
    <t>Base Box Solteiro Probel Malha (88x188x26cm)</t>
  </si>
  <si>
    <t>PA80190CDE</t>
  </si>
  <si>
    <t>Base Box Solteiro Probel Hotelaria (88x188x26cm)</t>
  </si>
  <si>
    <t>PA80190CD1</t>
  </si>
  <si>
    <t>PA80190CAK</t>
  </si>
  <si>
    <t>PA43029C77</t>
  </si>
  <si>
    <t>Base Box Viúva Probel Tela (128x188x26cm)</t>
  </si>
  <si>
    <t>PA43029C83</t>
  </si>
  <si>
    <t>PA43029CS4</t>
  </si>
  <si>
    <t>PA43029CG2</t>
  </si>
  <si>
    <t>PA80303C45</t>
  </si>
  <si>
    <t>Base Box Viúva Prodormir Jacquard Branco (128x188x26cm)</t>
  </si>
  <si>
    <t>PA29626CBZ</t>
  </si>
  <si>
    <t>Cabeceira King Estofada New York Probel Corino (11x203x123cm)</t>
  </si>
  <si>
    <t>PA29626CCB</t>
  </si>
  <si>
    <t>PA29626C02</t>
  </si>
  <si>
    <t>Colchão Solteiro Espuma D28 Guarda Costas Probel 14cm Branco/Marrom (88x188x14cm)</t>
  </si>
  <si>
    <t>PA80409CDE</t>
  </si>
  <si>
    <t>Base Box Solteirão Poliéster Bege Prodormir (100x200x26cm)</t>
  </si>
  <si>
    <t>PA80409CD1</t>
  </si>
  <si>
    <t>PA80408CDE</t>
  </si>
  <si>
    <t>Base Box King Prodormir Hotelaria (96x203x26cm)</t>
  </si>
  <si>
    <t>PA80408CD1</t>
  </si>
  <si>
    <t>Base Box Solteirão Poliéster Bege Prodormir (96x203x26cm)</t>
  </si>
  <si>
    <t>PA78233CEY</t>
  </si>
  <si>
    <t>Base Box Solteirão Prodormir Standard Cinza (100x200x26cm)</t>
  </si>
  <si>
    <t>PA78233CAP</t>
  </si>
  <si>
    <t>Base Box Solteirão Linho Bege Prodormir (100x200x26cm)</t>
  </si>
  <si>
    <t>PA52129</t>
  </si>
  <si>
    <t>Colchão Solteirão Espuma Probel Guarda Costas Super Resistente (100x200x14cm)</t>
  </si>
  <si>
    <t>Colchão Solteiro Espuma D33 Advanced ProDormir 14cm Bege/Marrom (88x188x14cm)</t>
  </si>
  <si>
    <t>PA80189CDE</t>
  </si>
  <si>
    <t>Base Box Queen Probel Hotelaria (79x198x26cm)</t>
  </si>
  <si>
    <t>PA80189CD1</t>
  </si>
  <si>
    <t>PA80189CAK</t>
  </si>
  <si>
    <t>PA55992CEU</t>
  </si>
  <si>
    <t>Base Box Queen Probel Malha (79x198x26cm)</t>
  </si>
  <si>
    <t>PA72136CBC</t>
  </si>
  <si>
    <t>Base Box Viúva Probel Ecológico Linho Preto (128x188x26cm)</t>
  </si>
  <si>
    <t>PA72136CG2</t>
  </si>
  <si>
    <t>Base Box Viúva Probel Ecológico Tela Cinza (128x188x26cm)</t>
  </si>
  <si>
    <t>PA78268CA9</t>
  </si>
  <si>
    <t>Base Box King Probel Roma (96x203x26cm)</t>
  </si>
  <si>
    <t>PA78268C56</t>
  </si>
  <si>
    <t>PA78268C60</t>
  </si>
  <si>
    <t>PA80084C45</t>
  </si>
  <si>
    <t>Base Box King Probel Jacquard (96x203x26cm)</t>
  </si>
  <si>
    <t>PA91213CAB</t>
  </si>
  <si>
    <t>Base Box Casal Probel Suede (138x188x15cm)</t>
  </si>
  <si>
    <t>PA91213CAH</t>
  </si>
  <si>
    <t>PA78232CEY</t>
  </si>
  <si>
    <t>Base Box King Prodormir Suede Bege - Cinza (193x203x26cm)</t>
  </si>
  <si>
    <t>PA78232CAP</t>
  </si>
  <si>
    <t>Base Box Solteirão Linho Bege Prodormir (96x203x26cm)</t>
  </si>
  <si>
    <t>PA78260C60</t>
  </si>
  <si>
    <t>PA78260CA9</t>
  </si>
  <si>
    <t>PA78991CAP</t>
  </si>
  <si>
    <t>Base Box Solteiro Probel Linho Specially (88x188x26cm)</t>
  </si>
  <si>
    <t>PA78991CDP</t>
  </si>
  <si>
    <t>PA70465CBY</t>
  </si>
  <si>
    <t>Base Box King Probel Kupon (96x203x26cm)</t>
  </si>
  <si>
    <t>PA70465CBX</t>
  </si>
  <si>
    <t>PA70465CEI</t>
  </si>
  <si>
    <t>PA70465CEJ</t>
  </si>
  <si>
    <t>PA29605CBZ</t>
  </si>
  <si>
    <t>Cabeceira Queen Estofada Hampton Probel Corino (125x166x18cm)</t>
  </si>
  <si>
    <t>PA29605CCB</t>
  </si>
  <si>
    <t>PA29605C02</t>
  </si>
  <si>
    <t>PA83756CV6</t>
  </si>
  <si>
    <t>Base Box Solteirão Prodormir Standard Rústico Bege (108x198x26cm)</t>
  </si>
  <si>
    <t>PA78032CV5</t>
  </si>
  <si>
    <t>Base Box King Probel Rústico (96x203x26cm)</t>
  </si>
  <si>
    <t>PA78032CV6</t>
  </si>
  <si>
    <t>PA78032CAF</t>
  </si>
  <si>
    <t>PA80407CDE</t>
  </si>
  <si>
    <t>Base Box Solteirão Prodormir Standard JacquardBege Escuro (90x200x26cm)</t>
  </si>
  <si>
    <t>PA80407CD1</t>
  </si>
  <si>
    <t>Base Box Solteirão Poliéster Bege Prodormir (90x200x26cm)</t>
  </si>
  <si>
    <t>PA43630C77</t>
  </si>
  <si>
    <t>Base Box Casal Prodormir Tela (138x188x26cm)</t>
  </si>
  <si>
    <t>PA43630C83</t>
  </si>
  <si>
    <t>PA43630CS4</t>
  </si>
  <si>
    <t>PA43630CG2</t>
  </si>
  <si>
    <t>Base Box Casal Prodormir Vegas Comfort (138x188x26cm)</t>
  </si>
  <si>
    <t>PA43630CBC</t>
  </si>
  <si>
    <t>Base Box Casal Prodormir Tela Preto (138x188x26cm)</t>
  </si>
  <si>
    <t>PA44110CS4</t>
  </si>
  <si>
    <t>Base Box Casal Prodormir Standard Tela (138x188x26cm)</t>
  </si>
  <si>
    <t>PA73622CAH</t>
  </si>
  <si>
    <t>Base Box Solteiro Probel Suede (88x188x26cm)</t>
  </si>
  <si>
    <t>PA73622CAB</t>
  </si>
  <si>
    <t>PA78990CAP</t>
  </si>
  <si>
    <t>Base Box Queen Probel Linho Specially (79x198x26cm)</t>
  </si>
  <si>
    <t>PA78990CDP</t>
  </si>
  <si>
    <t>PA78990CEY</t>
  </si>
  <si>
    <t>PA73662CAH</t>
  </si>
  <si>
    <t>Base Box Solteirão Prodormir Standard Suede Liso Marrom (100x200x26cm)</t>
  </si>
  <si>
    <t>PA73662CAB</t>
  </si>
  <si>
    <t>Base Box Solteirão Suede Bege Prodormir (100x200x26cm)</t>
  </si>
  <si>
    <t>PA80481CBX</t>
  </si>
  <si>
    <t>Base Box Solteirão Prodormir Standard Kupon Cinza (100x200x26cm)</t>
  </si>
  <si>
    <t>PA29607CBZ</t>
  </si>
  <si>
    <t>Cabeceira Queen Estofada Oxford Probel Corino (125x166x12cm)</t>
  </si>
  <si>
    <t>PA29607CCB</t>
  </si>
  <si>
    <t>PA29607C02</t>
  </si>
  <si>
    <t>PA78231CAP</t>
  </si>
  <si>
    <t>Base Box Solteirão Linho Bege Prodormir (90x200x26cm)</t>
  </si>
  <si>
    <t>PA73661CAH</t>
  </si>
  <si>
    <t>Base Box King Prodormir Suede Marrom (193x203x26cm)</t>
  </si>
  <si>
    <t>PA73661CAB</t>
  </si>
  <si>
    <t>Base Box Solteirão Suede Bege Prodormir (96x203x26cm)</t>
  </si>
  <si>
    <t>PA78413C60</t>
  </si>
  <si>
    <t>Base Box Solteirão Prodormir Standard Suede Marfim (100x200x26cm)</t>
  </si>
  <si>
    <t>PA78413C56</t>
  </si>
  <si>
    <t>Base Box Solteirão Prodormir Suede Camurça (100x200x26cm)</t>
  </si>
  <si>
    <t>PA72174CEI</t>
  </si>
  <si>
    <t>PA72174CBX</t>
  </si>
  <si>
    <t>PA77342CV6</t>
  </si>
  <si>
    <t>Base Box Solteirão Prodormir Standard Rústico Bege (100x200x26cm)</t>
  </si>
  <si>
    <t>PA77342CAF</t>
  </si>
  <si>
    <t>Base Box Solteirão Prodormir Standard Rústico Cinza (100x200x26cm)</t>
  </si>
  <si>
    <t>PA77342CV5</t>
  </si>
  <si>
    <t>Base Box Solteirão Prodormir Standard Rústico Marrom (100x200x26cm)</t>
  </si>
  <si>
    <t>PA53595</t>
  </si>
  <si>
    <t>Colchão Casal Espuma D20 Prodormir Active (138x188x12cm)</t>
  </si>
  <si>
    <t>PA78412C60</t>
  </si>
  <si>
    <t>Base Box King Prodormir Suede Marfim  (96x203x26cm)</t>
  </si>
  <si>
    <t>PA78412CA9</t>
  </si>
  <si>
    <t>Base Box King Prodormir Suede Cinza  (96x203x26cm)</t>
  </si>
  <si>
    <t>PA80480CBX</t>
  </si>
  <si>
    <t>Base Box King Prodormir Kupon Cinza  (96x203x26cm)</t>
  </si>
  <si>
    <t>PA73621CAH</t>
  </si>
  <si>
    <t>Base Box Queen Probel Suede (79x198x26cm)</t>
  </si>
  <si>
    <t>PA55073CBF</t>
  </si>
  <si>
    <t>Base Box Solteirão Prodormir Standard Suede Marrom (100x200x26cm)</t>
  </si>
  <si>
    <t>PA79030CFB</t>
  </si>
  <si>
    <t>Base Box Solteirão Prodormir Standard Bege (100x200x26cm)</t>
  </si>
  <si>
    <t>PA79030CFC</t>
  </si>
  <si>
    <t>Base Box Solteirão Prodormir Standard Linho Cinza (100x200x26cm)</t>
  </si>
  <si>
    <t>PA80406CDE</t>
  </si>
  <si>
    <t>Base Box Solteiro Prodormir Hotelaria (88x188x26cm)</t>
  </si>
  <si>
    <t>PA80406CD1</t>
  </si>
  <si>
    <t>Base Box Solteiro Poliéster Bege Prodormir (88x188x26xm)</t>
  </si>
  <si>
    <t>PA43629CS4</t>
  </si>
  <si>
    <t>Base Box Viúva Prodormir Tela Marrom (128x188x26cm)</t>
  </si>
  <si>
    <t>PA43629CBC</t>
  </si>
  <si>
    <t>Base Box Viúva Prodormir Tela Preto (128x188x26cm)</t>
  </si>
  <si>
    <t>PA72184CV6</t>
  </si>
  <si>
    <t>PA72184CAF</t>
  </si>
  <si>
    <t>PA79029CFB</t>
  </si>
  <si>
    <t>Base Box King Prodormir Suede Bege (193x203x26cm)</t>
  </si>
  <si>
    <t>PA79029CFC</t>
  </si>
  <si>
    <t>Base Box King Prodormir Suede Cinza (193x203x26cm)</t>
  </si>
  <si>
    <t>PA77341CAF</t>
  </si>
  <si>
    <t>Base Box King ProdormirRústico Cinza  (96x203x26cm)</t>
  </si>
  <si>
    <t>PA77341CV6</t>
  </si>
  <si>
    <t>Base Box King Prodormir Rústico Bege  (96x203x26cm)</t>
  </si>
  <si>
    <t>PA77341CV5</t>
  </si>
  <si>
    <t>Base Box King Prodormir Rústico Marrom (193x203x26cm)</t>
  </si>
  <si>
    <t>PA78266CA9</t>
  </si>
  <si>
    <t>Base Box Solteiro Probel Roma (88x188x26cm)</t>
  </si>
  <si>
    <t>PA78266C56</t>
  </si>
  <si>
    <t>Base Box Solteiro Probel Ecológico (88x188x26cm)</t>
  </si>
  <si>
    <t>PA78266C60</t>
  </si>
  <si>
    <t>PA78230CEY</t>
  </si>
  <si>
    <t>Base Box Solteiro Prodormir Suede Bege - Cinza (88x188x26cm)</t>
  </si>
  <si>
    <t>PA78230CAP</t>
  </si>
  <si>
    <t>Base Box Solteiro Linho Bege Prodormir (88x188x26xm)</t>
  </si>
  <si>
    <t>PA73660CAB</t>
  </si>
  <si>
    <t>Base Box Solteirão Suede Bege Prodormir (90x200x26cm)</t>
  </si>
  <si>
    <t>PA55072CBF</t>
  </si>
  <si>
    <t>Base Box King Prodormir Suede Specially Marrom (193x203x26cm)</t>
  </si>
  <si>
    <t>PA43027CS4</t>
  </si>
  <si>
    <t>Base Box Solteirão Probel Luxo Tela Marrom (100x200x26cm)</t>
  </si>
  <si>
    <t>PA43027CG2</t>
  </si>
  <si>
    <t>Base Box Solteirão Probel Luxo Tela Cinza (100x200x26cm)</t>
  </si>
  <si>
    <t>PA43027CBC</t>
  </si>
  <si>
    <t>Base Box Solteirão Probel Luxo Tela Preto (100x200x26cm)</t>
  </si>
  <si>
    <t>PA52128</t>
  </si>
  <si>
    <t>Colchão Solteiro Espuma D23 Super Resistente Probel 14cm Branco/Preto (88x188x14cm)</t>
  </si>
  <si>
    <t>PA29602CBZ</t>
  </si>
  <si>
    <t>Cabeceira Queen Estofada New York Probel Corino (125x166x12cm)</t>
  </si>
  <si>
    <t>PA29602CCB</t>
  </si>
  <si>
    <t>PA29602C02</t>
  </si>
  <si>
    <t>PA70463CBY</t>
  </si>
  <si>
    <t>Base Box Solteiro Probel Kupon (88x188x26cm)</t>
  </si>
  <si>
    <t>PA70463CBX</t>
  </si>
  <si>
    <t>PA70463CEI</t>
  </si>
  <si>
    <t>PA70463CEJ</t>
  </si>
  <si>
    <t>PA51519</t>
  </si>
  <si>
    <t>Colchão Solteirão Espuma D23 Probel Guarda Costas (100x200x12cm)</t>
  </si>
  <si>
    <t>PA29580CBZ</t>
  </si>
  <si>
    <t>Cabeceira Casal Estofada Hampton Probel Corino (125x146x18cm)</t>
  </si>
  <si>
    <t>PA29580CCB</t>
  </si>
  <si>
    <t>PA29580C02</t>
  </si>
  <si>
    <t>PA80405CDE</t>
  </si>
  <si>
    <t>Base Box Queen Prodormir Hotelaria (79x198x26cm)</t>
  </si>
  <si>
    <t>PA80405CD1</t>
  </si>
  <si>
    <t>Base Box Solteirão Poliéster Bege Prodormir (79x198x26cm)</t>
  </si>
  <si>
    <t>PA80082C45</t>
  </si>
  <si>
    <t>Base Box Solteiro Probel Jacquard (88x188x26cm)</t>
  </si>
  <si>
    <t>PA78265C56</t>
  </si>
  <si>
    <t>Base Box Queen Probel Ecológico (79x198x26cm)</t>
  </si>
  <si>
    <t>PA78265C60</t>
  </si>
  <si>
    <t>PA78265CA9</t>
  </si>
  <si>
    <t>Base Box Queen Probel Roma (79x198x26cm)</t>
  </si>
  <si>
    <t>PA78030CV5</t>
  </si>
  <si>
    <t>Base Box Solteiro Probel Rústico (88x188x26cm)</t>
  </si>
  <si>
    <t>PA78030CV6</t>
  </si>
  <si>
    <t>PA78030CAF</t>
  </si>
  <si>
    <t>PA80301C45</t>
  </si>
  <si>
    <t>Base Box Solteirão Prodormir Standard Jacquard Branco (100x200x26cm)</t>
  </si>
  <si>
    <t>PA78229CEY</t>
  </si>
  <si>
    <t>Base Box Queen Prodormir Suede Bege - Cinza (79x198x26cm)</t>
  </si>
  <si>
    <t>PA78229CAP</t>
  </si>
  <si>
    <t>Base Box Solteirão Linho Bege Prodormir (79x198x26cm)</t>
  </si>
  <si>
    <t>PA29582CCB</t>
  </si>
  <si>
    <t>Cabeceira Casal Estofada Oxford Probel Corino (125x146x12cm)</t>
  </si>
  <si>
    <t>PA29582CBZ</t>
  </si>
  <si>
    <t>PA29582C02</t>
  </si>
  <si>
    <t>PA43026C77</t>
  </si>
  <si>
    <t>Base Box King Probel Tela (96x203x26cm)</t>
  </si>
  <si>
    <t>PA43026C83</t>
  </si>
  <si>
    <t>PA43026CS4</t>
  </si>
  <si>
    <t>PA43026CG2</t>
  </si>
  <si>
    <t>Base Box King Probel Sigma Plus (96x203x26cm)</t>
  </si>
  <si>
    <t>PA43026CBC</t>
  </si>
  <si>
    <t>Base Box King Probel Tela Preto (96x203x26cm)</t>
  </si>
  <si>
    <t>PA53594</t>
  </si>
  <si>
    <t>Colchão Viúva Espuma D20 Prodormir Active (128x188x12cm)</t>
  </si>
  <si>
    <t>PA70462CBY</t>
  </si>
  <si>
    <t>Base Box Queen Probel Kupon (79x198x26cm)</t>
  </si>
  <si>
    <t>PA70462CEI</t>
  </si>
  <si>
    <t>PA70462CEJ</t>
  </si>
  <si>
    <t>PA70462CBX</t>
  </si>
  <si>
    <t>PA80300C45</t>
  </si>
  <si>
    <t>Base Box King Prodormir Jacquard Branco (193x203x26cm)</t>
  </si>
  <si>
    <t>PA80081C45</t>
  </si>
  <si>
    <t>Base Box Queen Probel Jacquard (79x198x26cm)</t>
  </si>
  <si>
    <t>PA43048CCB</t>
  </si>
  <si>
    <t>Base Box Solteiro Probel Luxo Corino (88x188x26cm)</t>
  </si>
  <si>
    <t>PA43048CBZ</t>
  </si>
  <si>
    <t>PA43048C02</t>
  </si>
  <si>
    <t>PA73659CAH</t>
  </si>
  <si>
    <t>Base Box Solteiro Prodormir Suede Marrom (88x188x26cm)</t>
  </si>
  <si>
    <t>PA73659CAB</t>
  </si>
  <si>
    <t>Base Box Solteiro Suede Bege Prodormir (88x188x26xm)</t>
  </si>
  <si>
    <t>PA72134CG2</t>
  </si>
  <si>
    <t>PA72134CBC</t>
  </si>
  <si>
    <t>PA78264C56</t>
  </si>
  <si>
    <t>Base Box Beliche Probel Ecológico (78x188x26cm)</t>
  </si>
  <si>
    <t>PA78029CV5</t>
  </si>
  <si>
    <t>Base Box Queen Probel Rústico (79x198x26cm)</t>
  </si>
  <si>
    <t>PA78029CV6</t>
  </si>
  <si>
    <t>PA78029CAF</t>
  </si>
  <si>
    <t>PA72172CEI</t>
  </si>
  <si>
    <t>PA72172CBX</t>
  </si>
  <si>
    <t>PA80478CBX</t>
  </si>
  <si>
    <t>Base Box Solteiro Prodormir Kupon Cinza  (88x188x26cm)</t>
  </si>
  <si>
    <t>PA78410C60</t>
  </si>
  <si>
    <t>Base Box Solteiro Prodormir Suede Marfim  (88x188x26cm)</t>
  </si>
  <si>
    <t>PA78410CA9</t>
  </si>
  <si>
    <t>Base Box Solteiro Prodormir Suede Cinza  (88x188x26cm)</t>
  </si>
  <si>
    <t>PA51485</t>
  </si>
  <si>
    <t>Colchão Solteirão Espuma D20 Probel Guarda Costas (100x200x12cm)</t>
  </si>
  <si>
    <t>PA73658CAH</t>
  </si>
  <si>
    <t>Base Box Queen Prodormir Suede Marrom (79x198x26cm)</t>
  </si>
  <si>
    <t>PA73658CAB</t>
  </si>
  <si>
    <t>Base Box Solteirão Suede Bege Prodormir (79x198x26cm)</t>
  </si>
  <si>
    <t>PA77339CV5</t>
  </si>
  <si>
    <t>Base Box Solteiro Prodormir Rústico (88x188x26cm)</t>
  </si>
  <si>
    <t>PA77339CV6</t>
  </si>
  <si>
    <t>PA77339CAF</t>
  </si>
  <si>
    <t>PA72182CV6</t>
  </si>
  <si>
    <t>PA72182CAF</t>
  </si>
  <si>
    <t>Base Box Solteiro Probel Ecológico Rústico Cinza (88x188x26cm)</t>
  </si>
  <si>
    <t>PA79027CFC</t>
  </si>
  <si>
    <t>Base Box Solteiro Prodormir Suede Cinza (88x188x26cm)</t>
  </si>
  <si>
    <t>PA79027CFB</t>
  </si>
  <si>
    <t>Base Box Solteiro Prodormir Suede Bege (88x188x26cm)</t>
  </si>
  <si>
    <t>PA78409C60</t>
  </si>
  <si>
    <t>Base Box Queen Prodormir Suede Marfim  (79x198x26cm)</t>
  </si>
  <si>
    <t>PA78409CA9</t>
  </si>
  <si>
    <t>Base Box Queen Prodormir Suede Cinza  (79x198x26cm)</t>
  </si>
  <si>
    <t>PA72171CEI</t>
  </si>
  <si>
    <t>PA72171CBX</t>
  </si>
  <si>
    <t>PA55070CBF</t>
  </si>
  <si>
    <t>Base Box Solteiro Prodormir Suede Specially Marrom (88x188x26cm)</t>
  </si>
  <si>
    <t>PA29577CCB</t>
  </si>
  <si>
    <t>Cabeceira Casal Estofada New York Probel Corino (125x146x12cm)</t>
  </si>
  <si>
    <t>PA29577CBZ</t>
  </si>
  <si>
    <t>PA29577C02</t>
  </si>
  <si>
    <t>PA80477CBX</t>
  </si>
  <si>
    <t>Base Box Queen Prodormir Kupon Cinza  (79x198x26cm)</t>
  </si>
  <si>
    <t>PA83717CBC</t>
  </si>
  <si>
    <t>Base Box Solteirão Prodormir Standard Tela Preto (108x198x26cm)</t>
  </si>
  <si>
    <t>PA78256C56</t>
  </si>
  <si>
    <t>Base Box King Probel Suede (96x203x15cm)</t>
  </si>
  <si>
    <t>PA78256C60</t>
  </si>
  <si>
    <t>PA78256CA9</t>
  </si>
  <si>
    <t>PA72181CV6</t>
  </si>
  <si>
    <t>PA72181CAF</t>
  </si>
  <si>
    <t>PA91209CAB</t>
  </si>
  <si>
    <t>PA91209CAH</t>
  </si>
  <si>
    <t>PA77338CV5</t>
  </si>
  <si>
    <t>Base Box Queen Prodormir Rústico (79x198x26cm)</t>
  </si>
  <si>
    <t>PA77338CV6</t>
  </si>
  <si>
    <t>PA77338CAF</t>
  </si>
  <si>
    <t>PA43627CBC</t>
  </si>
  <si>
    <t>Base Box Solteirão Prodormir Standard Tela Preto (100x200x26cm)</t>
  </si>
  <si>
    <t>PA43627CAX</t>
  </si>
  <si>
    <t>Base Box Solteirão Prodormir Standard Tela Café (100x200x26cm)</t>
  </si>
  <si>
    <t>PA43627CS4</t>
  </si>
  <si>
    <t>Base Box Solteirão Prodormir Standard Tela Marrom (100x200x26cm)</t>
  </si>
  <si>
    <t>PA72170CEI</t>
  </si>
  <si>
    <t>PA72170CBX</t>
  </si>
  <si>
    <t>PA79026CFB</t>
  </si>
  <si>
    <t>Base Box Queen Prodormir Suede Bege (79x198x26cm)</t>
  </si>
  <si>
    <t>PA79026CFC</t>
  </si>
  <si>
    <t>Base Box Queen Prodormir Suede Cinza (79x198x26cm)</t>
  </si>
  <si>
    <t>PA55069CBF</t>
  </si>
  <si>
    <t>Base Box Queen Prodormir Suede Specially Marrom (79x198x26cm)</t>
  </si>
  <si>
    <t>PA43024C77</t>
  </si>
  <si>
    <t>Base Box Solteiro Probel Tela (88x188x26cm)</t>
  </si>
  <si>
    <t>PA43024C83</t>
  </si>
  <si>
    <t>PA43024CS4</t>
  </si>
  <si>
    <t>PA43024CBC</t>
  </si>
  <si>
    <t>Base Box Solteiro Probel Life (88x188x26cm)</t>
  </si>
  <si>
    <t>PA43024CAX</t>
  </si>
  <si>
    <t>Base Box Solteiro Probel Loretto (88x188x26cm)</t>
  </si>
  <si>
    <t>PA43024CG2</t>
  </si>
  <si>
    <t>Base Box Solteiro Probel Sigma Plus (88x188x26cm)</t>
  </si>
  <si>
    <t>PA80298C45</t>
  </si>
  <si>
    <t>Base Box Solteiro Prodormir Jacquard Branco (88x188x26cm)</t>
  </si>
  <si>
    <t>PA72132CBC</t>
  </si>
  <si>
    <t>Base Box Solteiro Probel Ecológico Tela Preto (88x188x26cm)</t>
  </si>
  <si>
    <t>PA72132CG2</t>
  </si>
  <si>
    <t>Base Box Solteiro Probel Ecológico Tela Cinza (88x188x26cm)</t>
  </si>
  <si>
    <t>PA80694CV6</t>
  </si>
  <si>
    <t>Base Box Solteiro Prodormir Standard Rústico (88x188x26cm)</t>
  </si>
  <si>
    <t>PA72180CV6</t>
  </si>
  <si>
    <t>PA72180CAF</t>
  </si>
  <si>
    <t>Base Box Beliche Probel Ecológico Rústico Cinza (78x188x26cm)</t>
  </si>
  <si>
    <t>PA43626CBC</t>
  </si>
  <si>
    <t>Base Box King Prodormir Tela Preto (193x203x26cm)</t>
  </si>
  <si>
    <t>PA43023C77</t>
  </si>
  <si>
    <t>Base Box Queen Probel Tela (79x198x26cm)</t>
  </si>
  <si>
    <t>PA43023C83</t>
  </si>
  <si>
    <t>PA43023CS4</t>
  </si>
  <si>
    <t>PA43023CBC</t>
  </si>
  <si>
    <t>Base Box Queen Probel Life (79x198x26cm)</t>
  </si>
  <si>
    <t>PA43023CAX</t>
  </si>
  <si>
    <t>Base Box Queen Probel Loretto (79x198x26cm)</t>
  </si>
  <si>
    <t>PA43023CG2</t>
  </si>
  <si>
    <t>Base Box Queen Probel Sigma Plus (79x198x26cm)</t>
  </si>
  <si>
    <t>PA80297C45</t>
  </si>
  <si>
    <t>Base Box Queen Prodormir Jacquard Branco (79x198x26cm)</t>
  </si>
  <si>
    <t>PA72131CG2</t>
  </si>
  <si>
    <t>PA72131CBC</t>
  </si>
  <si>
    <t>PA51518</t>
  </si>
  <si>
    <t>Colchão Solteiro Espuma D23 Guarda Costas Probel 12cm Branco/Preto (88x188x12cm)</t>
  </si>
  <si>
    <t>PA53593</t>
  </si>
  <si>
    <t>Colchão Solteirão Espuma D20 Prodormir Active (100x200x12cm)</t>
  </si>
  <si>
    <t>PA91207CAB</t>
  </si>
  <si>
    <t>Base Box Solteiro Probel Suede (88x188x15cm)</t>
  </si>
  <si>
    <t>PA91207CAH</t>
  </si>
  <si>
    <t>PA72130CG2</t>
  </si>
  <si>
    <t>Base Box Beliche Probel Ecológico Tela Cinza (78x188x26cm)</t>
  </si>
  <si>
    <t>PA72130CBC</t>
  </si>
  <si>
    <t>Base Box Beliche Probel Ecológico Tela Preto (78x188x26cm)</t>
  </si>
  <si>
    <t>PA78254C56</t>
  </si>
  <si>
    <t>PA78254C60</t>
  </si>
  <si>
    <t>PA78254CA9</t>
  </si>
  <si>
    <t>PA91206CAB</t>
  </si>
  <si>
    <t>Base Box Queen Probel Suede (79x198x15cm)</t>
  </si>
  <si>
    <t>PA91206CAH</t>
  </si>
  <si>
    <t>PA78253C56</t>
  </si>
  <si>
    <t>PA78253C60</t>
  </si>
  <si>
    <t>PA78253CA9</t>
  </si>
  <si>
    <t>PA51484</t>
  </si>
  <si>
    <t>Colchão Solteiro Espuma D20 Guarda Costas Probel 12cm Branco/Preto (88x188x12cm)</t>
  </si>
  <si>
    <t>PA43624C77</t>
  </si>
  <si>
    <t>Base Box Solteiro Prodormir Tela (88x188x26cm)</t>
  </si>
  <si>
    <t>PA43624C83</t>
  </si>
  <si>
    <t>PA43624CS4</t>
  </si>
  <si>
    <t>PA43624CG2</t>
  </si>
  <si>
    <t>Base Box Solteiro Prodormir Vegas Comfort (88x188x26cm)</t>
  </si>
  <si>
    <t>PA43624CBC</t>
  </si>
  <si>
    <t>Base Box Solteiro Prodormir Tela Preto (88x188x26cm)</t>
  </si>
  <si>
    <t>PA44104CS4</t>
  </si>
  <si>
    <t>Base Box Solteiro Prodormir Standard Tela (88x188x26cm)</t>
  </si>
  <si>
    <t>PA64711</t>
  </si>
  <si>
    <t>Colchão Pet Probel PróPet Plus Grande Porte (80x100x19cm)</t>
  </si>
  <si>
    <t>PA43623C77</t>
  </si>
  <si>
    <t>Base Box Queen Prodormir Tela (79x198x26cm)</t>
  </si>
  <si>
    <t>PA43623C83</t>
  </si>
  <si>
    <t>PA43623CS4</t>
  </si>
  <si>
    <t>PA43623CG2</t>
  </si>
  <si>
    <t>Base Box Queen Prodormir Vegas Comfort (79x198x26cm)</t>
  </si>
  <si>
    <t>PA43623CBC</t>
  </si>
  <si>
    <t>Base Box Queen Prodormir Tela Preto (79x198x26cm)</t>
  </si>
  <si>
    <t>PA29615CCB</t>
  </si>
  <si>
    <t>Cabeceira Solteiro Estofada Oxford Probel Corino (11x98x123cm)</t>
  </si>
  <si>
    <t>PA29615CBZ</t>
  </si>
  <si>
    <t>PA29615C02</t>
  </si>
  <si>
    <t>PA29613CBZ</t>
  </si>
  <si>
    <t>Cabeceira Solteiro Estofada Hampton Probel Corino (14x98x122cm)</t>
  </si>
  <si>
    <t>PA29613CCB</t>
  </si>
  <si>
    <t>PA29613C02</t>
  </si>
  <si>
    <t>PA29610CBZ</t>
  </si>
  <si>
    <t>Cabeceira Solteiro Estofada New York Probel Corino (11x98x123cm)</t>
  </si>
  <si>
    <t>PA29610CCB</t>
  </si>
  <si>
    <t>PA29610C02</t>
  </si>
  <si>
    <t>PA53592</t>
  </si>
  <si>
    <t>Colchão Solteiro Espuma D20 Prodormir Active (88x188x12cm)</t>
  </si>
  <si>
    <t>PA64955</t>
  </si>
  <si>
    <t>Colchão Pet ProDormir PetSleep Plus Grande Porte (80x100x19cm)</t>
  </si>
  <si>
    <t>PA64708</t>
  </si>
  <si>
    <t>Colchão Pet PróPet Probel Classic Grande Porte (80x100x19cm)</t>
  </si>
  <si>
    <t>PAA2678</t>
  </si>
  <si>
    <t>Travesseiro Probel Zone Espuma HR Gel D40 Firme 14cm (alt)</t>
  </si>
  <si>
    <t>PA53591</t>
  </si>
  <si>
    <t>Colchão Beliche Espuma D20 Prodormir Active (78x188x12cm)</t>
  </si>
  <si>
    <t>PAA2674</t>
  </si>
  <si>
    <t>Travesseiro Nasa Probel Plenitude Visco Gel D40 Firme 14cm</t>
  </si>
  <si>
    <t>PA64714</t>
  </si>
  <si>
    <t>Colchão Pet Probel PróPet Foam Grande Porte (80x100x10cm)</t>
  </si>
  <si>
    <t>PAA2677</t>
  </si>
  <si>
    <t>Travesseiro Probel Zone Espuma HR Gel D40 Firme 12cm (alt)</t>
  </si>
  <si>
    <t>PAA2673</t>
  </si>
  <si>
    <t>Travesseiro Nasa Probel Plenitude Visco Gel D40 Firme 12cm</t>
  </si>
  <si>
    <t>PA64958</t>
  </si>
  <si>
    <t>Colchão Pet ProDormir Pet Sleep Foam Grande Porte (80x100x10cm)</t>
  </si>
  <si>
    <t>PA64707</t>
  </si>
  <si>
    <t>Colchão Pet PróPet Probel Classic Médio Porte (55x75x19cm)</t>
  </si>
  <si>
    <t>PAA2676</t>
  </si>
  <si>
    <t>Travesseiro Nasa Probel Paz Viscoelástico D30 Firme 14cm</t>
  </si>
  <si>
    <t>PA64710</t>
  </si>
  <si>
    <t>Colchão Pet Probel PróPet Plus Médio Porte (55x75x19cm)</t>
  </si>
  <si>
    <t>PA64713</t>
  </si>
  <si>
    <t>Colchão Pet Probel PróPet Foam Médio Porte (55x75x10cm)</t>
  </si>
  <si>
    <t>PAA2675</t>
  </si>
  <si>
    <t>Travesseiro Nasa Probel Paz Viscoelástico D30 Firme 12cm</t>
  </si>
  <si>
    <t>PA64706</t>
  </si>
  <si>
    <t>Colchão Pet PróPet Probel Classic Pequeno Porte (55x45x19cm)</t>
  </si>
  <si>
    <t>PA64954</t>
  </si>
  <si>
    <t>Colchão Pet ProDormir PetSleep Plus Médio Porte (55x75x19cm)</t>
  </si>
  <si>
    <t>PA64957</t>
  </si>
  <si>
    <t>Colchão Pet ProDormir Pet Sleep Foam Médio Porte (55x75x10cm)</t>
  </si>
  <si>
    <t>PAA2687</t>
  </si>
  <si>
    <t>Travesseiro de Corpo Gigante Probel Revo 1,30m (Xuxão)</t>
  </si>
  <si>
    <t>PAA2682</t>
  </si>
  <si>
    <t>Travesseiro Probel Realizações Hiper Soft Extra Macio 14cm</t>
  </si>
  <si>
    <t>PAA2680</t>
  </si>
  <si>
    <t>Travesseiro Probel Prosperidade Espuma D24 Soft Macio 14cm</t>
  </si>
  <si>
    <t>PA64712</t>
  </si>
  <si>
    <t>Colchão Pet Probel PróPet Foam Pequeno Porte (55x45x10cm)</t>
  </si>
  <si>
    <t>PAA2847</t>
  </si>
  <si>
    <t>Travesseiro Encosto Triagular Probel Chronos Multi Alveolada</t>
  </si>
  <si>
    <t>PAA2849</t>
  </si>
  <si>
    <t>Travesseiro Encosto Triagular Probel Chronos Multiuso</t>
  </si>
  <si>
    <t>PAA2681</t>
  </si>
  <si>
    <t>Travesseiro Probel Realizações Hiper Soft Extra Macio 12cm</t>
  </si>
  <si>
    <t>PA64709</t>
  </si>
  <si>
    <t>Colchão Pet Probel PróPet Plus Pequeno Porte (55x45x19cm)</t>
  </si>
  <si>
    <t>PAA2679</t>
  </si>
  <si>
    <t>Travesseiro Probel Prosperidade Espuma D24 Soft Macio 12cm</t>
  </si>
  <si>
    <t>PA64956</t>
  </si>
  <si>
    <t>Colchão Pet ProDormir Pet Sleep Foam Pequeno Porte (45x55x10cm)</t>
  </si>
  <si>
    <t>PA64953</t>
  </si>
  <si>
    <t>Colchão Pet ProDormir PetSleep Plus Pequeno Porte (45x55x19cm)</t>
  </si>
  <si>
    <t>PAA2683</t>
  </si>
  <si>
    <t>Travesseiro Probel Aurora Fibra Siliconada Firme 14cm (alt)</t>
  </si>
  <si>
    <t>PAA2789</t>
  </si>
  <si>
    <t>Travesseiro Probel Life Espuma D15 Firme 14cm (alt)</t>
  </si>
  <si>
    <t>PAA2686</t>
  </si>
  <si>
    <t>Travesseiro Probel Life Espuma D15 Firme 12cm (alt)</t>
  </si>
  <si>
    <t>PAA2684</t>
  </si>
  <si>
    <t>Travesseiro Probel Conect Comfort Fibra Siliconada Firme</t>
  </si>
  <si>
    <t>PAA2685</t>
  </si>
  <si>
    <t>Travesseiro Probel Elos Flocos de Espuma Macio 12cm (alt)</t>
  </si>
  <si>
    <t>Prodormir Vegas Comfort Colchão Beliche (188x78cm) Mola Ensacada</t>
  </si>
  <si>
    <t>Colchão Casal Mola Ensacada Probel Collin Cinza</t>
  </si>
  <si>
    <t xml:space="preserve">Colchão Solteiro Espuma D28 Guarda Costas Probel 14cm </t>
  </si>
  <si>
    <t>Colchão Casal Espuma D33 Próintense Probel 24cm Bege/marrom</t>
  </si>
  <si>
    <t>Colchão Casal Mola Ensacada Probel Excede Premium Cor Branco</t>
  </si>
  <si>
    <t>Colchão Solteiro Mola Ensacada Probel Bari</t>
  </si>
  <si>
    <t>MLB6808645580</t>
  </si>
  <si>
    <t>MLB6808717436</t>
  </si>
  <si>
    <t>PAA8728</t>
  </si>
  <si>
    <t>MLB4696018753</t>
  </si>
  <si>
    <t>MLB4696018755</t>
  </si>
  <si>
    <t>MLB4693067073</t>
  </si>
  <si>
    <t>MLB4695831309</t>
  </si>
  <si>
    <t>PAA8627</t>
  </si>
  <si>
    <t>MLB4695880591</t>
  </si>
  <si>
    <t>PAA8824</t>
  </si>
  <si>
    <t>MLB4696018697</t>
  </si>
  <si>
    <t>MLB4696018835</t>
  </si>
  <si>
    <t>MLB4696018861</t>
  </si>
  <si>
    <t>MLB4696018905</t>
  </si>
  <si>
    <t>MLB4731797891</t>
  </si>
  <si>
    <t>PAA8643</t>
  </si>
  <si>
    <t>MLB4731822293</t>
  </si>
  <si>
    <t>PAA8642</t>
  </si>
  <si>
    <t>MLB4778272569</t>
  </si>
  <si>
    <t>PAB0008</t>
  </si>
  <si>
    <t>MLB6802075382</t>
  </si>
  <si>
    <t>PAA8631</t>
  </si>
  <si>
    <t>MLB6808717242</t>
  </si>
  <si>
    <t>PAA8725</t>
  </si>
  <si>
    <t>MLB6808717554</t>
  </si>
  <si>
    <t>PAA8820</t>
  </si>
  <si>
    <t>Colchão Queen Mola Ensacada Probel Collin Branco/cinza</t>
  </si>
  <si>
    <t>MLB6809245634</t>
  </si>
  <si>
    <t>MLB6809246208</t>
  </si>
  <si>
    <t>MLB6809277260</t>
  </si>
  <si>
    <t>MLB6809278908</t>
  </si>
  <si>
    <t>MLB7124252680</t>
  </si>
  <si>
    <t>Comissão Real</t>
  </si>
  <si>
    <t>Comissão real sem limite de 4,5%</t>
  </si>
  <si>
    <t>Aprovação (com tolerancia de 5%)</t>
  </si>
  <si>
    <t>MLB6808658460</t>
  </si>
  <si>
    <t>MLB4778276509</t>
  </si>
  <si>
    <t>MLB4731822453</t>
  </si>
  <si>
    <t>MLB6888519688</t>
  </si>
  <si>
    <t>MLB6808636944</t>
  </si>
  <si>
    <t>MLB6808615938</t>
  </si>
  <si>
    <t>MLB4695880605</t>
  </si>
  <si>
    <t>MLB4731835191</t>
  </si>
  <si>
    <t>MLB4695851761</t>
  </si>
  <si>
    <t>MLB6808658372</t>
  </si>
  <si>
    <t>MLB6808645782</t>
  </si>
  <si>
    <t>PAA8639</t>
  </si>
  <si>
    <t>PAA8823</t>
  </si>
  <si>
    <t>PAB0007</t>
  </si>
  <si>
    <t>Colchão Solteiro Mola Ensacada Probel Sigma Plus Branco</t>
  </si>
  <si>
    <t>Colchão Solteiro Espuma D23 Guarda Costas Probel 88x188x12</t>
  </si>
  <si>
    <t>Colchão Queen Mola Probel Roma Cinza</t>
  </si>
  <si>
    <t>MLB4642555389</t>
  </si>
  <si>
    <t>MLB4677371327</t>
  </si>
  <si>
    <t>MLB4677371343</t>
  </si>
  <si>
    <t>MLB4693067193</t>
  </si>
  <si>
    <t>MLB4693155039</t>
  </si>
  <si>
    <t>MLB4693155273</t>
  </si>
  <si>
    <t>MLB4693174815</t>
  </si>
  <si>
    <t>MLB4693399701</t>
  </si>
  <si>
    <t>MLB4693506179</t>
  </si>
  <si>
    <t>MLB4693506893</t>
  </si>
  <si>
    <t>MLB4693507115</t>
  </si>
  <si>
    <t>MLB4693507981</t>
  </si>
  <si>
    <t>MLB4693508295</t>
  </si>
  <si>
    <t>MLB4693508741</t>
  </si>
  <si>
    <t>MLB4693513277</t>
  </si>
  <si>
    <t>MLB4693513787</t>
  </si>
  <si>
    <t>MLB4693514567</t>
  </si>
  <si>
    <t>MLB4693514955</t>
  </si>
  <si>
    <t>MLB4693515429</t>
  </si>
  <si>
    <t>MLB4693526241</t>
  </si>
  <si>
    <t>MLB4693526421</t>
  </si>
  <si>
    <t>MLB4693526547</t>
  </si>
  <si>
    <t>MLB4694598387</t>
  </si>
  <si>
    <t>MLB4840119607</t>
  </si>
  <si>
    <t>MLB4840120093</t>
  </si>
  <si>
    <t>MLB5005544463</t>
  </si>
  <si>
    <t>MLB5005557179</t>
  </si>
  <si>
    <t>MLB6698162648</t>
  </si>
  <si>
    <t>MLB6698188452</t>
  </si>
  <si>
    <t>MLB6698344018</t>
  </si>
  <si>
    <t>MLB6768907254</t>
  </si>
  <si>
    <t>MLB6802076156</t>
  </si>
  <si>
    <t>MLB6802090486</t>
  </si>
  <si>
    <t>MLB6802090556</t>
  </si>
  <si>
    <t>MLB6802114764</t>
  </si>
  <si>
    <t>MLB6802290516</t>
  </si>
  <si>
    <t>MLB6802315578</t>
  </si>
  <si>
    <t>MLB6802566004</t>
  </si>
  <si>
    <t>MLB6802613884</t>
  </si>
  <si>
    <t>MLB6802664422</t>
  </si>
  <si>
    <t>MLB6802769748</t>
  </si>
  <si>
    <t>MLB6802770380</t>
  </si>
  <si>
    <t>MLB6802771374</t>
  </si>
  <si>
    <t>MLB6802771550</t>
  </si>
  <si>
    <t>MLB6809245178</t>
  </si>
  <si>
    <t>MLB6809245562</t>
  </si>
  <si>
    <t>MLB6809246146</t>
  </si>
  <si>
    <t>MLB6809246148</t>
  </si>
  <si>
    <t>MLB6809275670</t>
  </si>
  <si>
    <t>MLB6809275998</t>
  </si>
  <si>
    <t>MLB6809276378</t>
  </si>
  <si>
    <t>MLB6809278162</t>
  </si>
  <si>
    <t>MLB6809278164</t>
  </si>
  <si>
    <t>MLB6809278682</t>
  </si>
  <si>
    <t>MLB6809278852</t>
  </si>
  <si>
    <t>MLB6809279578</t>
  </si>
  <si>
    <t>MLB7124251820</t>
  </si>
  <si>
    <t>MLB7190282088</t>
  </si>
  <si>
    <t>MLB7190901890</t>
  </si>
  <si>
    <t>MLB7226100644</t>
  </si>
  <si>
    <t>MLB7226100646</t>
  </si>
  <si>
    <t>Conjunto Box Solteiro Mola Ensacada Probel Excede Premium  Branco</t>
  </si>
  <si>
    <t>CANDIDATE-MLB3473649173-77071962499</t>
  </si>
  <si>
    <t xml:space="preserve">Colchão Solteiro Mola Ensacada Probel Excede Premium </t>
  </si>
  <si>
    <t>CANDIDATE-MLB3473661733-77073956323</t>
  </si>
  <si>
    <t>Conjunto Box Queen Mola Ensacada Probel Excede Premium Cor Branco</t>
  </si>
  <si>
    <t>CANDIDATE-MLB3473786083-77072014305</t>
  </si>
  <si>
    <t>Colchão Queen Mola Ensacada Probel Bari</t>
  </si>
  <si>
    <t>CANDIDATE-MLB3474507063-77071962584</t>
  </si>
  <si>
    <t xml:space="preserve">Colchão Solteiro Mola Ensacada Probel Turim </t>
  </si>
  <si>
    <t>CANDIDATE-MLB3474545447-77073633168</t>
  </si>
  <si>
    <t>Colchão Casal Mola Probel Siena</t>
  </si>
  <si>
    <t>CANDIDATE-MLB3474545857-77071234818</t>
  </si>
  <si>
    <t>Colchão Queen Mola Probel Siena</t>
  </si>
  <si>
    <t>CANDIDATE-MLB3474545921-77071237813</t>
  </si>
  <si>
    <t>Conjunto Box Casal Mola Ensacada Probel Turim  Branco</t>
  </si>
  <si>
    <t>CANDIDATE-MLB3474583509-77073912242</t>
  </si>
  <si>
    <t xml:space="preserve">Colchão Queen Mola Ensacada Probel Turim </t>
  </si>
  <si>
    <t>CANDIDATE-MLB3474584357-77071258647</t>
  </si>
  <si>
    <t>CANDIDATE-MLB3482157617-77072334467</t>
  </si>
  <si>
    <t>CANDIDATE-MLB3482170647-77073598995</t>
  </si>
  <si>
    <t>Colchão King Mola Probel Prohotel Casa</t>
  </si>
  <si>
    <t>CANDIDATE-MLB3482209147-77071679690</t>
  </si>
  <si>
    <t>Colchão Solteiro Mola Probel Siena</t>
  </si>
  <si>
    <t>CANDIDATE-MLB3504947943-77074012379</t>
  </si>
  <si>
    <t>Conjunto Box Casal Mola Ensacada Probel Bari Branco</t>
  </si>
  <si>
    <t>CANDIDATE-MLB3504972853-77071813108</t>
  </si>
  <si>
    <t>Conjunto Box Queen Mola Probel Siena Branco</t>
  </si>
  <si>
    <t>CANDIDATE-MLB3507036477-77071570893</t>
  </si>
  <si>
    <t>CANDIDATE-MLB3509789731-77071570874</t>
  </si>
  <si>
    <t>Conjunto Box Solteiro Mola Ensacada Probel Bari Branco</t>
  </si>
  <si>
    <t>CANDIDATE-MLB3521713879-77073902796</t>
  </si>
  <si>
    <t>CANDIDATE-MLB3523015077-77073912223</t>
  </si>
  <si>
    <t>CANDIDATE-MLB3523015145-77072260020</t>
  </si>
  <si>
    <t>Conjunto Box Queen Mola Ensacada Probel Turim Branco</t>
  </si>
  <si>
    <t>CANDIDATE-MLB3537447705-77071570930</t>
  </si>
  <si>
    <t>Colchão Queen Mola Ensacada Probel Turim</t>
  </si>
  <si>
    <t>CANDIDATE-MLB3538529373-77073964471</t>
  </si>
  <si>
    <t>Colchão Viúva Mola Probel Guardian</t>
  </si>
  <si>
    <t>CANDIDATE-MLB3542974939-77073969940</t>
  </si>
  <si>
    <t>CANDIDATE-MLB3543015545-77073507497</t>
  </si>
  <si>
    <t>Colchão Mola Ensacada Prodormir Vegas Springs Comfort Queen</t>
  </si>
  <si>
    <t>CANDIDATE-MLB3544962893-77073907896</t>
  </si>
  <si>
    <t>Colchão King Mola Ensacada Probel Sigma Plus</t>
  </si>
  <si>
    <t>CANDIDATE-MLB3548950907-77071584223</t>
  </si>
  <si>
    <t>CANDIDATE-MLB3550443351-77071071900</t>
  </si>
  <si>
    <t>CANDIDATE-MLB3551550249-77071258694</t>
  </si>
  <si>
    <t>Colchão Solteiro Prodormir Sensitive Ômega Com Molas Prolastic E Euro Pillow Branco</t>
  </si>
  <si>
    <t>CANDIDATE-MLB3551572499-77071612755</t>
  </si>
  <si>
    <t>Colchão Solteiro Espuma Prodormir Tech1500</t>
  </si>
  <si>
    <t>CANDIDATE-MLB3551585553-77074026805</t>
  </si>
  <si>
    <t>Colchão Casal Espuma Prodormir Tech1500 Branco</t>
  </si>
  <si>
    <t>CANDIDATE-MLB3551598189-77073708046</t>
  </si>
  <si>
    <t>Colchão Casal Mola Probel Life Branco</t>
  </si>
  <si>
    <t>CANDIDATE-MLB3556253923-77073562003</t>
  </si>
  <si>
    <t>CANDIDATE-MLB3556277387-77071063204</t>
  </si>
  <si>
    <t>CANDIDATE-MLB3556422353-77074008467</t>
  </si>
  <si>
    <t>Conjunto Box Solteiro Mola Ensacada Prodormir Vegas Comfort Branco</t>
  </si>
  <si>
    <t>CANDIDATE-MLB3569812971-77072387524</t>
  </si>
  <si>
    <t>CANDIDATE-MLB3569840133-77071698353</t>
  </si>
  <si>
    <t>Conjunto Box Viúva Mola Ensacada Probel Sigma Plus Branco</t>
  </si>
  <si>
    <t>CANDIDATE-MLB3569859257-77071203618</t>
  </si>
  <si>
    <t>Colchão Casal Espuma Ad Resistence Probel 28cm Branco/cinza</t>
  </si>
  <si>
    <t>CANDIDATE-MLB3570548313-77071141586</t>
  </si>
  <si>
    <t>CANDIDATE-MLB3570573513-77072009891</t>
  </si>
  <si>
    <t>Conj Box Mola Ensac. Prodormir Vegas Springs Casal 138x46cm Cor Cinza</t>
  </si>
  <si>
    <t>CANDIDATE-MLB3570610029-77071667477</t>
  </si>
  <si>
    <t>Cama Box Solteiro Mola Ensacada Prodormir Vegas Springs 88cm Cinza</t>
  </si>
  <si>
    <t>CANDIDATE-MLB3570611105-77071569427</t>
  </si>
  <si>
    <t>Conjunto Box Solteiro Mola Ensacada Probel Turim Branco</t>
  </si>
  <si>
    <t>CANDIDATE-MLB3576596273-77071148967</t>
  </si>
  <si>
    <t>CANDIDATE-MLB3580216353-77072069744</t>
  </si>
  <si>
    <t>Colchão De Mola Probel Excede Premium Excede Premium Solteiro Branco</t>
  </si>
  <si>
    <t>CANDIDATE-MLB3580853983-77073559192</t>
  </si>
  <si>
    <t>CANDIDATE-MLB3588170741-77071280758</t>
  </si>
  <si>
    <t>Conjunto Box Solteiro Mola Ensacada Probel Collin Branco</t>
  </si>
  <si>
    <t>CANDIDATE-MLB3593416973-77073509369</t>
  </si>
  <si>
    <t>Conjunto Box Solteiro Mola Ensacada Probel Sigma Plus Branco</t>
  </si>
  <si>
    <t>CANDIDATE-MLB3593456033-77072647128</t>
  </si>
  <si>
    <t>Colchão Solteiro Mola Ensacada Probel Collin Cinza Branco/cinza</t>
  </si>
  <si>
    <t>CANDIDATE-MLB3595836489-77071729683</t>
  </si>
  <si>
    <t>Colchão Queen Espuma D33 Próintense Probel 24cm Bege/marrom</t>
  </si>
  <si>
    <t>CANDIDATE-MLB3595845505-77071962635</t>
  </si>
  <si>
    <t>CANDIDATE-MLB3595845531-77073562008</t>
  </si>
  <si>
    <t>CANDIDATE-MLB3595858305-77071679544</t>
  </si>
  <si>
    <t>Colchão Casal Espuma D28 Prómiddle Probel 24cm Branco/preto</t>
  </si>
  <si>
    <t>CANDIDATE-MLB3595883579-77073634803</t>
  </si>
  <si>
    <t>Colchão Casal Probel Guarda Costas Pró Intense D33 Com Euro Pillow</t>
  </si>
  <si>
    <t>CANDIDATE-MLB3595895555-77071962907</t>
  </si>
  <si>
    <t>Conj Box Mola Ensac. Prodormir Vegas Springs Queen 158x46cm Cor Cinza</t>
  </si>
  <si>
    <t>CANDIDATE-MLB3595895575-77071765952</t>
  </si>
  <si>
    <t>Colchão Queen Pelmex Platinum De Espuma D33 Sem Molas</t>
  </si>
  <si>
    <t>CANDIDATE-MLB3595899773-77071181584</t>
  </si>
  <si>
    <t>Conjunto Box Viúva Mola Ensacada Probel Turim Branco</t>
  </si>
  <si>
    <t>CANDIDATE-MLB3595901079-77071962357</t>
  </si>
  <si>
    <t>CANDIDATE-MLB3595908405-77073978356</t>
  </si>
  <si>
    <t>CANDIDATE-MLB3595908497-77071962939</t>
  </si>
  <si>
    <t>CANDIDATE-MLB3595912439-77074014981</t>
  </si>
  <si>
    <t>CANDIDATE-MLB3595927625-77071570868</t>
  </si>
  <si>
    <t>CANDIDATE-MLB3595933755-77074007048</t>
  </si>
  <si>
    <t>CANDIDATE-MLB3595937931-77073638506</t>
  </si>
  <si>
    <t>CANDIDATE-MLB3617991437-77071224278</t>
  </si>
  <si>
    <t>CANDIDATE-MLB3618054039-77071147053</t>
  </si>
  <si>
    <t>Conjunto Box Viúva Mola Ensacada Probel Excede Premium Cor Branco</t>
  </si>
  <si>
    <t>CANDIDATE-MLB3618615875-77071572654</t>
  </si>
  <si>
    <t>Colchão Casal Espuma D45 Guarda Costas Probel 20cm</t>
  </si>
  <si>
    <t>CANDIDATE-MLB3633571195-77073559249</t>
  </si>
  <si>
    <t>Colchão Casal Mola Ensacada Probel Turim Branco</t>
  </si>
  <si>
    <t>CANDIDATE-MLB3641032759-77071095278</t>
  </si>
  <si>
    <t>Conjunto Box Casal Mola Probel Siena Branco</t>
  </si>
  <si>
    <t>CANDIDATE-MLB3647966463-77071221667</t>
  </si>
  <si>
    <t>CANDIDATE-MLB3671718537-77071164531</t>
  </si>
  <si>
    <t>CANDIDATE-MLB3671801609-77074007869</t>
  </si>
  <si>
    <t>Colchão Beliche Mola Probel Modern</t>
  </si>
  <si>
    <t>CANDIDATE-MLB3721682233-77071673267</t>
  </si>
  <si>
    <t>CANDIDATE-MLB3732100219-77072060349</t>
  </si>
  <si>
    <t>Conjunto Box Queen Mola Ensacada Probel Cairo Ultra Gel Branco</t>
  </si>
  <si>
    <t>CANDIDATE-MLB3732198897-77071149664</t>
  </si>
  <si>
    <t>Colchão Queen Mola Ensacada Prodormir Akira</t>
  </si>
  <si>
    <t>CANDIDATE-MLB3756266483-77071733556</t>
  </si>
  <si>
    <t>Conjunto Box King Probel Siena Molas Com Pillow Top E Base Dividida Branco</t>
  </si>
  <si>
    <t>CANDIDATE-MLB3871324883-77071633324</t>
  </si>
  <si>
    <t>Colchão King Espuma D45 Guarda Costas Probel 193x203x20cm</t>
  </si>
  <si>
    <t>CANDIDATE-MLB3902376351-77071204018</t>
  </si>
  <si>
    <t>CANDIDATE-MLB3902395677-77071149635</t>
  </si>
  <si>
    <t>CANDIDATE-MLB3902407539-77073648909</t>
  </si>
  <si>
    <t>CANDIDATE-MLB3902407845-77073562015</t>
  </si>
  <si>
    <t>Colchão Queen Mola Ensacada Probel Elegancy Springs</t>
  </si>
  <si>
    <t>CANDIDATE-MLB3902408271-77072260934</t>
  </si>
  <si>
    <t>CANDIDATE-MLB3902425067-77071183400</t>
  </si>
  <si>
    <t>CANDIDATE-MLB3902435363-77071116826</t>
  </si>
  <si>
    <t>Colchão Casal Espuma D23 Super Resistente Probel 138x188x14</t>
  </si>
  <si>
    <t>CANDIDATE-MLB3912222983-77071120629</t>
  </si>
  <si>
    <t>Colchão Casal Espuma Ad Mega Firme Probel 138x188x22</t>
  </si>
  <si>
    <t>CANDIDATE-MLB3912235663-77071961655</t>
  </si>
  <si>
    <t>Conjunto Box King Mola Ensacada Probel Excede Premium Cor Branco</t>
  </si>
  <si>
    <t>CANDIDATE-MLB3922936661-77073913172</t>
  </si>
  <si>
    <t>CANDIDATE-MLB3980137463-77071075092</t>
  </si>
  <si>
    <t>Colchão Queen Espuma Ad Mega Firme Probel 22cm Bege/marrom</t>
  </si>
  <si>
    <t>CANDIDATE-MLB3982045865-77073969935</t>
  </si>
  <si>
    <t>Colchão Queen Mola Ensacada Probel Passione Bambu Branco</t>
  </si>
  <si>
    <t>CANDIDATE-MLB3982059171-77071064168</t>
  </si>
  <si>
    <t>CANDIDATE-MLB4006746823-77071733287</t>
  </si>
  <si>
    <t>CANDIDATE-MLB4019821965-77073510360</t>
  </si>
  <si>
    <t>CANDIDATE-MLB4058746473-77071224051</t>
  </si>
  <si>
    <t>Colchão Solteiro Espuma D33 Prohotel Probel 88x188x17</t>
  </si>
  <si>
    <t>CANDIDATE-MLB4060837947-77072444954</t>
  </si>
  <si>
    <t xml:space="preserve">Colchão Queen Mola Ensacada Probel Excede Premium </t>
  </si>
  <si>
    <t>CANDIDATE-MLB4062968450-77072071781</t>
  </si>
  <si>
    <t>CANDIDATE-MLB4063028548-77073940351</t>
  </si>
  <si>
    <t>CANDIDATE-MLB4063045912-77073559126</t>
  </si>
  <si>
    <t>Conjunto Box Queen Mola Ensacada Probel Excede Premium  Branco</t>
  </si>
  <si>
    <t>CANDIDATE-MLB4063066992-77071754989</t>
  </si>
  <si>
    <t xml:space="preserve">Colchão King Mola Ensacada Probel Excede Premium </t>
  </si>
  <si>
    <t>CANDIDATE-MLB4063085060-77071966971</t>
  </si>
  <si>
    <t xml:space="preserve">Colchão Casal Mola Ensacada Probel Excede Premium </t>
  </si>
  <si>
    <t>CANDIDATE-MLB4063097668-77071609276</t>
  </si>
  <si>
    <t>CANDIDATE-MLB4069008265-77072260992</t>
  </si>
  <si>
    <t>Colchão Solteiro Espuma Ad Resistence Probel 88x188x28 Branco</t>
  </si>
  <si>
    <t>CANDIDATE-MLB4085707863-77071148231</t>
  </si>
  <si>
    <t>CANDIDATE-MLB4111546529-77071962288</t>
  </si>
  <si>
    <t>CANDIDATE-MLB4111791123-77071634672</t>
  </si>
  <si>
    <t>CANDIDATE-MLB4112473310-77071060187</t>
  </si>
  <si>
    <t>CANDIDATE-MLB4130288018-77072011591</t>
  </si>
  <si>
    <t>Conjunto Box Viúva Mola Ensacada Probel Excede Premium Branco</t>
  </si>
  <si>
    <t>CANDIDATE-MLB4130288024-77071964973</t>
  </si>
  <si>
    <t>Colchão Casal Mola Ensacada Probel Bari</t>
  </si>
  <si>
    <t>CANDIDATE-MLB4130346898-77072015438</t>
  </si>
  <si>
    <t>CANDIDATE-MLB4130372982-77071572576</t>
  </si>
  <si>
    <t>Conjunto Box King Mola Ensacada Probel Excede Premium  Branco</t>
  </si>
  <si>
    <t>CANDIDATE-MLB4130410220-77073507452</t>
  </si>
  <si>
    <t>Colchão Casal Mola Ensacada Probel Cairo Ultra Gel</t>
  </si>
  <si>
    <t>CANDIDATE-MLB4130660210-77071104307</t>
  </si>
  <si>
    <t>Conjunto Box King Mola Ensacada Probel Bari Branco</t>
  </si>
  <si>
    <t>CANDIDATE-MLB4144905284-77071067654</t>
  </si>
  <si>
    <t>Colchão Casal Mola Ensacada Probel Cairo Ultra Gel Cor Branco</t>
  </si>
  <si>
    <t>CANDIDATE-MLB4167149168-77073943951</t>
  </si>
  <si>
    <t>Conjunto Box Queen Mola Ensacada Probel Bari Branco</t>
  </si>
  <si>
    <t>CANDIDATE-MLB4217364892-77071591608</t>
  </si>
  <si>
    <t>Conjunto Box Queen Mola Ensacada Probel Munique Branco</t>
  </si>
  <si>
    <t>CANDIDATE-MLB4217568540-77072343984</t>
  </si>
  <si>
    <t>CANDIDATE-MLB4218390202-77071181720</t>
  </si>
  <si>
    <t>CANDIDATE-MLB4218390214-77073510353</t>
  </si>
  <si>
    <t>Conjunto Box King Mola Ensacada Probel Bari</t>
  </si>
  <si>
    <t>CANDIDATE-MLB4237823882-77071633254</t>
  </si>
  <si>
    <t>CANDIDATE-MLB4240665500-77071205390</t>
  </si>
  <si>
    <t>CANDIDATE-MLB4240739156-77071080147</t>
  </si>
  <si>
    <t>Colchão Casal Mola Ensacada Probel Versailles Ultra Gel</t>
  </si>
  <si>
    <t>CANDIDATE-MLB4240741720-77073934187</t>
  </si>
  <si>
    <t>CANDIDATE-MLB4240778642-77072038829</t>
  </si>
  <si>
    <t>Colchão King Mola Probel Prohotel Casa Branco</t>
  </si>
  <si>
    <t>CANDIDATE-MLB4241322736-77073657038</t>
  </si>
  <si>
    <t>CANDIDATE-MLB4263626547-77073619806</t>
  </si>
  <si>
    <t>Colchão Mola Probel Loretto Casal (138x188x28cm) Ce1 Cor Marrom-escuro</t>
  </si>
  <si>
    <t>CANDIDATE-MLB4263803583-77071733291</t>
  </si>
  <si>
    <t>CANDIDATE-MLB4263985355-77072448730</t>
  </si>
  <si>
    <t>CANDIDATE-MLB4264287777-77073943933</t>
  </si>
  <si>
    <t>CANDIDATE-MLB4264624677-77073934140</t>
  </si>
  <si>
    <t>Colchão Queen Probel Prómiddle De Espuma D28 Com Euro Pillow</t>
  </si>
  <si>
    <t>CANDIDATE-MLB4266080051-77071609243</t>
  </si>
  <si>
    <t>CANDIDATE-MLB4297672706-77072255924</t>
  </si>
  <si>
    <t>Colchão Viúva Mola Ensacada Probel Sigma Plus</t>
  </si>
  <si>
    <t>CANDIDATE-MLB4297684784-77071083775</t>
  </si>
  <si>
    <t>Colchão Casal Mola Probel Volare Luxo</t>
  </si>
  <si>
    <t>CANDIDATE-MLB4297685932-77071609256</t>
  </si>
  <si>
    <t>CANDIDATE-MLB4297697982-77072014021</t>
  </si>
  <si>
    <t>CANDIDATE-MLB4297707532-77071176271</t>
  </si>
  <si>
    <t>CANDIDATE-MLB4297737720-77071228182</t>
  </si>
  <si>
    <t>Colchão Casal Mola Ensacada Probel Sigma Plus</t>
  </si>
  <si>
    <t>CANDIDATE-MLB4297781216-77072253770</t>
  </si>
  <si>
    <t>Colchão Mola Probel Loretto Queen (158x198x28cm) Ce1 Cor Marrom-escuro</t>
  </si>
  <si>
    <t>CANDIDATE-MLB4303878982-77073907346</t>
  </si>
  <si>
    <t>CANDIDATE-MLB4303965676-77071585804</t>
  </si>
  <si>
    <t>Colchão Queen Mola Probel Life Branco</t>
  </si>
  <si>
    <t>CANDIDATE-MLB4313703504-77072435757</t>
  </si>
  <si>
    <t>CANDIDATE-MLB4321329538-77073508680</t>
  </si>
  <si>
    <t>CANDIDATE-MLB4321336468-77073648907</t>
  </si>
  <si>
    <t>Colchão Casal Prodormir Sensitive Ômega, Molas Prolastic E Euro Pillow Firme</t>
  </si>
  <si>
    <t>CANDIDATE-MLB4334066948-77073506545</t>
  </si>
  <si>
    <t>Conjunto Box Casal Mola Ensacada Probel Turim Branco</t>
  </si>
  <si>
    <t>CANDIDATE-MLB4343815188-77071965056</t>
  </si>
  <si>
    <t>CANDIDATE-MLB4343853346-77074095520</t>
  </si>
  <si>
    <t>CANDIDATE-MLB4364482916-77073939950</t>
  </si>
  <si>
    <t>CANDIDATE-MLB4364512198-77073941039</t>
  </si>
  <si>
    <t>Colchão King Mola Probel Volare Luxo Branco</t>
  </si>
  <si>
    <t>CANDIDATE-MLB4364512888-77073638453</t>
  </si>
  <si>
    <t>CANDIDATE-MLB4373956568-77072027515</t>
  </si>
  <si>
    <t>Colchão Solteiro Espuma D33 Pelmex Platinum 71kg/m³ Cinza/preto</t>
  </si>
  <si>
    <t>CANDIDATE-MLB4374089388-77072008023</t>
  </si>
  <si>
    <t>CANDIDATE-MLB4376507630-77071065628</t>
  </si>
  <si>
    <t>Colchão Solteiro Mola Ensacada Probel Collin</t>
  </si>
  <si>
    <t>CANDIDATE-MLB4389552566-77072429287</t>
  </si>
  <si>
    <t>CANDIDATE-MLB4389647198-77073506532</t>
  </si>
  <si>
    <t>CANDIDATE-MLB4424908820-77072020403</t>
  </si>
  <si>
    <t>Colchão Casal Mola Ensacada Probel Passione Bambu Branco</t>
  </si>
  <si>
    <t>CANDIDATE-MLB4443041318-77072069769</t>
  </si>
  <si>
    <t>Conjunto Box Solteiro Mola Probel Siena Branco</t>
  </si>
  <si>
    <t>CANDIDATE-MLB4466308452-77071089002</t>
  </si>
  <si>
    <t>CANDIDATE-MLB4501394134-77073965312</t>
  </si>
  <si>
    <t>CANDIDATE-MLB4501463346-77071146943</t>
  </si>
  <si>
    <t>CANDIDATE-MLB4501463704-77073620281</t>
  </si>
  <si>
    <t>CANDIDATE-MLB4501465748-77071149967</t>
  </si>
  <si>
    <t>CANDIDATE-MLB4501465808-77071147661</t>
  </si>
  <si>
    <t>CANDIDATE-MLB4501476014-77073653697</t>
  </si>
  <si>
    <t>Colchão Casal Mola Probel Volare Luxo Branco</t>
  </si>
  <si>
    <t>CANDIDATE-MLB4501481134-77071569483</t>
  </si>
  <si>
    <t>Conjunto Box Casal Mola Ensacada Probel Collin Branco Cinza</t>
  </si>
  <si>
    <t>CANDIDATE-MLB4501482226-77071633209</t>
  </si>
  <si>
    <t>Colchão King Pelmex Platinum De Espuma D33 Com 20 Cm E Antiácaro Cinza</t>
  </si>
  <si>
    <t>CANDIDATE-MLB4501497272-77071227324</t>
  </si>
  <si>
    <t>CANDIDATE-MLB4501503920-77071611287</t>
  </si>
  <si>
    <t>CANDIDATE-MLB4501510230-77073612795</t>
  </si>
  <si>
    <t>CANDIDATE-MLB4501521106-77073510207</t>
  </si>
  <si>
    <t>CANDIDATE-MLB4501526094-77073510429</t>
  </si>
  <si>
    <t>CANDIDATE-MLB4501526142-77071075113</t>
  </si>
  <si>
    <t>CANDIDATE-MLB4501538660-77072415027</t>
  </si>
  <si>
    <t>CANDIDATE-MLB4522097564-77072058116</t>
  </si>
  <si>
    <t>CANDIDATE-MLB4530736830-77071675865</t>
  </si>
  <si>
    <t>CANDIDATE-MLB4562759690-77073965379</t>
  </si>
  <si>
    <t>Colchão Solteiro Mola Probel Guardian Branco</t>
  </si>
  <si>
    <t>CANDIDATE-MLB4635675176-77073599038</t>
  </si>
  <si>
    <t>CANDIDATE-MLB4635688108-77073954526</t>
  </si>
  <si>
    <t>Conjunto Box Queen Mola Ensacada Probel Sigma Plus Branco</t>
  </si>
  <si>
    <t>CANDIDATE-MLB4653190830-77074014648</t>
  </si>
  <si>
    <t>Colchão Beliche Mola Ensacada Probel Portugal</t>
  </si>
  <si>
    <t>CANDIDATE-MLB4777109606-77073940506</t>
  </si>
  <si>
    <t>CANDIDATE-MLB4838805838-77071687963</t>
  </si>
  <si>
    <t>CANDIDATE-MLB4838848646-77073922406</t>
  </si>
  <si>
    <t>Conjunto Box King Mola Probel Volare Luxo (193x203x59cm) Branco</t>
  </si>
  <si>
    <t>CANDIDATE-MLB5064745500-77072284268</t>
  </si>
  <si>
    <t>Conjunto Box King Mola Probel Siena (193x203x54cm) Branco</t>
  </si>
  <si>
    <t>CANDIDATE-MLB5064759302-77073600534</t>
  </si>
  <si>
    <t>CANDIDATE-MLB5166487836-77071221239</t>
  </si>
  <si>
    <t>CANDIDATE-MLB5166511078-77073593823</t>
  </si>
  <si>
    <t>CANDIDATE-MLB5166513926-77071165510</t>
  </si>
  <si>
    <t>CANDIDATE-MLB5166544258-77072013961</t>
  </si>
  <si>
    <t>Colchão Casal Espuma D33 Prohotel Probel 138x188x17</t>
  </si>
  <si>
    <t>CANDIDATE-MLB5184776312-77072489463</t>
  </si>
  <si>
    <t>Colchão Queen Espuma D23 Guarda Costas Probel 158x198x12</t>
  </si>
  <si>
    <t>CANDIDATE-MLB5184788190-77073915675</t>
  </si>
  <si>
    <t>Colchão Solteiro Espuma D33 Próintense Probel 88x188x28</t>
  </si>
  <si>
    <t>CANDIDATE-MLB5184801346-77071832352</t>
  </si>
  <si>
    <t>Colchão Queen Espuma D45 Guarda Costas Probel 158x198x20</t>
  </si>
  <si>
    <t>CANDIDATE-MLB5184813968-77073711772</t>
  </si>
  <si>
    <t>Colchão Solteiro Espuma Ad Mega Firme Probel 88x188x22</t>
  </si>
  <si>
    <t>CANDIDATE-MLB5184814110-77071149638</t>
  </si>
  <si>
    <t>CANDIDATE-MLB5184814138-77071060549</t>
  </si>
  <si>
    <t>CANDIDATE-MLB5184826252-77071665298</t>
  </si>
  <si>
    <t>Colchão Queen Espuma D33 Guarda Costas Probel 158x198x14</t>
  </si>
  <si>
    <t>CANDIDATE-MLB5184852518-77072302128</t>
  </si>
  <si>
    <t>CANDIDATE-MLB5184890542-77072302123</t>
  </si>
  <si>
    <t>CANDIDATE-MLB5184890824-77071202752</t>
  </si>
  <si>
    <t>CANDIDATE-MLB5184891404-77073653691</t>
  </si>
  <si>
    <t>CANDIDATE-MLB5184891450-77073592267</t>
  </si>
  <si>
    <t>CANDIDATE-MLB5185023262-77073667347</t>
  </si>
  <si>
    <t>Colchão King Mola Ensacada Probel Elegancy Springs</t>
  </si>
  <si>
    <t>CANDIDATE-MLB5185287806-77072423712</t>
  </si>
  <si>
    <t>CANDIDATE-MLB5186926186-77074007971</t>
  </si>
  <si>
    <t>CANDIDATE-MLB5187088646-77071703494</t>
  </si>
  <si>
    <t>Colchão Solteiro Mola Ensacada Probel Elegancy Springs</t>
  </si>
  <si>
    <t>CANDIDATE-MLB5187113976-77071136671</t>
  </si>
  <si>
    <t>CANDIDATE-MLB5189220500-77071753154</t>
  </si>
  <si>
    <t>Colchão Beliche Mola Ensacada Prodormir Vegas Comfort</t>
  </si>
  <si>
    <t>CANDIDATE-MLB5189259214-77072070171</t>
  </si>
  <si>
    <t>Colchão Beliche Mola Ensacada Prodormir Akira (78x188x20cm)</t>
  </si>
  <si>
    <t>CANDIDATE-MLB5189287728-77072285080</t>
  </si>
  <si>
    <t>CANDIDATE-MLB5189292726-77073608678</t>
  </si>
  <si>
    <t>CANDIDATE-MLB5189293310-77073991813</t>
  </si>
  <si>
    <t>Colchão Solteiro Mola Ensacada Prodormir Akira (88x188x20cm)</t>
  </si>
  <si>
    <t>CANDIDATE-MLB5189295972-77071146977</t>
  </si>
  <si>
    <t>CANDIDATE-MLB5264878292-77071119515</t>
  </si>
  <si>
    <t>Colchão Casal Mola Ensacada Probel Bari (138x188x32cm)</t>
  </si>
  <si>
    <t>CANDIDATE-MLB5273989912-77073906726</t>
  </si>
  <si>
    <t>CANDIDATE-MLB5286057002-77072429343</t>
  </si>
  <si>
    <t>CANDIDATE-MLB5294171436-77071584230</t>
  </si>
  <si>
    <t>Colchão Mola Probel Guardian Queen (158x198x32cm) Cp1 Cor Marrom</t>
  </si>
  <si>
    <t>CANDIDATE-MLB5294222288-77071813098</t>
  </si>
  <si>
    <t>CANDIDATE-MLB5294260782-77071117531</t>
  </si>
  <si>
    <t>CANDIDATE-MLB5294273876-77073931355</t>
  </si>
  <si>
    <t>CANDIDATE-MLB5337105180-77071756543</t>
  </si>
  <si>
    <t>Colchão Solteiro Mola Ensacada Probel Cairo Ultra Gel</t>
  </si>
  <si>
    <t>CANDIDATE-MLB5344533220-77073965455</t>
  </si>
  <si>
    <t>CANDIDATE-MLB5382847382-77071673325</t>
  </si>
  <si>
    <t>Colchão Viúva Mola Ensacada Prodormir Akira (128x188x20cm) Branco</t>
  </si>
  <si>
    <t>CANDIDATE-MLB5382985182-77071633327</t>
  </si>
  <si>
    <t>Colchão Casal Mola Ensacada Probel Elegancy Springs</t>
  </si>
  <si>
    <t>CANDIDATE-MLB5383543042-77073560856</t>
  </si>
  <si>
    <t>CANDIDATE-MLB5383857290-77073922457</t>
  </si>
  <si>
    <t>CANDIDATE-MLB5384701450-77071697306</t>
  </si>
  <si>
    <t>Colchão De Solteiro Espuma D23 Probel Super Resistente 88x188 Cm</t>
  </si>
  <si>
    <t>CANDIDATE-MLB5399660054-77071135180</t>
  </si>
  <si>
    <t>CANDIDATE-MLB5418076938-77073965447</t>
  </si>
  <si>
    <t>CANDIDATE-MLB5418204886-77071962264</t>
  </si>
  <si>
    <t>Conjunto Box Queen Mola Probel Prohotel Casa (158x198x66cm) Branco</t>
  </si>
  <si>
    <t>CANDIDATE-MLB5433004172-77071070568</t>
  </si>
  <si>
    <t>Colchão Queen Mola Ensacada Probel Versailles Ultra Gel Branco</t>
  </si>
  <si>
    <t>CANDIDATE-MLB5436477428-77073965426</t>
  </si>
  <si>
    <t>Colchão Casal Espuma Ultra Gel Prodormir Active In Box</t>
  </si>
  <si>
    <t>CANDIDATE-MLB5442657290-77073593945</t>
  </si>
  <si>
    <t>Colchão Casal Espuma D28 Prodormir Active In Box</t>
  </si>
  <si>
    <t>CANDIDATE-MLB5443312414-77072298918</t>
  </si>
  <si>
    <t>CANDIDATE-MLB5459749696-77073991882</t>
  </si>
  <si>
    <t>CANDIDATE-MLB5459760650-77071119878</t>
  </si>
  <si>
    <t>Colchão King Mola Ensacada Probel Alpha (193x203x26cm) Branco</t>
  </si>
  <si>
    <t>CANDIDATE-MLB5509431728-77072452278</t>
  </si>
  <si>
    <t>CANDIDATE-MLB5759673428-77071729297</t>
  </si>
  <si>
    <t>CANDIDATE-MLB5827784420-77073711545</t>
  </si>
  <si>
    <t>Colchão King Mola Ensacada Probel Passione Bambu Branco</t>
  </si>
  <si>
    <t>CANDIDATE-MLB5828819464-77072414737</t>
  </si>
  <si>
    <t>Conjunto Box Queen Mola Probel Volare Luxo Branco</t>
  </si>
  <si>
    <t>CANDIDATE-MLB5828859016-77074026973</t>
  </si>
  <si>
    <t>Colchão Solteiro Mola Ensacada Probel Versailles Ultra Gel</t>
  </si>
  <si>
    <t>CANDIDATE-MLB5828879392-77071144836</t>
  </si>
  <si>
    <t>CANDIDATE-MLB5828969980-77071064885</t>
  </si>
  <si>
    <t>CANDIDATE-MLB5829433338-77071150587</t>
  </si>
  <si>
    <t>CANDIDATE-MLB5829499888-77072012452</t>
  </si>
  <si>
    <t>CANDIDATE-MLB5829578638-77071310187</t>
  </si>
  <si>
    <t>CANDIDATE-MLB5829588086-77073560789</t>
  </si>
  <si>
    <t>Colchão Solteiro Mola Probel Prohotel Casa (88x188x40cm) Branco</t>
  </si>
  <si>
    <t>CANDIDATE-MLB5830475252-77071135151</t>
  </si>
  <si>
    <t>Colchão Solteiro Mola Probel Loretto Branco</t>
  </si>
  <si>
    <t>CANDIDATE-MLB5830702212-77073506556</t>
  </si>
  <si>
    <t>CANDIDATE-MLB5831477696-77071064926</t>
  </si>
  <si>
    <t>Colchão King Mola Probel Roma</t>
  </si>
  <si>
    <t>CANDIDATE-MLB5831854476-77072287646</t>
  </si>
  <si>
    <t>Colchão Casal Probel Vancouver De Mola Ensacada Firme</t>
  </si>
  <si>
    <t>CANDIDATE-MLB5831891288-77071687932</t>
  </si>
  <si>
    <t>Colchão Solteiro Espuma D45 Guarda Costas Probel 88x188x20 Branco</t>
  </si>
  <si>
    <t>CANDIDATE-MLB5873522132-77071231473</t>
  </si>
  <si>
    <t>Colchão King Mola Ensacada Probel Excede Premium 193x203x30 Branco</t>
  </si>
  <si>
    <t>CANDIDATE-MLB5875093080-77073603896</t>
  </si>
  <si>
    <t>CANDIDATE-MLB5904735008-77073940358</t>
  </si>
  <si>
    <t>Colchão Casal Espuma D23 Guarda Costas 138x188x12cm Probel</t>
  </si>
  <si>
    <t>CANDIDATE-MLB5904901678-77073511706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</si>
</sst>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sz val="8"/>
      <name val="Arial"/>
    </font>
    <font>
      <b/>
      <sz val="11"/>
      <color rgb="FF000000"/>
      <name val="Arial"/>
    </font>
    <font>
      <b/>
      <sz val="10"/>
      <color rgb="FFFFFFFF"/>
      <name val="Arial"/>
    </font>
    <font>
      <sz val="8"/>
      <color rgb="FFFFFFFF"/>
      <name val="Arial"/>
    </font>
    <font>
      <sz val="1"/>
      <name val="Arial"/>
    </font>
    <font>
      <sz val="8"/>
      <color rgb="FF000000"/>
      <name val="Arial"/>
    </font>
    <font>
      <sz val="11"/>
      <color rgb="FF5B6370"/>
      <name val="Arial"/>
    </font>
    <font>
      <sz val="10"/>
      <color rgb="FF5B6370"/>
      <name val="Arial"/>
    </font>
    <font>
      <sz val="10"/>
      <color rgb="FFF23D4F"/>
      <name val="Arial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DDDD"/>
      </patternFill>
    </fill>
    <fill>
      <patternFill patternType="solid">
        <fgColor rgb="FF9EC284"/>
      </patternFill>
    </fill>
    <fill>
      <patternFill patternType="solid">
        <fgColor rgb="FFF23D4F"/>
      </patternFill>
    </fill>
    <fill>
      <patternFill patternType="solid">
        <fgColor rgb="FFF3F3F3"/>
      </patternFill>
    </fill>
    <fill>
      <patternFill patternType="solid">
        <fgColor rgb="FF3483F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0" fontId="0" fillId="0" borderId="0" xfId="2" applyNumberFormat="1" applyFont="1"/>
    <xf numFmtId="43" fontId="0" fillId="0" borderId="0" xfId="1" applyFont="1"/>
    <xf numFmtId="0" fontId="0" fillId="2" borderId="0" xfId="0" applyFill="1"/>
    <xf numFmtId="10" fontId="0" fillId="3" borderId="0" xfId="2" applyNumberFormat="1" applyFont="1" applyFill="1"/>
    <xf numFmtId="49" fontId="0" fillId="0" borderId="0" xfId="0" applyNumberFormat="1"/>
    <xf numFmtId="43" fontId="0" fillId="0" borderId="0" xfId="1" applyFont="1" applyFill="1"/>
    <xf numFmtId="0" fontId="2" fillId="0" borderId="0" xfId="0" applyFont="1" applyProtection="1">
      <protection locked="0"/>
    </xf>
    <xf numFmtId="0" fontId="4" fillId="7" borderId="1" xfId="0" applyFont="1" applyFill="1" applyBorder="1" applyAlignment="1" applyProtection="1">
      <alignment horizontal="center" vertical="center" wrapText="1"/>
      <protection locked="0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righ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43" fontId="13" fillId="0" borderId="0" xfId="1" applyFont="1" applyFill="1" applyBorder="1" applyAlignment="1">
      <alignment horizontal="center"/>
    </xf>
    <xf numFmtId="4" fontId="13" fillId="0" borderId="0" xfId="0" applyNumberFormat="1" applyFont="1" applyAlignment="1">
      <alignment horizontal="center"/>
    </xf>
    <xf numFmtId="0" fontId="0" fillId="9" borderId="0" xfId="0" applyFill="1"/>
    <xf numFmtId="0" fontId="4" fillId="7" borderId="1" xfId="0" applyFont="1" applyFill="1" applyBorder="1" applyAlignment="1" applyProtection="1">
      <alignment horizontal="center" vertical="center" wrapText="1"/>
      <protection locked="0"/>
    </xf>
    <xf numFmtId="49" fontId="0" fillId="0" borderId="0" xfId="0" applyNumberFormat="1"/>
    <xf numFmtId="0" fontId="9" fillId="0" borderId="0" xfId="0" applyFont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6" fillId="6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/>
    <xf numFmtId="0" fontId="6" fillId="8" borderId="1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Porcentagem" xfId="2" builtinId="5"/>
    <cellStyle name="Vírgula" xfId="1" builtinId="3"/>
  </cellStyles>
  <dxfs count="5">
    <dxf>
      <font>
        <color indexed="55"/>
      </font>
    </dxf>
    <dxf>
      <font>
        <color indexed="5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vre.com.br/anuncios/lista/promos/edicao-offline/P-MLB179430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6CDE-3BAE-4A82-B438-85A4207A4AC4}">
  <dimension ref="A1:L300"/>
  <sheetViews>
    <sheetView tabSelected="1" workbookViewId="0">
      <selection activeCell="I9" sqref="I9"/>
    </sheetView>
  </sheetViews>
  <sheetFormatPr defaultRowHeight="15" x14ac:dyDescent="0.25"/>
  <cols>
    <col min="1" max="1" width="14.85546875" bestFit="1" customWidth="1"/>
    <col min="2" max="2" width="13.28515625" bestFit="1" customWidth="1"/>
    <col min="3" max="3" width="18.7109375" bestFit="1" customWidth="1"/>
    <col min="4" max="4" width="15.140625" bestFit="1" customWidth="1"/>
    <col min="5" max="5" width="16.140625" style="1" bestFit="1" customWidth="1"/>
    <col min="6" max="6" width="22.42578125" style="1" bestFit="1" customWidth="1"/>
    <col min="7" max="7" width="27.7109375" style="1" bestFit="1" customWidth="1"/>
    <col min="8" max="8" width="33.42578125" style="1" bestFit="1" customWidth="1"/>
    <col min="9" max="9" width="22.42578125" style="2" customWidth="1"/>
    <col min="10" max="10" width="24.140625" style="2" bestFit="1" customWidth="1"/>
    <col min="11" max="11" width="9.5703125" style="2" bestFit="1" customWidth="1"/>
    <col min="12" max="12" width="31.7109375" customWidth="1"/>
  </cols>
  <sheetData>
    <row r="1" spans="1:12" x14ac:dyDescent="0.25">
      <c r="A1" s="3" t="s">
        <v>1080</v>
      </c>
      <c r="B1" s="3" t="s">
        <v>1080</v>
      </c>
      <c r="C1" s="3" t="s">
        <v>1080</v>
      </c>
      <c r="G1" s="4" t="s">
        <v>1081</v>
      </c>
      <c r="H1" s="4" t="s">
        <v>4718</v>
      </c>
      <c r="I1" s="3" t="s">
        <v>1080</v>
      </c>
    </row>
    <row r="2" spans="1:12" x14ac:dyDescent="0.25">
      <c r="A2" t="s">
        <v>0</v>
      </c>
      <c r="B2" t="s">
        <v>1</v>
      </c>
      <c r="C2" t="s">
        <v>2</v>
      </c>
      <c r="D2" t="s">
        <v>6</v>
      </c>
      <c r="E2" s="1" t="s">
        <v>7</v>
      </c>
      <c r="F2" s="1" t="s">
        <v>8</v>
      </c>
      <c r="G2" s="1" t="s">
        <v>9</v>
      </c>
      <c r="H2" s="1" t="s">
        <v>4719</v>
      </c>
      <c r="I2" s="2" t="s">
        <v>3</v>
      </c>
      <c r="J2" s="2" t="s">
        <v>4</v>
      </c>
      <c r="K2" s="2" t="s">
        <v>5</v>
      </c>
      <c r="L2" t="s">
        <v>4720</v>
      </c>
    </row>
    <row r="3" spans="1:12" x14ac:dyDescent="0.25">
      <c r="A3" s="5">
        <f>'Planilha CP Meli'!B5</f>
        <v>0</v>
      </c>
      <c r="B3">
        <f>'Planilha CP Meli'!C5</f>
        <v>0</v>
      </c>
      <c r="C3">
        <f>'Planilha CP Meli'!E5</f>
        <v>0</v>
      </c>
      <c r="D3" t="str">
        <f>IFERROR(VLOOKUP(A3,'Base MLB'!A:B,2,0)," ")</f>
        <v xml:space="preserve"> </v>
      </c>
      <c r="E3" s="1" t="str">
        <f>IFERROR(VLOOKUP(A3,'Base MLB'!A:C,3,0)," ")</f>
        <v xml:space="preserve"> </v>
      </c>
      <c r="F3" s="1" t="str">
        <f t="shared" ref="F3:F66" si="0">IFERROR(C3/I3," ")</f>
        <v xml:space="preserve"> </v>
      </c>
      <c r="G3" s="1" t="str">
        <f t="shared" ref="G3:G66" si="1">IFERROR(MAX((ROUNDUP((E3-F3)*100,0)+0.5)/100,4.5%),"")</f>
        <v/>
      </c>
      <c r="H3" s="1" t="str">
        <f t="shared" ref="H3:H66" si="2">IFERROR((ROUNDUP((E3-F3)*100,0)+0.5)/100,"")</f>
        <v/>
      </c>
      <c r="I3" s="2">
        <f>'Planilha CP Meli'!G5</f>
        <v>0</v>
      </c>
      <c r="J3" s="2" t="str">
        <f>IFERROR(INDEX('Base com preços'!$C:$O,MATCH(B3,'Base com preços'!$A:$A,0),MATCH(G3,'Base com preços'!$C$1:$O$1,0)),IFERROR(INDEX('Boa forma'!$C:$O,MATCH(A3,'Boa forma'!$A:$A,0),MATCH(G3,'Boa forma'!$C$1:$O$1,0)),""))</f>
        <v/>
      </c>
      <c r="K3" s="2" t="str">
        <f t="shared" ref="K3:K66" si="3">IFERROR(J3-I3," ")</f>
        <v xml:space="preserve"> </v>
      </c>
      <c r="L3" t="str">
        <f>IFERROR(IF(K3&lt;0,"Sim",IF(I3&gt;=J3*0.95,"Sim","Não")),"Não")</f>
        <v>Não</v>
      </c>
    </row>
    <row r="4" spans="1:12" x14ac:dyDescent="0.25">
      <c r="A4" t="str">
        <f>'Planilha CP Meli'!B166</f>
        <v>MLB4501497272</v>
      </c>
      <c r="B4" t="str">
        <f>'Planilha CP Meli'!C166</f>
        <v>PA09773</v>
      </c>
      <c r="C4">
        <f>'Planilha CP Meli'!E166</f>
        <v>122.01</v>
      </c>
      <c r="D4" t="str">
        <f>IFERROR(VLOOKUP(A4,'Base MLB'!A:B,2,0)," ")</f>
        <v>Clássico</v>
      </c>
      <c r="E4" s="1">
        <f>IFERROR(VLOOKUP(A4,'Base MLB'!A:C,3,0)," ")</f>
        <v>0.115</v>
      </c>
      <c r="F4" s="1">
        <f t="shared" si="0"/>
        <v>7.999606608969316E-2</v>
      </c>
      <c r="G4" s="1">
        <f t="shared" si="1"/>
        <v>4.4999999999999998E-2</v>
      </c>
      <c r="H4" s="1">
        <f t="shared" si="2"/>
        <v>4.4999999999999998E-2</v>
      </c>
      <c r="I4" s="2">
        <f>'Planilha CP Meli'!G166</f>
        <v>1525.2</v>
      </c>
      <c r="J4" s="2">
        <f>IFERROR(INDEX('Base com preços'!$C:$O,MATCH(B4,'Base com preços'!$A:$A,0),MATCH(G4,'Base com preços'!$C$1:$O$1,0)),IFERROR(INDEX('Boa forma'!$C:$O,MATCH(A4,'Boa forma'!$A:$A,0),MATCH(G4,'Boa forma'!$C$1:$O$1,0)),""))</f>
        <v>1270.4530722711756</v>
      </c>
      <c r="K4" s="2">
        <f t="shared" si="3"/>
        <v>-254.7469277288244</v>
      </c>
      <c r="L4" t="str">
        <f t="shared" ref="L4:L67" si="4">IFERROR(IF(K4&lt;0,"Sim",IF(I4&gt;=J4*0.95,"Sim","Não")),"Não")</f>
        <v>Sim</v>
      </c>
    </row>
    <row r="5" spans="1:12" x14ac:dyDescent="0.25">
      <c r="A5" t="str">
        <f>'Planilha CP Meli'!B88</f>
        <v>MLB3912235663</v>
      </c>
      <c r="B5" t="str">
        <f>'Planilha CP Meli'!C88</f>
        <v>PA52309</v>
      </c>
      <c r="C5">
        <f>'Planilha CP Meli'!E88</f>
        <v>91.6</v>
      </c>
      <c r="D5" t="str">
        <f>IFERROR(VLOOKUP(A5,'Base MLB'!A:B,2,0)," ")</f>
        <v>Clássico</v>
      </c>
      <c r="E5" s="1">
        <f>IFERROR(VLOOKUP(A5,'Base MLB'!A:C,3,0)," ")</f>
        <v>0.115</v>
      </c>
      <c r="F5" s="1">
        <f t="shared" si="0"/>
        <v>6.6433617150897142E-2</v>
      </c>
      <c r="G5" s="1">
        <f t="shared" si="1"/>
        <v>5.5E-2</v>
      </c>
      <c r="H5" s="1">
        <f t="shared" si="2"/>
        <v>5.5E-2</v>
      </c>
      <c r="I5" s="2">
        <f>'Planilha CP Meli'!G88</f>
        <v>1378.82</v>
      </c>
      <c r="J5" s="2">
        <f>IFERROR(INDEX('Base com preços'!$C:$O,MATCH(B5,'Base com preços'!$A:$A,0),MATCH(G5,'Base com preços'!$C$1:$O$1,0)),IFERROR(INDEX('Boa forma'!$C:$O,MATCH(A5,'Boa forma'!$A:$A,0),MATCH(G5,'Boa forma'!$C$1:$O$1,0)),""))</f>
        <v>1184.0384583109892</v>
      </c>
      <c r="K5" s="2">
        <f t="shared" si="3"/>
        <v>-194.78154168901074</v>
      </c>
      <c r="L5" t="str">
        <f t="shared" si="4"/>
        <v>Sim</v>
      </c>
    </row>
    <row r="6" spans="1:12" x14ac:dyDescent="0.25">
      <c r="A6" t="str">
        <f>'Planilha CP Meli'!B215</f>
        <v>MLB5294222288</v>
      </c>
      <c r="B6" t="str">
        <f>'Planilha CP Meli'!C215</f>
        <v>PA35622</v>
      </c>
      <c r="C6">
        <f>'Planilha CP Meli'!E215</f>
        <v>166.89</v>
      </c>
      <c r="D6" t="str">
        <f>IFERROR(VLOOKUP(A6,'Base MLB'!A:B,2,0)," ")</f>
        <v>Premium</v>
      </c>
      <c r="E6" s="1">
        <f>IFERROR(VLOOKUP(A6,'Base MLB'!A:C,3,0)," ")</f>
        <v>0.16500000000000001</v>
      </c>
      <c r="F6" s="1">
        <f t="shared" si="0"/>
        <v>6.9105590062111796E-2</v>
      </c>
      <c r="G6" s="1">
        <f t="shared" si="1"/>
        <v>0.105</v>
      </c>
      <c r="H6" s="1">
        <f t="shared" si="2"/>
        <v>0.105</v>
      </c>
      <c r="I6" s="2">
        <f>'Planilha CP Meli'!G215</f>
        <v>2415</v>
      </c>
      <c r="J6" s="2">
        <f>IFERROR(INDEX('Base com preços'!$C:$O,MATCH(B6,'Base com preços'!$A:$A,0),MATCH(G6,'Base com preços'!$C$1:$O$1,0)),IFERROR(INDEX('Boa forma'!$C:$O,MATCH(A6,'Boa forma'!$A:$A,0),MATCH(G6,'Boa forma'!$C$1:$O$1,0)),""))</f>
        <v>2266.6688311411003</v>
      </c>
      <c r="K6" s="2">
        <f t="shared" si="3"/>
        <v>-148.33116885889967</v>
      </c>
      <c r="L6" t="str">
        <f t="shared" si="4"/>
        <v>Sim</v>
      </c>
    </row>
    <row r="7" spans="1:12" x14ac:dyDescent="0.25">
      <c r="A7" t="str">
        <f>'Planilha CP Meli'!B205</f>
        <v>MLB5189220500</v>
      </c>
      <c r="B7" t="str">
        <f>'Planilha CP Meli'!C205</f>
        <v>PA94825</v>
      </c>
      <c r="C7">
        <f>'Planilha CP Meli'!E205</f>
        <v>88.83</v>
      </c>
      <c r="D7" t="str">
        <f>IFERROR(VLOOKUP(A7,'Base MLB'!A:B,2,0)," ")</f>
        <v>Clássico</v>
      </c>
      <c r="E7" s="1">
        <f>IFERROR(VLOOKUP(A7,'Base MLB'!A:C,3,0)," ")</f>
        <v>0.115</v>
      </c>
      <c r="F7" s="1">
        <f t="shared" si="0"/>
        <v>7.9999639762964023E-2</v>
      </c>
      <c r="G7" s="1">
        <f t="shared" si="1"/>
        <v>4.4999999999999998E-2</v>
      </c>
      <c r="H7" s="1">
        <f t="shared" si="2"/>
        <v>4.4999999999999998E-2</v>
      </c>
      <c r="I7" s="2">
        <f>'Planilha CP Meli'!G205</f>
        <v>1110.3800000000001</v>
      </c>
      <c r="J7" s="2">
        <f>IFERROR(INDEX('Base com preços'!$C:$O,MATCH(B7,'Base com preços'!$A:$A,0),MATCH(G7,'Base com preços'!$C$1:$O$1,0)),IFERROR(INDEX('Boa forma'!$C:$O,MATCH(A7,'Boa forma'!$A:$A,0),MATCH(G7,'Boa forma'!$C$1:$O$1,0)),""))</f>
        <v>924.91596851517011</v>
      </c>
      <c r="K7" s="2">
        <f t="shared" si="3"/>
        <v>-185.46403148483</v>
      </c>
      <c r="L7" t="str">
        <f t="shared" si="4"/>
        <v>Sim</v>
      </c>
    </row>
    <row r="8" spans="1:12" x14ac:dyDescent="0.25">
      <c r="A8" t="str">
        <f>'Planilha CP Meli'!B158</f>
        <v>MLB4501394134</v>
      </c>
      <c r="B8" t="str">
        <f>'Planilha CP Meli'!C158</f>
        <v>PA66410</v>
      </c>
      <c r="C8">
        <f>'Planilha CP Meli'!E158</f>
        <v>136.51</v>
      </c>
      <c r="D8" t="str">
        <f>IFERROR(VLOOKUP(A8,'Base MLB'!A:B,2,0)," ")</f>
        <v>Premium</v>
      </c>
      <c r="E8" s="1">
        <f>IFERROR(VLOOKUP(A8,'Base MLB'!A:C,3,0)," ")</f>
        <v>0.16500000000000001</v>
      </c>
      <c r="F8" s="1">
        <f t="shared" si="0"/>
        <v>7.7001178906042883E-2</v>
      </c>
      <c r="G8" s="1">
        <f t="shared" si="1"/>
        <v>9.5000000000000001E-2</v>
      </c>
      <c r="H8" s="1">
        <f t="shared" si="2"/>
        <v>9.5000000000000001E-2</v>
      </c>
      <c r="I8" s="2">
        <f>'Planilha CP Meli'!G158</f>
        <v>1772.83</v>
      </c>
      <c r="J8" s="2">
        <f>IFERROR(INDEX('Base com preços'!$C:$O,MATCH(B8,'Base com preços'!$A:$A,0),MATCH(G8,'Base com preços'!$C$1:$O$1,0)),IFERROR(INDEX('Boa forma'!$C:$O,MATCH(A8,'Boa forma'!$A:$A,0),MATCH(G8,'Boa forma'!$C$1:$O$1,0)),""))</f>
        <v>1719.6493156871993</v>
      </c>
      <c r="K8" s="2">
        <f t="shared" si="3"/>
        <v>-53.180684312800622</v>
      </c>
      <c r="L8" t="str">
        <f t="shared" si="4"/>
        <v>Sim</v>
      </c>
    </row>
    <row r="9" spans="1:12" x14ac:dyDescent="0.25">
      <c r="A9" t="str">
        <f>'Planilha CP Meli'!B75</f>
        <v>MLB3721682233</v>
      </c>
      <c r="B9" t="str">
        <f>'Planilha CP Meli'!C75</f>
        <v>PA94875</v>
      </c>
      <c r="C9">
        <f>'Planilha CP Meli'!E75</f>
        <v>119.93</v>
      </c>
      <c r="D9" t="str">
        <f>IFERROR(VLOOKUP(A9,'Base MLB'!A:B,2,0)," ")</f>
        <v>Premium</v>
      </c>
      <c r="E9" s="1">
        <f>IFERROR(VLOOKUP(A9,'Base MLB'!A:C,3,0)," ")</f>
        <v>0.16500000000000001</v>
      </c>
      <c r="F9" s="1">
        <f t="shared" si="0"/>
        <v>7.9998132287414286E-2</v>
      </c>
      <c r="G9" s="1">
        <f t="shared" si="1"/>
        <v>9.5000000000000001E-2</v>
      </c>
      <c r="H9" s="1">
        <f t="shared" si="2"/>
        <v>9.5000000000000001E-2</v>
      </c>
      <c r="I9" s="2">
        <f>'Planilha CP Meli'!G75</f>
        <v>1499.16</v>
      </c>
      <c r="J9" s="2">
        <f>IFERROR(INDEX('Base com preços'!$C:$O,MATCH(B9,'Base com preços'!$A:$A,0),MATCH(G9,'Base com preços'!$C$1:$O$1,0)),IFERROR(INDEX('Boa forma'!$C:$O,MATCH(A9,'Boa forma'!$A:$A,0),MATCH(G9,'Boa forma'!$C$1:$O$1,0)),""))</f>
        <v>1454.1838129725147</v>
      </c>
      <c r="K9" s="2">
        <f t="shared" si="3"/>
        <v>-44.976187027485366</v>
      </c>
      <c r="L9" t="str">
        <f t="shared" si="4"/>
        <v>Sim</v>
      </c>
    </row>
    <row r="10" spans="1:12" x14ac:dyDescent="0.25">
      <c r="A10" t="str">
        <f>'Planilha CP Meli'!B244</f>
        <v>MLB5829588086</v>
      </c>
      <c r="B10" t="str">
        <f>'Planilha CP Meli'!C244</f>
        <v>PA65755</v>
      </c>
      <c r="C10">
        <f>'Planilha CP Meli'!E244</f>
        <v>90.99</v>
      </c>
      <c r="D10" t="str">
        <f>IFERROR(VLOOKUP(A10,'Base MLB'!A:B,2,0)," ")</f>
        <v>Clássico</v>
      </c>
      <c r="E10" s="1">
        <f>IFERROR(VLOOKUP(A10,'Base MLB'!A:C,3,0)," ")</f>
        <v>0.115</v>
      </c>
      <c r="F10" s="1">
        <f t="shared" si="0"/>
        <v>7.9994725042859025E-2</v>
      </c>
      <c r="G10" s="1">
        <f t="shared" si="1"/>
        <v>4.4999999999999998E-2</v>
      </c>
      <c r="H10" s="1">
        <f t="shared" si="2"/>
        <v>4.4999999999999998E-2</v>
      </c>
      <c r="I10" s="2">
        <f>'Planilha CP Meli'!G244</f>
        <v>1137.45</v>
      </c>
      <c r="J10" s="2">
        <f>IFERROR(INDEX('Base com preços'!$C:$O,MATCH(B10,'Base com preços'!$A:$A,0),MATCH(G10,'Base com preços'!$C$1:$O$1,0)),IFERROR(INDEX('Boa forma'!$C:$O,MATCH(A10,'Boa forma'!$A:$A,0),MATCH(G10,'Boa forma'!$C$1:$O$1,0)),""))</f>
        <v>947.4724284238431</v>
      </c>
      <c r="K10" s="2">
        <f t="shared" si="3"/>
        <v>-189.97757157615695</v>
      </c>
      <c r="L10" t="str">
        <f t="shared" si="4"/>
        <v>Sim</v>
      </c>
    </row>
    <row r="11" spans="1:12" x14ac:dyDescent="0.25">
      <c r="A11" t="str">
        <f>'Planilha CP Meli'!B74</f>
        <v>MLB3671801609</v>
      </c>
      <c r="B11" t="str">
        <f>'Planilha CP Meli'!C74</f>
        <v>PA85360</v>
      </c>
      <c r="C11">
        <f>'Planilha CP Meli'!E74</f>
        <v>136.82</v>
      </c>
      <c r="D11" t="str">
        <f>IFERROR(VLOOKUP(A11,'Base MLB'!A:B,2,0)," ")</f>
        <v>Clássico</v>
      </c>
      <c r="E11" s="1">
        <f>IFERROR(VLOOKUP(A11,'Base MLB'!A:C,3,0)," ")</f>
        <v>0.115</v>
      </c>
      <c r="F11" s="1">
        <f t="shared" si="0"/>
        <v>6.7672371154416849E-2</v>
      </c>
      <c r="G11" s="1">
        <f t="shared" si="1"/>
        <v>5.5E-2</v>
      </c>
      <c r="H11" s="1">
        <f t="shared" si="2"/>
        <v>5.5E-2</v>
      </c>
      <c r="I11" s="2">
        <f>'Planilha CP Meli'!G74</f>
        <v>2021.8</v>
      </c>
      <c r="J11" s="2">
        <f>IFERROR(INDEX('Base com preços'!$C:$O,MATCH(B11,'Base com preços'!$A:$A,0),MATCH(G11,'Base com preços'!$C$1:$O$1,0)),IFERROR(INDEX('Boa forma'!$C:$O,MATCH(A11,'Boa forma'!$A:$A,0),MATCH(G11,'Boa forma'!$C$1:$O$1,0)),""))</f>
        <v>1736.1922535916765</v>
      </c>
      <c r="K11" s="2">
        <f t="shared" si="3"/>
        <v>-285.60774640832346</v>
      </c>
      <c r="L11" t="str">
        <f t="shared" si="4"/>
        <v>Sim</v>
      </c>
    </row>
    <row r="12" spans="1:12" x14ac:dyDescent="0.25">
      <c r="A12" t="str">
        <f>'Planilha CP Meli'!B123</f>
        <v>MLB4240741720</v>
      </c>
      <c r="B12" t="str">
        <f>'Planilha CP Meli'!C123</f>
        <v>PA66326</v>
      </c>
      <c r="C12">
        <f>'Planilha CP Meli'!E123</f>
        <v>137.19999999999999</v>
      </c>
      <c r="D12" t="str">
        <f>IFERROR(VLOOKUP(A12,'Base MLB'!A:B,2,0)," ")</f>
        <v>Clássico</v>
      </c>
      <c r="E12" s="1">
        <f>IFERROR(VLOOKUP(A12,'Base MLB'!A:C,3,0)," ")</f>
        <v>0.115</v>
      </c>
      <c r="F12" s="1">
        <f t="shared" si="0"/>
        <v>5.2469548922500331E-2</v>
      </c>
      <c r="G12" s="1">
        <f t="shared" si="1"/>
        <v>7.4999999999999997E-2</v>
      </c>
      <c r="H12" s="1">
        <f t="shared" si="2"/>
        <v>7.4999999999999997E-2</v>
      </c>
      <c r="I12" s="2">
        <f>'Planilha CP Meli'!G123</f>
        <v>2614.85</v>
      </c>
      <c r="J12" s="2">
        <f>IFERROR(INDEX('Base com preços'!$C:$O,MATCH(B12,'Base com preços'!$A:$A,0),MATCH(G12,'Base com preços'!$C$1:$O$1,0)),IFERROR(INDEX('Boa forma'!$C:$O,MATCH(A12,'Boa forma'!$A:$A,0),MATCH(G12,'Boa forma'!$C$1:$O$1,0)),""))</f>
        <v>2386.5017333052388</v>
      </c>
      <c r="K12" s="2">
        <f t="shared" si="3"/>
        <v>-228.34826669476115</v>
      </c>
      <c r="L12" t="str">
        <f t="shared" si="4"/>
        <v>Sim</v>
      </c>
    </row>
    <row r="13" spans="1:12" x14ac:dyDescent="0.25">
      <c r="A13" t="str">
        <f>'Planilha CP Meli'!B77</f>
        <v>MLB3732198897</v>
      </c>
      <c r="B13" t="str">
        <f>'Planilha CP Meli'!C77</f>
        <v>PA66802</v>
      </c>
      <c r="C13">
        <f>'Planilha CP Meli'!E77</f>
        <v>269.79000000000002</v>
      </c>
      <c r="D13" t="str">
        <f>IFERROR(VLOOKUP(A13,'Base MLB'!A:B,2,0)," ")</f>
        <v>Premium</v>
      </c>
      <c r="E13" s="1">
        <f>IFERROR(VLOOKUP(A13,'Base MLB'!A:C,3,0)," ")</f>
        <v>0.16500000000000001</v>
      </c>
      <c r="F13" s="1">
        <f t="shared" si="0"/>
        <v>6.406791735929708E-2</v>
      </c>
      <c r="G13" s="1">
        <f t="shared" si="1"/>
        <v>0.115</v>
      </c>
      <c r="H13" s="1">
        <f t="shared" si="2"/>
        <v>0.115</v>
      </c>
      <c r="I13" s="2">
        <f>'Planilha CP Meli'!G77</f>
        <v>4211</v>
      </c>
      <c r="J13" s="2">
        <f>IFERROR(INDEX('Base com preços'!$C:$O,MATCH(B13,'Base com preços'!$A:$A,0),MATCH(G13,'Base com preços'!$C$1:$O$1,0)),IFERROR(INDEX('Boa forma'!$C:$O,MATCH(A13,'Boa forma'!$A:$A,0),MATCH(G13,'Boa forma'!$C$1:$O$1,0)),""))</f>
        <v>3983.3850596821985</v>
      </c>
      <c r="K13" s="2">
        <f t="shared" si="3"/>
        <v>-227.61494031780148</v>
      </c>
      <c r="L13" t="str">
        <f t="shared" si="4"/>
        <v>Sim</v>
      </c>
    </row>
    <row r="14" spans="1:12" x14ac:dyDescent="0.25">
      <c r="A14" t="str">
        <f>'Planilha CP Meli'!B85</f>
        <v>MLB3902425067</v>
      </c>
      <c r="B14" t="str">
        <f>'Planilha CP Meli'!C85</f>
        <v>PA66755</v>
      </c>
      <c r="C14">
        <f>'Planilha CP Meli'!E85</f>
        <v>115.8</v>
      </c>
      <c r="D14" t="str">
        <f>IFERROR(VLOOKUP(A14,'Base MLB'!A:B,2,0)," ")</f>
        <v>Clássico</v>
      </c>
      <c r="E14" s="1">
        <f>IFERROR(VLOOKUP(A14,'Base MLB'!A:C,3,0)," ")</f>
        <v>0.115</v>
      </c>
      <c r="F14" s="1">
        <f t="shared" si="0"/>
        <v>5.9974207983095357E-2</v>
      </c>
      <c r="G14" s="1">
        <f t="shared" si="1"/>
        <v>6.5000000000000002E-2</v>
      </c>
      <c r="H14" s="1">
        <f t="shared" si="2"/>
        <v>6.5000000000000002E-2</v>
      </c>
      <c r="I14" s="2">
        <f>'Planilha CP Meli'!G85</f>
        <v>1930.83</v>
      </c>
      <c r="J14" s="2">
        <f>IFERROR(INDEX('Base com preços'!$C:$O,MATCH(B14,'Base com preços'!$A:$A,0),MATCH(G14,'Base com preços'!$C$1:$O$1,0)),IFERROR(INDEX('Boa forma'!$C:$O,MATCH(A14,'Boa forma'!$A:$A,0),MATCH(G14,'Boa forma'!$C$1:$O$1,0)),""))</f>
        <v>1709.3541008056036</v>
      </c>
      <c r="K14" s="2">
        <f t="shared" si="3"/>
        <v>-221.47589919439633</v>
      </c>
      <c r="L14" t="str">
        <f t="shared" si="4"/>
        <v>Sim</v>
      </c>
    </row>
    <row r="15" spans="1:12" x14ac:dyDescent="0.25">
      <c r="A15" t="str">
        <f>'Planilha CP Meli'!B54</f>
        <v>MLB3595845531</v>
      </c>
      <c r="B15" t="str">
        <f>'Planilha CP Meli'!C54</f>
        <v>PA33096</v>
      </c>
      <c r="C15">
        <f>'Planilha CP Meli'!E54</f>
        <v>84.45</v>
      </c>
      <c r="D15" t="str">
        <f>IFERROR(VLOOKUP(A15,'Base MLB'!A:B,2,0)," ")</f>
        <v>Clássico</v>
      </c>
      <c r="E15" s="1">
        <f>IFERROR(VLOOKUP(A15,'Base MLB'!A:C,3,0)," ")</f>
        <v>0.115</v>
      </c>
      <c r="F15" s="1">
        <f t="shared" si="0"/>
        <v>5.7593551159031857E-2</v>
      </c>
      <c r="G15" s="1">
        <f t="shared" si="1"/>
        <v>6.5000000000000002E-2</v>
      </c>
      <c r="H15" s="1">
        <f t="shared" si="2"/>
        <v>6.5000000000000002E-2</v>
      </c>
      <c r="I15" s="2">
        <f>'Planilha CP Meli'!G54</f>
        <v>1466.31</v>
      </c>
      <c r="J15" s="2">
        <f>IFERROR(INDEX('Base com preços'!$C:$O,MATCH(B15,'Base com preços'!$A:$A,0),MATCH(G15,'Base com preços'!$C$1:$O$1,0)),IFERROR(INDEX('Boa forma'!$C:$O,MATCH(A15,'Boa forma'!$A:$A,0),MATCH(G15,'Boa forma'!$C$1:$O$1,0)),""))</f>
        <v>1298.1165135325659</v>
      </c>
      <c r="K15" s="2">
        <f t="shared" si="3"/>
        <v>-168.19348646743401</v>
      </c>
      <c r="L15" t="str">
        <f t="shared" si="4"/>
        <v>Sim</v>
      </c>
    </row>
    <row r="16" spans="1:12" x14ac:dyDescent="0.25">
      <c r="A16" t="str">
        <f>'Planilha CP Meli'!B79</f>
        <v>MLB3871324883</v>
      </c>
      <c r="B16" t="str">
        <f>'Planilha CP Meli'!C79</f>
        <v>PA66799</v>
      </c>
      <c r="C16">
        <f>'Planilha CP Meli'!E79</f>
        <v>310.58</v>
      </c>
      <c r="D16" t="str">
        <f>IFERROR(VLOOKUP(A16,'Base MLB'!A:B,2,0)," ")</f>
        <v>Premium</v>
      </c>
      <c r="E16" s="1">
        <f>IFERROR(VLOOKUP(A16,'Base MLB'!A:C,3,0)," ")</f>
        <v>0.16500000000000001</v>
      </c>
      <c r="F16" s="1">
        <f t="shared" si="0"/>
        <v>7.9997939392378328E-2</v>
      </c>
      <c r="G16" s="1">
        <f t="shared" si="1"/>
        <v>9.5000000000000001E-2</v>
      </c>
      <c r="H16" s="1">
        <f t="shared" si="2"/>
        <v>9.5000000000000001E-2</v>
      </c>
      <c r="I16" s="2">
        <f>'Planilha CP Meli'!G79</f>
        <v>3882.35</v>
      </c>
      <c r="J16" s="2">
        <f>IFERROR(INDEX('Base com preços'!$C:$O,MATCH(B16,'Base com preços'!$A:$A,0),MATCH(G16,'Base com preços'!$C$1:$O$1,0)),IFERROR(INDEX('Boa forma'!$C:$O,MATCH(A16,'Boa forma'!$A:$A,0),MATCH(G16,'Boa forma'!$C$1:$O$1,0)),""))</f>
        <v>3765.8778444011696</v>
      </c>
      <c r="K16" s="2">
        <f t="shared" si="3"/>
        <v>-116.47215559883034</v>
      </c>
      <c r="L16" t="str">
        <f t="shared" si="4"/>
        <v>Sim</v>
      </c>
    </row>
    <row r="17" spans="1:12" x14ac:dyDescent="0.25">
      <c r="A17" t="str">
        <f>'Planilha CP Meli'!B195</f>
        <v>MLB5184852518</v>
      </c>
      <c r="B17" t="str">
        <f>'Planilha CP Meli'!C195</f>
        <v>PA52004</v>
      </c>
      <c r="C17">
        <f>'Planilha CP Meli'!E195</f>
        <v>74.25</v>
      </c>
      <c r="D17" t="str">
        <f>IFERROR(VLOOKUP(A17,'Base MLB'!A:B,2,0)," ")</f>
        <v>Clássico</v>
      </c>
      <c r="E17" s="1">
        <f>IFERROR(VLOOKUP(A17,'Base MLB'!A:C,3,0)," ")</f>
        <v>0.115</v>
      </c>
      <c r="F17" s="1">
        <f t="shared" si="0"/>
        <v>6.1700695535113301E-2</v>
      </c>
      <c r="G17" s="1">
        <f t="shared" si="1"/>
        <v>6.5000000000000002E-2</v>
      </c>
      <c r="H17" s="1">
        <f t="shared" si="2"/>
        <v>6.5000000000000002E-2</v>
      </c>
      <c r="I17" s="2">
        <f>'Planilha CP Meli'!G195</f>
        <v>1203.3900000000001</v>
      </c>
      <c r="J17" s="2">
        <f>IFERROR(INDEX('Base com preços'!$C:$O,MATCH(B17,'Base com preços'!$A:$A,0),MATCH(G17,'Base com preços'!$C$1:$O$1,0)),IFERROR(INDEX('Boa forma'!$C:$O,MATCH(A17,'Boa forma'!$A:$A,0),MATCH(G17,'Boa forma'!$C$1:$O$1,0)),""))</f>
        <v>1065.354643605112</v>
      </c>
      <c r="K17" s="2">
        <f t="shared" si="3"/>
        <v>-138.03535639488814</v>
      </c>
      <c r="L17" t="str">
        <f t="shared" si="4"/>
        <v>Sim</v>
      </c>
    </row>
    <row r="18" spans="1:12" x14ac:dyDescent="0.25">
      <c r="A18" t="str">
        <f>'Planilha CP Meli'!B21</f>
        <v>MLB3509789731</v>
      </c>
      <c r="B18" t="str">
        <f>'Planilha CP Meli'!C21</f>
        <v>PA66798</v>
      </c>
      <c r="C18">
        <f>'Planilha CP Meli'!E21</f>
        <v>183.69</v>
      </c>
      <c r="D18" t="str">
        <f>IFERROR(VLOOKUP(A18,'Base MLB'!A:B,2,0)," ")</f>
        <v>Clássico</v>
      </c>
      <c r="E18" s="1">
        <f>IFERROR(VLOOKUP(A18,'Base MLB'!A:C,3,0)," ")</f>
        <v>0.115</v>
      </c>
      <c r="F18" s="1">
        <f t="shared" si="0"/>
        <v>5.7367807943234948E-2</v>
      </c>
      <c r="G18" s="1">
        <f t="shared" si="1"/>
        <v>6.5000000000000002E-2</v>
      </c>
      <c r="H18" s="1">
        <f t="shared" si="2"/>
        <v>6.5000000000000002E-2</v>
      </c>
      <c r="I18" s="2">
        <f>'Planilha CP Meli'!G21</f>
        <v>3201.97</v>
      </c>
      <c r="J18" s="2">
        <f>IFERROR(INDEX('Base com preços'!$C:$O,MATCH(B18,'Base com preços'!$A:$A,0),MATCH(G18,'Base com preços'!$C$1:$O$1,0)),IFERROR(INDEX('Boa forma'!$C:$O,MATCH(A18,'Boa forma'!$A:$A,0),MATCH(G18,'Boa forma'!$C$1:$O$1,0)),""))</f>
        <v>2834.6848571311625</v>
      </c>
      <c r="K18" s="2">
        <f t="shared" si="3"/>
        <v>-367.28514286883728</v>
      </c>
      <c r="L18" t="str">
        <f t="shared" si="4"/>
        <v>Sim</v>
      </c>
    </row>
    <row r="19" spans="1:12" x14ac:dyDescent="0.25">
      <c r="A19" t="str">
        <f>'Planilha CP Meli'!B22</f>
        <v>MLB3521713879</v>
      </c>
      <c r="B19" t="str">
        <f>'Planilha CP Meli'!C22</f>
        <v>PA66792</v>
      </c>
      <c r="C19">
        <f>'Planilha CP Meli'!E22</f>
        <v>134.43</v>
      </c>
      <c r="D19" t="str">
        <f>IFERROR(VLOOKUP(A19,'Base MLB'!A:B,2,0)," ")</f>
        <v>Premium</v>
      </c>
      <c r="E19" s="1">
        <f>IFERROR(VLOOKUP(A19,'Base MLB'!A:C,3,0)," ")</f>
        <v>0.16500000000000001</v>
      </c>
      <c r="F19" s="1">
        <f t="shared" si="0"/>
        <v>6.7667015664639799E-2</v>
      </c>
      <c r="G19" s="1">
        <f t="shared" si="1"/>
        <v>0.105</v>
      </c>
      <c r="H19" s="1">
        <f t="shared" si="2"/>
        <v>0.105</v>
      </c>
      <c r="I19" s="2">
        <f>'Planilha CP Meli'!G22</f>
        <v>1986.64</v>
      </c>
      <c r="J19" s="2">
        <f>IFERROR(INDEX('Base com preços'!$C:$O,MATCH(B19,'Base com preços'!$A:$A,0),MATCH(G19,'Base com preços'!$C$1:$O$1,0)),IFERROR(INDEX('Boa forma'!$C:$O,MATCH(A19,'Boa forma'!$A:$A,0),MATCH(G19,'Boa forma'!$C$1:$O$1,0)),""))</f>
        <v>1986.6375004062445</v>
      </c>
      <c r="K19" s="2">
        <f t="shared" si="3"/>
        <v>-2.4995937556013814E-3</v>
      </c>
      <c r="L19" t="str">
        <f t="shared" si="4"/>
        <v>Sim</v>
      </c>
    </row>
    <row r="20" spans="1:12" x14ac:dyDescent="0.25">
      <c r="A20" t="str">
        <f>'Planilha CP Meli'!B73</f>
        <v>MLB3671718537</v>
      </c>
      <c r="B20" t="str">
        <f>'Planilha CP Meli'!C73</f>
        <v>PA85350</v>
      </c>
      <c r="C20">
        <f>'Planilha CP Meli'!E73</f>
        <v>184</v>
      </c>
      <c r="D20" t="str">
        <f>IFERROR(VLOOKUP(A20,'Base MLB'!A:B,2,0)," ")</f>
        <v>Premium</v>
      </c>
      <c r="E20" s="1">
        <f>IFERROR(VLOOKUP(A20,'Base MLB'!A:C,3,0)," ")</f>
        <v>0.16500000000000001</v>
      </c>
      <c r="F20" s="1">
        <f t="shared" si="0"/>
        <v>0.08</v>
      </c>
      <c r="G20" s="1">
        <f t="shared" si="1"/>
        <v>9.5000000000000001E-2</v>
      </c>
      <c r="H20" s="1">
        <f t="shared" si="2"/>
        <v>9.5000000000000001E-2</v>
      </c>
      <c r="I20" s="2">
        <f>'Planilha CP Meli'!G73</f>
        <v>2300</v>
      </c>
      <c r="J20" s="2">
        <f>IFERROR(INDEX('Base com preços'!$C:$O,MATCH(B20,'Base com preços'!$A:$A,0),MATCH(G20,'Base com preços'!$C$1:$O$1,0)),IFERROR(INDEX('Boa forma'!$C:$O,MATCH(A20,'Boa forma'!$A:$A,0),MATCH(G20,'Boa forma'!$C$1:$O$1,0)),""))</f>
        <v>2093.5807075330608</v>
      </c>
      <c r="K20" s="2">
        <f t="shared" si="3"/>
        <v>-206.41929246693917</v>
      </c>
      <c r="L20" t="str">
        <f t="shared" si="4"/>
        <v>Sim</v>
      </c>
    </row>
    <row r="21" spans="1:12" x14ac:dyDescent="0.25">
      <c r="A21" t="str">
        <f>'Planilha CP Meli'!B72</f>
        <v>MLB3647966463</v>
      </c>
      <c r="B21" t="str">
        <f>'Planilha CP Meli'!C72</f>
        <v>PA66797</v>
      </c>
      <c r="C21">
        <f>'Planilha CP Meli'!E72</f>
        <v>218.49</v>
      </c>
      <c r="D21" t="str">
        <f>IFERROR(VLOOKUP(A21,'Base MLB'!A:B,2,0)," ")</f>
        <v>Premium</v>
      </c>
      <c r="E21" s="1">
        <f>IFERROR(VLOOKUP(A21,'Base MLB'!A:C,3,0)," ")</f>
        <v>0.16500000000000001</v>
      </c>
      <c r="F21" s="1">
        <f t="shared" si="0"/>
        <v>7.4876627827278955E-2</v>
      </c>
      <c r="G21" s="1">
        <f t="shared" si="1"/>
        <v>0.105</v>
      </c>
      <c r="H21" s="1">
        <f t="shared" si="2"/>
        <v>0.105</v>
      </c>
      <c r="I21" s="2">
        <f>'Planilha CP Meli'!G72</f>
        <v>2918</v>
      </c>
      <c r="J21" s="2">
        <f>IFERROR(INDEX('Base com preços'!$C:$O,MATCH(B21,'Base com preços'!$A:$A,0),MATCH(G21,'Base com preços'!$C$1:$O$1,0)),IFERROR(INDEX('Boa forma'!$C:$O,MATCH(A21,'Boa forma'!$A:$A,0),MATCH(G21,'Boa forma'!$C$1:$O$1,0)),""))</f>
        <v>2650.6962402313547</v>
      </c>
      <c r="K21" s="2">
        <f t="shared" si="3"/>
        <v>-267.30375976864525</v>
      </c>
      <c r="L21" t="str">
        <f t="shared" si="4"/>
        <v>Sim</v>
      </c>
    </row>
    <row r="22" spans="1:12" x14ac:dyDescent="0.25">
      <c r="A22" t="str">
        <f>'Planilha CP Meli'!B61</f>
        <v>MLB3595908405</v>
      </c>
      <c r="B22" t="str">
        <f>'Planilha CP Meli'!C61</f>
        <v>PA62218</v>
      </c>
      <c r="C22">
        <f>'Planilha CP Meli'!E61</f>
        <v>74.22</v>
      </c>
      <c r="D22" t="str">
        <f>IFERROR(VLOOKUP(A22,'Base MLB'!A:B,2,0)," ")</f>
        <v>Clássico</v>
      </c>
      <c r="E22" s="1">
        <f>IFERROR(VLOOKUP(A22,'Base MLB'!A:C,3,0)," ")</f>
        <v>0.115</v>
      </c>
      <c r="F22" s="1">
        <f t="shared" si="0"/>
        <v>6.4670721293762959E-2</v>
      </c>
      <c r="G22" s="1">
        <f t="shared" si="1"/>
        <v>6.5000000000000002E-2</v>
      </c>
      <c r="H22" s="1">
        <f t="shared" si="2"/>
        <v>6.5000000000000002E-2</v>
      </c>
      <c r="I22" s="2">
        <f>'Planilha CP Meli'!G61</f>
        <v>1147.6600000000001</v>
      </c>
      <c r="J22" s="2">
        <f>IFERROR(INDEX('Base com preços'!$C:$O,MATCH(B22,'Base com preços'!$A:$A,0),MATCH(G22,'Base com preços'!$C$1:$O$1,0)),IFERROR(INDEX('Boa forma'!$C:$O,MATCH(A22,'Boa forma'!$A:$A,0),MATCH(G22,'Boa forma'!$C$1:$O$1,0)),""))</f>
        <v>1016.0181481311317</v>
      </c>
      <c r="K22" s="2">
        <f t="shared" si="3"/>
        <v>-131.64185186886834</v>
      </c>
      <c r="L22" t="str">
        <f t="shared" si="4"/>
        <v>Sim</v>
      </c>
    </row>
    <row r="23" spans="1:12" x14ac:dyDescent="0.25">
      <c r="A23" t="str">
        <f>'Planilha CP Meli'!B20</f>
        <v>MLB3507036477</v>
      </c>
      <c r="B23" t="str">
        <f>'Planilha CP Meli'!C20</f>
        <v>PA66798</v>
      </c>
      <c r="C23">
        <f>'Planilha CP Meli'!E20</f>
        <v>232.9</v>
      </c>
      <c r="D23" t="str">
        <f>IFERROR(VLOOKUP(A23,'Base MLB'!A:B,2,0)," ")</f>
        <v>Premium</v>
      </c>
      <c r="E23" s="1">
        <f>IFERROR(VLOOKUP(A23,'Base MLB'!A:C,3,0)," ")</f>
        <v>0.16500000000000001</v>
      </c>
      <c r="F23" s="1">
        <f t="shared" si="0"/>
        <v>7.0108368452739309E-2</v>
      </c>
      <c r="G23" s="1">
        <f t="shared" si="1"/>
        <v>0.105</v>
      </c>
      <c r="H23" s="1">
        <f t="shared" si="2"/>
        <v>0.105</v>
      </c>
      <c r="I23" s="2">
        <f>'Planilha CP Meli'!G20</f>
        <v>3322</v>
      </c>
      <c r="J23" s="2">
        <f>IFERROR(INDEX('Base com preços'!$C:$O,MATCH(B23,'Base com preços'!$A:$A,0),MATCH(G23,'Base com preços'!$C$1:$O$1,0)),IFERROR(INDEX('Boa forma'!$C:$O,MATCH(A23,'Boa forma'!$A:$A,0),MATCH(G23,'Boa forma'!$C$1:$O$1,0)),""))</f>
        <v>3201.9743356225413</v>
      </c>
      <c r="K23" s="2">
        <f t="shared" si="3"/>
        <v>-120.02566437745872</v>
      </c>
      <c r="L23" t="str">
        <f t="shared" si="4"/>
        <v>Sim</v>
      </c>
    </row>
    <row r="24" spans="1:12" x14ac:dyDescent="0.25">
      <c r="A24" t="str">
        <f>'Planilha CP Meli'!B82</f>
        <v>MLB3902407539</v>
      </c>
      <c r="B24" t="str">
        <f>'Planilha CP Meli'!C82</f>
        <v>PA94856</v>
      </c>
      <c r="C24">
        <f>'Planilha CP Meli'!E82</f>
        <v>136.4</v>
      </c>
      <c r="D24" t="str">
        <f>IFERROR(VLOOKUP(A24,'Base MLB'!A:B,2,0)," ")</f>
        <v>Premium</v>
      </c>
      <c r="E24" s="1">
        <f>IFERROR(VLOOKUP(A24,'Base MLB'!A:C,3,0)," ")</f>
        <v>0.16500000000000001</v>
      </c>
      <c r="F24" s="1">
        <f t="shared" si="0"/>
        <v>7.9999061594585405E-2</v>
      </c>
      <c r="G24" s="1">
        <f t="shared" si="1"/>
        <v>9.5000000000000001E-2</v>
      </c>
      <c r="H24" s="1">
        <f t="shared" si="2"/>
        <v>9.5000000000000001E-2</v>
      </c>
      <c r="I24" s="2">
        <f>'Planilha CP Meli'!G82</f>
        <v>1705.02</v>
      </c>
      <c r="J24" s="2">
        <f>IFERROR(INDEX('Base com preços'!$C:$O,MATCH(B24,'Base com preços'!$A:$A,0),MATCH(G24,'Base com preços'!$C$1:$O$1,0)),IFERROR(INDEX('Boa forma'!$C:$O,MATCH(A24,'Boa forma'!$A:$A,0),MATCH(G24,'Boa forma'!$C$1:$O$1,0)),""))</f>
        <v>1653.8650249896082</v>
      </c>
      <c r="K24" s="2">
        <f t="shared" si="3"/>
        <v>-51.154975010391809</v>
      </c>
      <c r="L24" t="str">
        <f t="shared" si="4"/>
        <v>Sim</v>
      </c>
    </row>
    <row r="25" spans="1:12" x14ac:dyDescent="0.25">
      <c r="A25" t="str">
        <f>'Planilha CP Meli'!B86</f>
        <v>MLB3902435363</v>
      </c>
      <c r="B25" t="str">
        <f>'Planilha CP Meli'!C86</f>
        <v>PA52109</v>
      </c>
      <c r="C25">
        <f>'Planilha CP Meli'!E86</f>
        <v>141.33000000000001</v>
      </c>
      <c r="D25" t="str">
        <f>IFERROR(VLOOKUP(A25,'Base MLB'!A:B,2,0)," ")</f>
        <v>Clássico</v>
      </c>
      <c r="E25" s="1">
        <f>IFERROR(VLOOKUP(A25,'Base MLB'!A:C,3,0)," ")</f>
        <v>0.115</v>
      </c>
      <c r="F25" s="1">
        <f t="shared" si="0"/>
        <v>5.1968538681316255E-2</v>
      </c>
      <c r="G25" s="1">
        <f t="shared" si="1"/>
        <v>7.4999999999999997E-2</v>
      </c>
      <c r="H25" s="1">
        <f t="shared" si="2"/>
        <v>7.4999999999999997E-2</v>
      </c>
      <c r="I25" s="2">
        <f>'Planilha CP Meli'!G86</f>
        <v>2719.53</v>
      </c>
      <c r="J25" s="2">
        <f>IFERROR(INDEX('Base com preços'!$C:$O,MATCH(B25,'Base com preços'!$A:$A,0),MATCH(G25,'Base com preços'!$C$1:$O$1,0)),IFERROR(INDEX('Boa forma'!$C:$O,MATCH(A25,'Boa forma'!$A:$A,0),MATCH(G25,'Boa forma'!$C$1:$O$1,0)),""))</f>
        <v>2482.0504783600509</v>
      </c>
      <c r="K25" s="2">
        <f t="shared" si="3"/>
        <v>-237.47952163994933</v>
      </c>
      <c r="L25" t="str">
        <f t="shared" si="4"/>
        <v>Sim</v>
      </c>
    </row>
    <row r="26" spans="1:12" x14ac:dyDescent="0.25">
      <c r="A26" t="str">
        <f>'Planilha CP Meli'!B87</f>
        <v>MLB3912222983</v>
      </c>
      <c r="B26" t="str">
        <f>'Planilha CP Meli'!C87</f>
        <v>PA52131</v>
      </c>
      <c r="C26">
        <f>'Planilha CP Meli'!E87</f>
        <v>40.19</v>
      </c>
      <c r="D26" t="str">
        <f>IFERROR(VLOOKUP(A26,'Base MLB'!A:B,2,0)," ")</f>
        <v>Clássico</v>
      </c>
      <c r="E26" s="1">
        <f>IFERROR(VLOOKUP(A26,'Base MLB'!A:C,3,0)," ")</f>
        <v>0.115</v>
      </c>
      <c r="F26" s="1">
        <f t="shared" si="0"/>
        <v>5.1005127163815417E-2</v>
      </c>
      <c r="G26" s="1">
        <f t="shared" si="1"/>
        <v>7.4999999999999997E-2</v>
      </c>
      <c r="H26" s="1">
        <f t="shared" si="2"/>
        <v>7.4999999999999997E-2</v>
      </c>
      <c r="I26" s="2">
        <f>'Planilha CP Meli'!G87</f>
        <v>787.96</v>
      </c>
      <c r="J26" s="2">
        <f>IFERROR(INDEX('Base com preços'!$C:$O,MATCH(B26,'Base com preços'!$A:$A,0),MATCH(G26,'Base com preços'!$C$1:$O$1,0)),IFERROR(INDEX('Boa forma'!$C:$O,MATCH(A26,'Boa forma'!$A:$A,0),MATCH(G26,'Boa forma'!$C$1:$O$1,0)),""))</f>
        <v>719.15618660069276</v>
      </c>
      <c r="K26" s="2">
        <f t="shared" si="3"/>
        <v>-68.803813399307273</v>
      </c>
      <c r="L26" t="str">
        <f t="shared" si="4"/>
        <v>Sim</v>
      </c>
    </row>
    <row r="27" spans="1:12" x14ac:dyDescent="0.25">
      <c r="A27" t="str">
        <f>'Planilha CP Meli'!B9</f>
        <v>MLB3474507063</v>
      </c>
      <c r="B27" t="str">
        <f>'Planilha CP Meli'!C9</f>
        <v>PA66716</v>
      </c>
      <c r="C27">
        <f>'Planilha CP Meli'!E9</f>
        <v>197.84</v>
      </c>
      <c r="D27" t="str">
        <f>IFERROR(VLOOKUP(A27,'Base MLB'!A:B,2,0)," ")</f>
        <v>Premium</v>
      </c>
      <c r="E27" s="1">
        <f>IFERROR(VLOOKUP(A27,'Base MLB'!A:C,3,0)," ")</f>
        <v>0.16500000000000001</v>
      </c>
      <c r="F27" s="1">
        <f t="shared" si="0"/>
        <v>0.08</v>
      </c>
      <c r="G27" s="1">
        <f t="shared" si="1"/>
        <v>9.5000000000000001E-2</v>
      </c>
      <c r="H27" s="1">
        <f t="shared" si="2"/>
        <v>9.5000000000000001E-2</v>
      </c>
      <c r="I27" s="2">
        <f>'Planilha CP Meli'!G9</f>
        <v>2473</v>
      </c>
      <c r="J27" s="2">
        <f>IFERROR(INDEX('Base com preços'!$C:$O,MATCH(B27,'Base com preços'!$A:$A,0),MATCH(G27,'Base com preços'!$C$1:$O$1,0)),IFERROR(INDEX('Boa forma'!$C:$O,MATCH(A27,'Boa forma'!$A:$A,0),MATCH(G27,'Boa forma'!$C$1:$O$1,0)),""))</f>
        <v>2655.4960096269688</v>
      </c>
      <c r="K27" s="6">
        <f t="shared" si="3"/>
        <v>182.49600962696877</v>
      </c>
      <c r="L27" t="str">
        <f t="shared" si="4"/>
        <v>Não</v>
      </c>
    </row>
    <row r="28" spans="1:12" x14ac:dyDescent="0.25">
      <c r="A28" t="str">
        <f>'Planilha CP Meli'!B64</f>
        <v>MLB3595927625</v>
      </c>
      <c r="B28" t="str">
        <f>'Planilha CP Meli'!C64</f>
        <v>PA56269</v>
      </c>
      <c r="C28">
        <f>'Planilha CP Meli'!E64</f>
        <v>172.87</v>
      </c>
      <c r="D28" t="str">
        <f>IFERROR(VLOOKUP(A28,'Base MLB'!A:B,2,0)," ")</f>
        <v>Premium</v>
      </c>
      <c r="E28" s="1">
        <f>IFERROR(VLOOKUP(A28,'Base MLB'!A:C,3,0)," ")</f>
        <v>0.16500000000000001</v>
      </c>
      <c r="F28" s="1">
        <f t="shared" si="0"/>
        <v>7.9996483060847681E-2</v>
      </c>
      <c r="G28" s="1">
        <f t="shared" si="1"/>
        <v>9.5000000000000001E-2</v>
      </c>
      <c r="H28" s="1">
        <f t="shared" si="2"/>
        <v>9.5000000000000001E-2</v>
      </c>
      <c r="I28" s="2">
        <f>'Planilha CP Meli'!G64</f>
        <v>2160.9699999999998</v>
      </c>
      <c r="J28" s="2">
        <f>IFERROR(INDEX('Base com preços'!$C:$O,MATCH(B28,'Base com preços'!$A:$A,0),MATCH(G28,'Base com preços'!$C$1:$O$1,0)),IFERROR(INDEX('Boa forma'!$C:$O,MATCH(A28,'Boa forma'!$A:$A,0),MATCH(G28,'Boa forma'!$C$1:$O$1,0)),""))</f>
        <v>2096.1384063155992</v>
      </c>
      <c r="K28" s="2">
        <f t="shared" si="3"/>
        <v>-64.831593684400559</v>
      </c>
      <c r="L28" t="str">
        <f t="shared" si="4"/>
        <v>Sim</v>
      </c>
    </row>
    <row r="29" spans="1:12" x14ac:dyDescent="0.25">
      <c r="A29" t="str">
        <f>'Planilha CP Meli'!B55</f>
        <v>MLB3595858305</v>
      </c>
      <c r="B29" t="str">
        <f>'Planilha CP Meli'!C55</f>
        <v>PA62215</v>
      </c>
      <c r="C29">
        <f>'Planilha CP Meli'!E55</f>
        <v>45.64</v>
      </c>
      <c r="D29" t="str">
        <f>IFERROR(VLOOKUP(A29,'Base MLB'!A:B,2,0)," ")</f>
        <v>Clássico</v>
      </c>
      <c r="E29" s="1">
        <f>IFERROR(VLOOKUP(A29,'Base MLB'!A:C,3,0)," ")</f>
        <v>0.115</v>
      </c>
      <c r="F29" s="1">
        <f t="shared" si="0"/>
        <v>7.0000000000000007E-2</v>
      </c>
      <c r="G29" s="1">
        <f t="shared" si="1"/>
        <v>5.5E-2</v>
      </c>
      <c r="H29" s="1">
        <f t="shared" si="2"/>
        <v>5.5E-2</v>
      </c>
      <c r="I29" s="2">
        <f>'Planilha CP Meli'!G55</f>
        <v>652</v>
      </c>
      <c r="J29" s="2">
        <f>IFERROR(INDEX('Base com preços'!$C:$O,MATCH(B29,'Base com preços'!$A:$A,0),MATCH(G29,'Base com preços'!$C$1:$O$1,0)),IFERROR(INDEX('Boa forma'!$C:$O,MATCH(A29,'Boa forma'!$A:$A,0),MATCH(G29,'Boa forma'!$C$1:$O$1,0)),""))</f>
        <v>646.93314676701527</v>
      </c>
      <c r="K29" s="2">
        <f t="shared" si="3"/>
        <v>-5.0668532329847267</v>
      </c>
      <c r="L29" t="str">
        <f t="shared" si="4"/>
        <v>Sim</v>
      </c>
    </row>
    <row r="30" spans="1:12" x14ac:dyDescent="0.25">
      <c r="A30" t="str">
        <f>'Planilha CP Meli'!B212</f>
        <v>MLB5273989912</v>
      </c>
      <c r="B30" t="str">
        <f>'Planilha CP Meli'!C212</f>
        <v>PA66715</v>
      </c>
      <c r="C30">
        <f>'Planilha CP Meli'!E212</f>
        <v>143.04</v>
      </c>
      <c r="D30" t="str">
        <f>IFERROR(VLOOKUP(A30,'Base MLB'!A:B,2,0)," ")</f>
        <v>Clássico</v>
      </c>
      <c r="E30" s="1">
        <f>IFERROR(VLOOKUP(A30,'Base MLB'!A:C,3,0)," ")</f>
        <v>0.115</v>
      </c>
      <c r="F30" s="1">
        <f t="shared" si="0"/>
        <v>0.08</v>
      </c>
      <c r="G30" s="1">
        <f t="shared" si="1"/>
        <v>4.4999999999999998E-2</v>
      </c>
      <c r="H30" s="1">
        <f t="shared" si="2"/>
        <v>4.4999999999999998E-2</v>
      </c>
      <c r="I30" s="2">
        <f>'Planilha CP Meli'!G212</f>
        <v>1788</v>
      </c>
      <c r="J30" s="2">
        <f>IFERROR(INDEX('Base com preços'!$C:$O,MATCH(B30,'Base com preços'!$A:$A,0),MATCH(G30,'Base com preços'!$C$1:$O$1,0)),IFERROR(INDEX('Boa forma'!$C:$O,MATCH(A30,'Boa forma'!$A:$A,0),MATCH(G30,'Boa forma'!$C$1:$O$1,0)),""))</f>
        <v>1931.0264858125427</v>
      </c>
      <c r="K30" s="2">
        <f t="shared" si="3"/>
        <v>143.02648581254266</v>
      </c>
      <c r="L30" t="str">
        <f t="shared" si="4"/>
        <v>Não</v>
      </c>
    </row>
    <row r="31" spans="1:12" x14ac:dyDescent="0.25">
      <c r="A31" t="str">
        <f>'Planilha CP Meli'!B31</f>
        <v>MLB3550443351</v>
      </c>
      <c r="B31" t="str">
        <f>'Planilha CP Meli'!C31</f>
        <v>PA66406</v>
      </c>
      <c r="C31">
        <f>'Planilha CP Meli'!E31</f>
        <v>92.16</v>
      </c>
      <c r="D31" t="str">
        <f>IFERROR(VLOOKUP(A31,'Base MLB'!A:B,2,0)," ")</f>
        <v>Premium</v>
      </c>
      <c r="E31" s="1">
        <f>IFERROR(VLOOKUP(A31,'Base MLB'!A:C,3,0)," ")</f>
        <v>0.16500000000000001</v>
      </c>
      <c r="F31" s="1">
        <f t="shared" si="0"/>
        <v>0.08</v>
      </c>
      <c r="G31" s="1">
        <f t="shared" si="1"/>
        <v>9.5000000000000001E-2</v>
      </c>
      <c r="H31" s="1">
        <f t="shared" si="2"/>
        <v>9.5000000000000001E-2</v>
      </c>
      <c r="I31" s="2">
        <f>'Planilha CP Meli'!G31</f>
        <v>1152</v>
      </c>
      <c r="J31" s="2">
        <f>IFERROR(INDEX('Base com preços'!$C:$O,MATCH(B31,'Base com preços'!$A:$A,0),MATCH(G31,'Base com preços'!$C$1:$O$1,0)),IFERROR(INDEX('Boa forma'!$C:$O,MATCH(A31,'Boa forma'!$A:$A,0),MATCH(G31,'Boa forma'!$C$1:$O$1,0)),""))</f>
        <v>1120.6751823202273</v>
      </c>
      <c r="K31" s="2">
        <f t="shared" si="3"/>
        <v>-31.32481767977265</v>
      </c>
      <c r="L31" t="str">
        <f t="shared" si="4"/>
        <v>Sim</v>
      </c>
    </row>
    <row r="32" spans="1:12" x14ac:dyDescent="0.25">
      <c r="A32" t="str">
        <f>'Planilha CP Meli'!B11</f>
        <v>MLB3474545857</v>
      </c>
      <c r="B32" t="str">
        <f>'Planilha CP Meli'!C11</f>
        <v>PA66724</v>
      </c>
      <c r="C32">
        <f>'Planilha CP Meli'!E11</f>
        <v>162.02000000000001</v>
      </c>
      <c r="D32" t="str">
        <f>IFERROR(VLOOKUP(A32,'Base MLB'!A:B,2,0)," ")</f>
        <v>Premium</v>
      </c>
      <c r="E32" s="1">
        <f>IFERROR(VLOOKUP(A32,'Base MLB'!A:C,3,0)," ")</f>
        <v>0.16500000000000001</v>
      </c>
      <c r="F32" s="1">
        <f t="shared" si="0"/>
        <v>7.9995260125310441E-2</v>
      </c>
      <c r="G32" s="1">
        <f t="shared" si="1"/>
        <v>9.5000000000000001E-2</v>
      </c>
      <c r="H32" s="1">
        <f t="shared" si="2"/>
        <v>9.5000000000000001E-2</v>
      </c>
      <c r="I32" s="2">
        <f>'Planilha CP Meli'!G11</f>
        <v>2025.37</v>
      </c>
      <c r="J32" s="2">
        <f>IFERROR(INDEX('Base com preços'!$C:$O,MATCH(B32,'Base com preços'!$A:$A,0),MATCH(G32,'Base com preços'!$C$1:$O$1,0)),IFERROR(INDEX('Boa forma'!$C:$O,MATCH(A32,'Boa forma'!$A:$A,0),MATCH(G32,'Boa forma'!$C$1:$O$1,0)),""))</f>
        <v>1964.6045762625704</v>
      </c>
      <c r="K32" s="2">
        <f t="shared" si="3"/>
        <v>-60.765423737429501</v>
      </c>
      <c r="L32" t="str">
        <f t="shared" si="4"/>
        <v>Sim</v>
      </c>
    </row>
    <row r="33" spans="1:12" x14ac:dyDescent="0.25">
      <c r="A33" t="str">
        <f>'Planilha CP Meli'!B10</f>
        <v>MLB3474545447</v>
      </c>
      <c r="B33" t="str">
        <f>'Planilha CP Meli'!C10</f>
        <v>PA85357</v>
      </c>
      <c r="C33">
        <f>'Planilha CP Meli'!E10</f>
        <v>107.34</v>
      </c>
      <c r="D33" t="str">
        <f>IFERROR(VLOOKUP(A33,'Base MLB'!A:B,2,0)," ")</f>
        <v>Premium</v>
      </c>
      <c r="E33" s="1">
        <f>IFERROR(VLOOKUP(A33,'Base MLB'!A:C,3,0)," ")</f>
        <v>0.16500000000000001</v>
      </c>
      <c r="F33" s="1">
        <f t="shared" si="0"/>
        <v>7.9997018929795799E-2</v>
      </c>
      <c r="G33" s="1">
        <f t="shared" si="1"/>
        <v>9.5000000000000001E-2</v>
      </c>
      <c r="H33" s="1">
        <f t="shared" si="2"/>
        <v>9.5000000000000001E-2</v>
      </c>
      <c r="I33" s="2">
        <f>'Planilha CP Meli'!G10</f>
        <v>1341.8</v>
      </c>
      <c r="J33" s="2">
        <f>IFERROR(INDEX('Base com preços'!$C:$O,MATCH(B33,'Base com preços'!$A:$A,0),MATCH(G33,'Base com preços'!$C$1:$O$1,0)),IFERROR(INDEX('Boa forma'!$C:$O,MATCH(A33,'Boa forma'!$A:$A,0),MATCH(G33,'Boa forma'!$C$1:$O$1,0)),""))</f>
        <v>1301.5420176951254</v>
      </c>
      <c r="K33" s="6">
        <f t="shared" si="3"/>
        <v>-40.257982304874531</v>
      </c>
      <c r="L33" t="str">
        <f t="shared" si="4"/>
        <v>Sim</v>
      </c>
    </row>
    <row r="34" spans="1:12" x14ac:dyDescent="0.25">
      <c r="A34" t="str">
        <f>'Planilha CP Meli'!B38</f>
        <v>MLB3556422353</v>
      </c>
      <c r="B34" t="str">
        <f>'Planilha CP Meli'!C38</f>
        <v>PA56268</v>
      </c>
      <c r="C34">
        <f>'Planilha CP Meli'!E38</f>
        <v>131.36000000000001</v>
      </c>
      <c r="D34" t="str">
        <f>IFERROR(VLOOKUP(A34,'Base MLB'!A:B,2,0)," ")</f>
        <v>Premium</v>
      </c>
      <c r="E34" s="1">
        <f>IFERROR(VLOOKUP(A34,'Base MLB'!A:C,3,0)," ")</f>
        <v>0.16500000000000001</v>
      </c>
      <c r="F34" s="1">
        <f t="shared" si="0"/>
        <v>0.08</v>
      </c>
      <c r="G34" s="1">
        <f t="shared" si="1"/>
        <v>9.5000000000000001E-2</v>
      </c>
      <c r="H34" s="1">
        <f t="shared" si="2"/>
        <v>9.5000000000000001E-2</v>
      </c>
      <c r="I34" s="2">
        <f>'Planilha CP Meli'!G38</f>
        <v>1642</v>
      </c>
      <c r="J34" s="2">
        <f>IFERROR(INDEX('Base com preços'!$C:$O,MATCH(B34,'Base com preços'!$A:$A,0),MATCH(G34,'Base com preços'!$C$1:$O$1,0)),IFERROR(INDEX('Boa forma'!$C:$O,MATCH(A34,'Boa forma'!$A:$A,0),MATCH(G34,'Boa forma'!$C$1:$O$1,0)),""))</f>
        <v>1752.6074885860867</v>
      </c>
      <c r="K34" s="2">
        <f t="shared" si="3"/>
        <v>110.60748858608667</v>
      </c>
      <c r="L34" t="str">
        <f t="shared" si="4"/>
        <v>Não</v>
      </c>
    </row>
    <row r="35" spans="1:12" x14ac:dyDescent="0.25">
      <c r="A35" t="str">
        <f>'Planilha CP Meli'!B36</f>
        <v>MLB3556253923</v>
      </c>
      <c r="B35" t="str">
        <f>'Planilha CP Meli'!C36</f>
        <v>PA66420</v>
      </c>
      <c r="C35">
        <f>'Planilha CP Meli'!E36</f>
        <v>125.1</v>
      </c>
      <c r="D35" t="str">
        <f>IFERROR(VLOOKUP(A35,'Base MLB'!A:B,2,0)," ")</f>
        <v>Premium</v>
      </c>
      <c r="E35" s="1">
        <f>IFERROR(VLOOKUP(A35,'Base MLB'!A:C,3,0)," ")</f>
        <v>0.16500000000000001</v>
      </c>
      <c r="F35" s="1">
        <f t="shared" si="0"/>
        <v>7.9994884419861245E-2</v>
      </c>
      <c r="G35" s="1">
        <f t="shared" si="1"/>
        <v>9.5000000000000001E-2</v>
      </c>
      <c r="H35" s="1">
        <f t="shared" si="2"/>
        <v>9.5000000000000001E-2</v>
      </c>
      <c r="I35" s="2">
        <f>'Planilha CP Meli'!G36</f>
        <v>1563.85</v>
      </c>
      <c r="J35" s="2">
        <f>IFERROR(INDEX('Base com preços'!$C:$O,MATCH(B35,'Base com preços'!$A:$A,0),MATCH(G35,'Base com preços'!$C$1:$O$1,0)),IFERROR(INDEX('Boa forma'!$C:$O,MATCH(A35,'Boa forma'!$A:$A,0),MATCH(G35,'Boa forma'!$C$1:$O$1,0)),""))</f>
        <v>1516.9308363658427</v>
      </c>
      <c r="K35" s="2">
        <f t="shared" si="3"/>
        <v>-46.919163634157258</v>
      </c>
      <c r="L35" t="str">
        <f t="shared" si="4"/>
        <v>Sim</v>
      </c>
    </row>
    <row r="36" spans="1:12" x14ac:dyDescent="0.25">
      <c r="A36" t="str">
        <f>'Planilha CP Meli'!B16</f>
        <v>MLB3482170647</v>
      </c>
      <c r="B36" t="str">
        <f>'Planilha CP Meli'!C16</f>
        <v>PA66724</v>
      </c>
      <c r="C36">
        <f>'Planilha CP Meli'!E16</f>
        <v>95.46</v>
      </c>
      <c r="D36" t="str">
        <f>IFERROR(VLOOKUP(A36,'Base MLB'!A:B,2,0)," ")</f>
        <v>Clássico</v>
      </c>
      <c r="E36" s="1">
        <f>IFERROR(VLOOKUP(A36,'Base MLB'!A:C,3,0)," ")</f>
        <v>0.115</v>
      </c>
      <c r="F36" s="1">
        <f t="shared" si="0"/>
        <v>4.7132361654224436E-2</v>
      </c>
      <c r="G36" s="1">
        <f t="shared" si="1"/>
        <v>7.4999999999999997E-2</v>
      </c>
      <c r="H36" s="1">
        <f t="shared" si="2"/>
        <v>7.4999999999999997E-2</v>
      </c>
      <c r="I36" s="2">
        <f>'Planilha CP Meli'!G16</f>
        <v>2025.36</v>
      </c>
      <c r="J36" s="2">
        <f>IFERROR(INDEX('Base com preços'!$C:$O,MATCH(B36,'Base com preços'!$A:$A,0),MATCH(G36,'Base com preços'!$C$1:$O$1,0)),IFERROR(INDEX('Boa forma'!$C:$O,MATCH(A36,'Boa forma'!$A:$A,0),MATCH(G36,'Boa forma'!$C$1:$O$1,0)),""))</f>
        <v>1848.4964458054524</v>
      </c>
      <c r="K36" s="6">
        <f t="shared" si="3"/>
        <v>-176.86355419454753</v>
      </c>
      <c r="L36" t="str">
        <f t="shared" si="4"/>
        <v>Sim</v>
      </c>
    </row>
    <row r="37" spans="1:12" x14ac:dyDescent="0.25">
      <c r="A37" t="str">
        <f>'Planilha CP Meli'!B114</f>
        <v>MLB4144905284</v>
      </c>
      <c r="B37" t="str">
        <f>'Planilha CP Meli'!C114</f>
        <v>PA66795</v>
      </c>
      <c r="C37">
        <f>'Planilha CP Meli'!E114</f>
        <v>225.72</v>
      </c>
      <c r="D37" t="str">
        <f>IFERROR(VLOOKUP(A37,'Base MLB'!A:B,2,0)," ")</f>
        <v>Clássico</v>
      </c>
      <c r="E37" s="1">
        <f>IFERROR(VLOOKUP(A37,'Base MLB'!A:C,3,0)," ")</f>
        <v>0.115</v>
      </c>
      <c r="F37" s="1">
        <f t="shared" si="0"/>
        <v>5.260594252313687E-2</v>
      </c>
      <c r="G37" s="1">
        <f t="shared" si="1"/>
        <v>7.4999999999999997E-2</v>
      </c>
      <c r="H37" s="1">
        <f t="shared" si="2"/>
        <v>7.4999999999999997E-2</v>
      </c>
      <c r="I37" s="2">
        <f>'Planilha CP Meli'!G114</f>
        <v>4290.7700000000004</v>
      </c>
      <c r="J37" s="2">
        <f>IFERROR(INDEX('Base com preços'!$C:$O,MATCH(B37,'Base com preços'!$A:$A,0),MATCH(G37,'Base com preços'!$C$1:$O$1,0)),IFERROR(INDEX('Boa forma'!$C:$O,MATCH(A37,'Boa forma'!$A:$A,0),MATCH(G37,'Boa forma'!$C$1:$O$1,0)),""))</f>
        <v>3916.0663950902144</v>
      </c>
      <c r="K37" s="2">
        <f t="shared" si="3"/>
        <v>-374.70360490978601</v>
      </c>
      <c r="L37" t="str">
        <f t="shared" si="4"/>
        <v>Sim</v>
      </c>
    </row>
    <row r="38" spans="1:12" x14ac:dyDescent="0.25">
      <c r="A38" t="str">
        <f>'Planilha CP Meli'!B40</f>
        <v>MLB3569840133</v>
      </c>
      <c r="B38" t="str">
        <f>'Planilha CP Meli'!C40</f>
        <v>PA51667</v>
      </c>
      <c r="C38">
        <f>'Planilha CP Meli'!E40</f>
        <v>33.18</v>
      </c>
      <c r="D38" t="str">
        <f>IFERROR(VLOOKUP(A38,'Base MLB'!A:B,2,0)," ")</f>
        <v>Premium</v>
      </c>
      <c r="E38" s="1">
        <f>IFERROR(VLOOKUP(A38,'Base MLB'!A:C,3,0)," ")</f>
        <v>0.16500000000000001</v>
      </c>
      <c r="F38" s="1">
        <f t="shared" si="0"/>
        <v>6.9999999999999993E-2</v>
      </c>
      <c r="G38" s="1">
        <f t="shared" si="1"/>
        <v>0.105</v>
      </c>
      <c r="H38" s="1">
        <f t="shared" si="2"/>
        <v>0.105</v>
      </c>
      <c r="I38" s="2">
        <f>'Planilha CP Meli'!G40</f>
        <v>474</v>
      </c>
      <c r="J38" s="2">
        <f>IFERROR(INDEX('Base com preços'!$C:$O,MATCH(B38,'Base com preços'!$A:$A,0),MATCH(G38,'Base com preços'!$C$1:$O$1,0)),IFERROR(INDEX('Boa forma'!$C:$O,MATCH(A38,'Boa forma'!$A:$A,0),MATCH(G38,'Boa forma'!$C$1:$O$1,0)),""))</f>
        <v>584.84001016428033</v>
      </c>
      <c r="K38" s="2">
        <f t="shared" si="3"/>
        <v>110.84001016428033</v>
      </c>
      <c r="L38" t="str">
        <f t="shared" si="4"/>
        <v>Não</v>
      </c>
    </row>
    <row r="39" spans="1:12" x14ac:dyDescent="0.25">
      <c r="A39" t="str">
        <f>'Planilha CP Meli'!B202</f>
        <v>MLB5186926186</v>
      </c>
      <c r="B39" t="str">
        <f>'Planilha CP Meli'!C202</f>
        <v>PA94860</v>
      </c>
      <c r="C39">
        <f>'Planilha CP Meli'!E202</f>
        <v>106.03</v>
      </c>
      <c r="D39" t="str">
        <f>IFERROR(VLOOKUP(A39,'Base MLB'!A:B,2,0)," ")</f>
        <v>Clássico</v>
      </c>
      <c r="E39" s="1">
        <f>IFERROR(VLOOKUP(A39,'Base MLB'!A:C,3,0)," ")</f>
        <v>0.115</v>
      </c>
      <c r="F39" s="1">
        <f t="shared" si="0"/>
        <v>7.999607677450507E-2</v>
      </c>
      <c r="G39" s="1">
        <f t="shared" si="1"/>
        <v>4.4999999999999998E-2</v>
      </c>
      <c r="H39" s="1">
        <f t="shared" si="2"/>
        <v>4.4999999999999998E-2</v>
      </c>
      <c r="I39" s="2">
        <f>'Planilha CP Meli'!G202</f>
        <v>1325.44</v>
      </c>
      <c r="J39" s="2">
        <f>IFERROR(INDEX('Base com preços'!$C:$O,MATCH(B39,'Base com preços'!$A:$A,0),MATCH(G39,'Base com preços'!$C$1:$O$1,0)),IFERROR(INDEX('Boa forma'!$C:$O,MATCH(A39,'Boa forma'!$A:$A,0),MATCH(G39,'Boa forma'!$C$1:$O$1,0)),""))</f>
        <v>1104.0524862415027</v>
      </c>
      <c r="K39" s="2">
        <f t="shared" si="3"/>
        <v>-221.38751375849733</v>
      </c>
      <c r="L39" t="str">
        <f t="shared" si="4"/>
        <v>Sim</v>
      </c>
    </row>
    <row r="40" spans="1:12" x14ac:dyDescent="0.25">
      <c r="A40" t="str">
        <f>'Planilha CP Meli'!B30</f>
        <v>MLB3548950907</v>
      </c>
      <c r="B40" t="str">
        <f>'Planilha CP Meli'!C30</f>
        <v>PA69851</v>
      </c>
      <c r="C40">
        <f>'Planilha CP Meli'!E30</f>
        <v>191.76</v>
      </c>
      <c r="D40" t="str">
        <f>IFERROR(VLOOKUP(A40,'Base MLB'!A:B,2,0)," ")</f>
        <v>Premium</v>
      </c>
      <c r="E40" s="1">
        <f>IFERROR(VLOOKUP(A40,'Base MLB'!A:C,3,0)," ")</f>
        <v>0.16500000000000001</v>
      </c>
      <c r="F40" s="1">
        <f t="shared" si="0"/>
        <v>0.08</v>
      </c>
      <c r="G40" s="1">
        <f t="shared" si="1"/>
        <v>9.5000000000000001E-2</v>
      </c>
      <c r="H40" s="1">
        <f t="shared" si="2"/>
        <v>9.5000000000000001E-2</v>
      </c>
      <c r="I40" s="2">
        <f>'Planilha CP Meli'!G30</f>
        <v>2397</v>
      </c>
      <c r="J40" s="2">
        <f>IFERROR(INDEX('Base com preços'!$C:$O,MATCH(B40,'Base com preços'!$A:$A,0),MATCH(G40,'Base com preços'!$C$1:$O$1,0)),IFERROR(INDEX('Boa forma'!$C:$O,MATCH(A40,'Boa forma'!$A:$A,0),MATCH(G40,'Boa forma'!$C$1:$O$1,0)),""))</f>
        <v>2181.9533706307757</v>
      </c>
      <c r="K40" s="2">
        <f t="shared" si="3"/>
        <v>-215.04662936922432</v>
      </c>
      <c r="L40" t="str">
        <f t="shared" si="4"/>
        <v>Sim</v>
      </c>
    </row>
    <row r="41" spans="1:12" x14ac:dyDescent="0.25">
      <c r="A41" t="str">
        <f>'Planilha CP Meli'!B6</f>
        <v>MLB3473649173</v>
      </c>
      <c r="B41" t="str">
        <f>'Planilha CP Meli'!C6</f>
        <v>PA85366</v>
      </c>
      <c r="C41">
        <f>'Planilha CP Meli'!E6</f>
        <v>100.98</v>
      </c>
      <c r="D41" t="str">
        <f>IFERROR(VLOOKUP(A41,'Base MLB'!A:B,2,0)," ")</f>
        <v>Clássico</v>
      </c>
      <c r="E41" s="1">
        <f>IFERROR(VLOOKUP(A41,'Base MLB'!A:C,3,0)," ")</f>
        <v>0.115</v>
      </c>
      <c r="F41" s="1">
        <f t="shared" si="0"/>
        <v>5.0866411444690715E-2</v>
      </c>
      <c r="G41" s="1">
        <f t="shared" si="1"/>
        <v>7.4999999999999997E-2</v>
      </c>
      <c r="H41" s="1">
        <f t="shared" si="2"/>
        <v>7.4999999999999997E-2</v>
      </c>
      <c r="I41" s="2">
        <f>'Planilha CP Meli'!G6</f>
        <v>1985.2</v>
      </c>
      <c r="J41" s="2">
        <f>IFERROR(INDEX('Base com preços'!$C:$O,MATCH(B41,'Base com preços'!$A:$A,0),MATCH(G41,'Base com preços'!$C$1:$O$1,0)),IFERROR(INDEX('Boa forma'!$C:$O,MATCH(A41,'Boa forma'!$A:$A,0),MATCH(G41,'Boa forma'!$C$1:$O$1,0)),""))</f>
        <v>1811.8490454025255</v>
      </c>
      <c r="K41" s="2">
        <f t="shared" si="3"/>
        <v>-173.35095459747458</v>
      </c>
      <c r="L41" t="str">
        <f t="shared" si="4"/>
        <v>Sim</v>
      </c>
    </row>
    <row r="42" spans="1:12" x14ac:dyDescent="0.25">
      <c r="A42" t="str">
        <f>'Planilha CP Meli'!B49</f>
        <v>MLB3588170741</v>
      </c>
      <c r="B42" t="str">
        <f>'Planilha CP Meli'!C49</f>
        <v>PA62750</v>
      </c>
      <c r="C42">
        <f>'Planilha CP Meli'!E49</f>
        <v>94.64</v>
      </c>
      <c r="D42" t="str">
        <f>IFERROR(VLOOKUP(A42,'Base MLB'!A:B,2,0)," ")</f>
        <v>Clássico</v>
      </c>
      <c r="E42" s="1">
        <f>IFERROR(VLOOKUP(A42,'Base MLB'!A:C,3,0)," ")</f>
        <v>0.115</v>
      </c>
      <c r="F42" s="1">
        <f t="shared" si="0"/>
        <v>0.08</v>
      </c>
      <c r="G42" s="1">
        <f t="shared" si="1"/>
        <v>4.4999999999999998E-2</v>
      </c>
      <c r="H42" s="1">
        <f t="shared" si="2"/>
        <v>4.4999999999999998E-2</v>
      </c>
      <c r="I42" s="2">
        <f>'Planilha CP Meli'!G49</f>
        <v>1183</v>
      </c>
      <c r="J42" s="2">
        <f>IFERROR(INDEX('Base com preços'!$C:$O,MATCH(B42,'Base com preços'!$A:$A,0),MATCH(G42,'Base com preços'!$C$1:$O$1,0)),IFERROR(INDEX('Boa forma'!$C:$O,MATCH(A42,'Boa forma'!$A:$A,0),MATCH(G42,'Boa forma'!$C$1:$O$1,0)),""))</f>
        <v>1314.7620091911413</v>
      </c>
      <c r="K42" s="2">
        <f t="shared" si="3"/>
        <v>131.76200919114126</v>
      </c>
      <c r="L42" t="str">
        <f t="shared" si="4"/>
        <v>Não</v>
      </c>
    </row>
    <row r="43" spans="1:12" x14ac:dyDescent="0.25">
      <c r="A43" t="str">
        <f>'Planilha CP Meli'!B139</f>
        <v>MLB4303878982</v>
      </c>
      <c r="B43" t="str">
        <f>'Planilha CP Meli'!C139</f>
        <v>PA56275</v>
      </c>
      <c r="C43">
        <f>'Planilha CP Meli'!E139</f>
        <v>146.38999999999999</v>
      </c>
      <c r="D43" t="str">
        <f>IFERROR(VLOOKUP(A43,'Base MLB'!A:B,2,0)," ")</f>
        <v>Premium</v>
      </c>
      <c r="E43" s="1">
        <f>IFERROR(VLOOKUP(A43,'Base MLB'!A:C,3,0)," ")</f>
        <v>0.16500000000000001</v>
      </c>
      <c r="F43" s="1">
        <f t="shared" si="0"/>
        <v>7.0043062200956935E-2</v>
      </c>
      <c r="G43" s="1">
        <f t="shared" si="1"/>
        <v>0.105</v>
      </c>
      <c r="H43" s="1">
        <f t="shared" si="2"/>
        <v>0.105</v>
      </c>
      <c r="I43" s="2">
        <f>'Planilha CP Meli'!G139</f>
        <v>2090</v>
      </c>
      <c r="J43" s="2">
        <f>IFERROR(INDEX('Base com preços'!$C:$O,MATCH(B43,'Base com preços'!$A:$A,0),MATCH(G43,'Base com preços'!$C$1:$O$1,0)),IFERROR(INDEX('Boa forma'!$C:$O,MATCH(A43,'Boa forma'!$A:$A,0),MATCH(G43,'Boa forma'!$C$1:$O$1,0)),""))</f>
        <v>1961.5090556775419</v>
      </c>
      <c r="K43" s="2">
        <f t="shared" si="3"/>
        <v>-128.49094432245806</v>
      </c>
      <c r="L43" t="str">
        <f t="shared" si="4"/>
        <v>Sim</v>
      </c>
    </row>
    <row r="44" spans="1:12" x14ac:dyDescent="0.25">
      <c r="A44" t="str">
        <f>'Planilha CP Meli'!B7</f>
        <v>MLB3473661733</v>
      </c>
      <c r="B44" t="str">
        <f>'Planilha CP Meli'!C7</f>
        <v>PA85347</v>
      </c>
      <c r="C44">
        <f>'Planilha CP Meli'!E7</f>
        <v>87.92</v>
      </c>
      <c r="D44" t="str">
        <f>IFERROR(VLOOKUP(A44,'Base MLB'!A:B,2,0)," ")</f>
        <v>Clássico</v>
      </c>
      <c r="E44" s="1">
        <f>IFERROR(VLOOKUP(A44,'Base MLB'!A:C,3,0)," ")</f>
        <v>0.115</v>
      </c>
      <c r="F44" s="1">
        <f t="shared" si="0"/>
        <v>0.08</v>
      </c>
      <c r="G44" s="1">
        <f t="shared" si="1"/>
        <v>4.4999999999999998E-2</v>
      </c>
      <c r="H44" s="1">
        <f t="shared" si="2"/>
        <v>4.4999999999999998E-2</v>
      </c>
      <c r="I44" s="2">
        <f>'Planilha CP Meli'!G7</f>
        <v>1099</v>
      </c>
      <c r="J44" s="2">
        <f>IFERROR(INDEX('Base com preços'!$C:$O,MATCH(B44,'Base com preços'!$A:$A,0),MATCH(G44,'Base com preços'!$C$1:$O$1,0)),IFERROR(INDEX('Boa forma'!$C:$O,MATCH(A44,'Boa forma'!$A:$A,0),MATCH(G44,'Boa forma'!$C$1:$O$1,0)),""))</f>
        <v>1260.9148157838324</v>
      </c>
      <c r="K44" s="6">
        <f t="shared" si="3"/>
        <v>161.91481578383241</v>
      </c>
      <c r="L44" t="str">
        <f t="shared" si="4"/>
        <v>Não</v>
      </c>
    </row>
    <row r="45" spans="1:12" x14ac:dyDescent="0.25">
      <c r="A45" t="str">
        <f>'Planilha CP Meli'!B19</f>
        <v>MLB3504972853</v>
      </c>
      <c r="B45" t="str">
        <f>'Planilha CP Meli'!C19</f>
        <v>PA66793</v>
      </c>
      <c r="C45">
        <f>'Planilha CP Meli'!E19</f>
        <v>232.62</v>
      </c>
      <c r="D45" t="str">
        <f>IFERROR(VLOOKUP(A45,'Base MLB'!A:B,2,0)," ")</f>
        <v>Premium</v>
      </c>
      <c r="E45" s="1">
        <f>IFERROR(VLOOKUP(A45,'Base MLB'!A:C,3,0)," ")</f>
        <v>0.16500000000000001</v>
      </c>
      <c r="F45" s="1">
        <f t="shared" si="0"/>
        <v>7.9997523935292178E-2</v>
      </c>
      <c r="G45" s="1">
        <f t="shared" si="1"/>
        <v>9.5000000000000001E-2</v>
      </c>
      <c r="H45" s="1">
        <f t="shared" si="2"/>
        <v>9.5000000000000001E-2</v>
      </c>
      <c r="I45" s="2">
        <f>'Planilha CP Meli'!G19</f>
        <v>2907.84</v>
      </c>
      <c r="J45" s="2">
        <f>IFERROR(INDEX('Base com preços'!$C:$O,MATCH(B45,'Base com preços'!$A:$A,0),MATCH(G45,'Base com preços'!$C$1:$O$1,0)),IFERROR(INDEX('Boa forma'!$C:$O,MATCH(A45,'Boa forma'!$A:$A,0),MATCH(G45,'Boa forma'!$C$1:$O$1,0)),""))</f>
        <v>2820.6065864692259</v>
      </c>
      <c r="K45" s="2">
        <f t="shared" si="3"/>
        <v>-87.233413530774214</v>
      </c>
      <c r="L45" t="str">
        <f t="shared" si="4"/>
        <v>Sim</v>
      </c>
    </row>
    <row r="46" spans="1:12" x14ac:dyDescent="0.25">
      <c r="A46" t="str">
        <f>'Planilha CP Meli'!B146</f>
        <v>MLB4343853346</v>
      </c>
      <c r="B46" t="str">
        <f>'Planilha CP Meli'!C146</f>
        <v>PA85372</v>
      </c>
      <c r="C46">
        <f>'Planilha CP Meli'!E146</f>
        <v>232.92</v>
      </c>
      <c r="D46" t="str">
        <f>IFERROR(VLOOKUP(A46,'Base MLB'!A:B,2,0)," ")</f>
        <v>Clássico</v>
      </c>
      <c r="E46" s="1">
        <f>IFERROR(VLOOKUP(A46,'Base MLB'!A:C,3,0)," ")</f>
        <v>0.115</v>
      </c>
      <c r="F46" s="1">
        <f t="shared" si="0"/>
        <v>7.1500052185337767E-2</v>
      </c>
      <c r="G46" s="1">
        <f t="shared" si="1"/>
        <v>5.5E-2</v>
      </c>
      <c r="H46" s="1">
        <f t="shared" si="2"/>
        <v>5.5E-2</v>
      </c>
      <c r="I46" s="2">
        <f>'Planilha CP Meli'!G146</f>
        <v>3257.62</v>
      </c>
      <c r="J46" s="2">
        <f>IFERROR(INDEX('Base com preços'!$C:$O,MATCH(B46,'Base com preços'!$A:$A,0),MATCH(G46,'Base com preços'!$C$1:$O$1,0)),IFERROR(INDEX('Boa forma'!$C:$O,MATCH(A46,'Boa forma'!$A:$A,0),MATCH(G46,'Boa forma'!$C$1:$O$1,0)),""))</f>
        <v>2797.434838490175</v>
      </c>
      <c r="K46" s="2">
        <f t="shared" si="3"/>
        <v>-460.18516150982487</v>
      </c>
      <c r="L46" t="str">
        <f t="shared" si="4"/>
        <v>Sim</v>
      </c>
    </row>
    <row r="47" spans="1:12" x14ac:dyDescent="0.25">
      <c r="A47" t="str">
        <f>'Planilha CP Meli'!B42</f>
        <v>MLB3570548313</v>
      </c>
      <c r="B47" t="str">
        <f>'Planilha CP Meli'!C42</f>
        <v>PA52318</v>
      </c>
      <c r="C47">
        <f>'Planilha CP Meli'!E42</f>
        <v>124.55</v>
      </c>
      <c r="D47" t="str">
        <f>IFERROR(VLOOKUP(A47,'Base MLB'!A:B,2,0)," ")</f>
        <v>Clássico</v>
      </c>
      <c r="E47" s="1">
        <f>IFERROR(VLOOKUP(A47,'Base MLB'!A:C,3,0)," ")</f>
        <v>0.115</v>
      </c>
      <c r="F47" s="1">
        <f t="shared" si="0"/>
        <v>6.4123355728885112E-2</v>
      </c>
      <c r="G47" s="1">
        <f t="shared" si="1"/>
        <v>6.5000000000000002E-2</v>
      </c>
      <c r="H47" s="1">
        <f t="shared" si="2"/>
        <v>6.5000000000000002E-2</v>
      </c>
      <c r="I47" s="2">
        <f>'Planilha CP Meli'!G42</f>
        <v>1942.35</v>
      </c>
      <c r="J47" s="2">
        <f>IFERROR(INDEX('Base com preços'!$C:$O,MATCH(B47,'Base com preços'!$A:$A,0),MATCH(G47,'Base com preços'!$C$1:$O$1,0)),IFERROR(INDEX('Boa forma'!$C:$O,MATCH(A47,'Boa forma'!$A:$A,0),MATCH(G47,'Boa forma'!$C$1:$O$1,0)),""))</f>
        <v>1719.5478198052613</v>
      </c>
      <c r="K47" s="6">
        <f t="shared" si="3"/>
        <v>-222.80218019473864</v>
      </c>
      <c r="L47" t="str">
        <f t="shared" si="4"/>
        <v>Sim</v>
      </c>
    </row>
    <row r="48" spans="1:12" x14ac:dyDescent="0.25">
      <c r="A48" t="str">
        <f>'Planilha CP Meli'!B24</f>
        <v>MLB3523015145</v>
      </c>
      <c r="B48" t="str">
        <f>'Planilha CP Meli'!C24</f>
        <v>PA66792</v>
      </c>
      <c r="C48">
        <f>'Planilha CP Meli'!E24</f>
        <v>92.93</v>
      </c>
      <c r="D48" t="str">
        <f>IFERROR(VLOOKUP(A48,'Base MLB'!A:B,2,0)," ")</f>
        <v>Clássico</v>
      </c>
      <c r="E48" s="1">
        <f>IFERROR(VLOOKUP(A48,'Base MLB'!A:C,3,0)," ")</f>
        <v>0.115</v>
      </c>
      <c r="F48" s="1">
        <f t="shared" si="0"/>
        <v>4.6777708984561794E-2</v>
      </c>
      <c r="G48" s="1">
        <f t="shared" si="1"/>
        <v>7.4999999999999997E-2</v>
      </c>
      <c r="H48" s="1">
        <f t="shared" si="2"/>
        <v>7.4999999999999997E-2</v>
      </c>
      <c r="I48" s="2">
        <f>'Planilha CP Meli'!G24</f>
        <v>1986.63</v>
      </c>
      <c r="J48" s="2">
        <f>IFERROR(INDEX('Base com preços'!$C:$O,MATCH(B48,'Base com preços'!$A:$A,0),MATCH(G48,'Base com preços'!$C$1:$O$1,0)),IFERROR(INDEX('Boa forma'!$C:$O,MATCH(A48,'Boa forma'!$A:$A,0),MATCH(G48,'Boa forma'!$C$1:$O$1,0)),""))</f>
        <v>1813.1504074082682</v>
      </c>
      <c r="K48" s="2">
        <f t="shared" si="3"/>
        <v>-173.47959259173194</v>
      </c>
      <c r="L48" t="str">
        <f t="shared" si="4"/>
        <v>Sim</v>
      </c>
    </row>
    <row r="49" spans="1:12" x14ac:dyDescent="0.25">
      <c r="A49" t="str">
        <f>'Planilha CP Meli'!B35</f>
        <v>MLB3551598189</v>
      </c>
      <c r="B49" t="str">
        <f>'Planilha CP Meli'!C35</f>
        <v>PA62218</v>
      </c>
      <c r="C49">
        <f>'Planilha CP Meli'!E35</f>
        <v>91.81</v>
      </c>
      <c r="D49" t="str">
        <f>IFERROR(VLOOKUP(A49,'Base MLB'!A:B,2,0)," ")</f>
        <v>Premium</v>
      </c>
      <c r="E49" s="1">
        <f>IFERROR(VLOOKUP(A49,'Base MLB'!A:C,3,0)," ")</f>
        <v>0.16500000000000001</v>
      </c>
      <c r="F49" s="1">
        <f t="shared" si="0"/>
        <v>7.9997560253036615E-2</v>
      </c>
      <c r="G49" s="1">
        <f t="shared" si="1"/>
        <v>9.5000000000000001E-2</v>
      </c>
      <c r="H49" s="1">
        <f t="shared" si="2"/>
        <v>9.5000000000000001E-2</v>
      </c>
      <c r="I49" s="2">
        <f>'Planilha CP Meli'!G35</f>
        <v>1147.6600000000001</v>
      </c>
      <c r="J49" s="2">
        <f>IFERROR(INDEX('Base com preços'!$C:$O,MATCH(B49,'Base com preços'!$A:$A,0),MATCH(G49,'Base com preços'!$C$1:$O$1,0)),IFERROR(INDEX('Boa forma'!$C:$O,MATCH(A49,'Boa forma'!$A:$A,0),MATCH(G49,'Boa forma'!$C$1:$O$1,0)),""))</f>
        <v>1113.2334890274303</v>
      </c>
      <c r="K49" s="2">
        <f t="shared" si="3"/>
        <v>-34.426510972569758</v>
      </c>
      <c r="L49" t="str">
        <f t="shared" si="4"/>
        <v>Sim</v>
      </c>
    </row>
    <row r="50" spans="1:12" x14ac:dyDescent="0.25">
      <c r="A50" t="str">
        <f>'Planilha CP Meli'!B34</f>
        <v>MLB3551585553</v>
      </c>
      <c r="B50" t="str">
        <f>'Planilha CP Meli'!C34</f>
        <v>PA62215</v>
      </c>
      <c r="C50">
        <f>'Planilha CP Meli'!E34</f>
        <v>52.73</v>
      </c>
      <c r="D50" t="str">
        <f>IFERROR(VLOOKUP(A50,'Base MLB'!A:B,2,0)," ")</f>
        <v>Premium</v>
      </c>
      <c r="E50" s="1">
        <f>IFERROR(VLOOKUP(A50,'Base MLB'!A:C,3,0)," ")</f>
        <v>0.16500000000000001</v>
      </c>
      <c r="F50" s="1">
        <f t="shared" si="0"/>
        <v>6.9993097589465855E-2</v>
      </c>
      <c r="G50" s="1">
        <f t="shared" si="1"/>
        <v>0.105</v>
      </c>
      <c r="H50" s="1">
        <f t="shared" si="2"/>
        <v>0.105</v>
      </c>
      <c r="I50" s="2">
        <f>'Planilha CP Meli'!G34</f>
        <v>753.36</v>
      </c>
      <c r="J50" s="2">
        <f>IFERROR(INDEX('Base com preços'!$C:$O,MATCH(B50,'Base com preços'!$A:$A,0),MATCH(G50,'Base com preços'!$C$1:$O$1,0)),IFERROR(INDEX('Boa forma'!$C:$O,MATCH(A50,'Boa forma'!$A:$A,0),MATCH(G50,'Boa forma'!$C$1:$O$1,0)),""))</f>
        <v>753.35683390403176</v>
      </c>
      <c r="K50" s="2">
        <f t="shared" si="3"/>
        <v>-3.1660959682540124E-3</v>
      </c>
      <c r="L50" t="str">
        <f t="shared" si="4"/>
        <v>Sim</v>
      </c>
    </row>
    <row r="51" spans="1:12" x14ac:dyDescent="0.25">
      <c r="A51" t="str">
        <f>'Planilha CP Meli'!B32</f>
        <v>MLB3551550249</v>
      </c>
      <c r="B51" t="str">
        <f>'Planilha CP Meli'!C32</f>
        <v>PA56216</v>
      </c>
      <c r="C51">
        <f>'Planilha CP Meli'!E32</f>
        <v>164.04</v>
      </c>
      <c r="D51" t="str">
        <f>IFERROR(VLOOKUP(A51,'Base MLB'!A:B,2,0)," ")</f>
        <v>Premium</v>
      </c>
      <c r="E51" s="1">
        <f>IFERROR(VLOOKUP(A51,'Base MLB'!A:C,3,0)," ")</f>
        <v>0.16500000000000001</v>
      </c>
      <c r="F51" s="1">
        <f t="shared" si="0"/>
        <v>5.2653540729137908E-2</v>
      </c>
      <c r="G51" s="1">
        <f t="shared" si="1"/>
        <v>0.125</v>
      </c>
      <c r="H51" s="1">
        <f t="shared" si="2"/>
        <v>0.125</v>
      </c>
      <c r="I51" s="2">
        <f>'Planilha CP Meli'!G32</f>
        <v>3115.46</v>
      </c>
      <c r="J51" s="2">
        <f>IFERROR(INDEX('Base com preços'!$C:$O,MATCH(B51,'Base com preços'!$A:$A,0),MATCH(G51,'Base com preços'!$C$1:$O$1,0)),IFERROR(INDEX('Boa forma'!$C:$O,MATCH(A51,'Boa forma'!$A:$A,0),MATCH(G51,'Boa forma'!$C$1:$O$1,0)),""))</f>
        <v>2843.3965140798755</v>
      </c>
      <c r="K51" s="2">
        <f t="shared" si="3"/>
        <v>-272.06348592012455</v>
      </c>
      <c r="L51" t="str">
        <f t="shared" si="4"/>
        <v>Sim</v>
      </c>
    </row>
    <row r="52" spans="1:12" x14ac:dyDescent="0.25">
      <c r="A52" t="str">
        <f>'Planilha CP Meli'!B127</f>
        <v>MLB4263803583</v>
      </c>
      <c r="B52" t="str">
        <f>'Planilha CP Meli'!C127</f>
        <v>PA56274</v>
      </c>
      <c r="C52">
        <f>'Planilha CP Meli'!E127</f>
        <v>114.45</v>
      </c>
      <c r="D52" t="str">
        <f>IFERROR(VLOOKUP(A52,'Base MLB'!A:B,2,0)," ")</f>
        <v>Premium</v>
      </c>
      <c r="E52" s="1">
        <f>IFERROR(VLOOKUP(A52,'Base MLB'!A:C,3,0)," ")</f>
        <v>0.16500000000000001</v>
      </c>
      <c r="F52" s="1">
        <f t="shared" si="0"/>
        <v>7.9999720402899419E-2</v>
      </c>
      <c r="G52" s="1">
        <f t="shared" si="1"/>
        <v>9.5000000000000001E-2</v>
      </c>
      <c r="H52" s="1">
        <f t="shared" si="2"/>
        <v>9.5000000000000001E-2</v>
      </c>
      <c r="I52" s="2">
        <f>'Planilha CP Meli'!G127</f>
        <v>1430.63</v>
      </c>
      <c r="J52" s="2">
        <f>IFERROR(INDEX('Base com preços'!$C:$O,MATCH(B52,'Base com preços'!$A:$A,0),MATCH(G52,'Base com preços'!$C$1:$O$1,0)),IFERROR(INDEX('Boa forma'!$C:$O,MATCH(A52,'Boa forma'!$A:$A,0),MATCH(G52,'Boa forma'!$C$1:$O$1,0)),""))</f>
        <v>1387.7114457002738</v>
      </c>
      <c r="K52" s="2">
        <f t="shared" si="3"/>
        <v>-42.918554299726338</v>
      </c>
      <c r="L52" t="str">
        <f t="shared" si="4"/>
        <v>Sim</v>
      </c>
    </row>
    <row r="53" spans="1:12" x14ac:dyDescent="0.25">
      <c r="A53" t="str">
        <f>'Planilha CP Meli'!B8</f>
        <v>MLB3473786083</v>
      </c>
      <c r="B53" t="str">
        <f>'Planilha CP Meli'!C8</f>
        <v>PA85368</v>
      </c>
      <c r="C53">
        <f>'Planilha CP Meli'!E8</f>
        <v>238.24</v>
      </c>
      <c r="D53" t="str">
        <f>IFERROR(VLOOKUP(A53,'Base MLB'!A:B,2,0)," ")</f>
        <v>Clássico</v>
      </c>
      <c r="E53" s="1">
        <f>IFERROR(VLOOKUP(A53,'Base MLB'!A:C,3,0)," ")</f>
        <v>0.115</v>
      </c>
      <c r="F53" s="1">
        <f t="shared" si="0"/>
        <v>0.08</v>
      </c>
      <c r="G53" s="1">
        <f t="shared" si="1"/>
        <v>4.4999999999999998E-2</v>
      </c>
      <c r="H53" s="1">
        <f t="shared" si="2"/>
        <v>4.4999999999999998E-2</v>
      </c>
      <c r="I53" s="2">
        <f>'Planilha CP Meli'!G8</f>
        <v>2978</v>
      </c>
      <c r="J53" s="2">
        <f>IFERROR(INDEX('Base com preços'!$C:$O,MATCH(B53,'Base com preços'!$A:$A,0),MATCH(G53,'Base com preços'!$C$1:$O$1,0)),IFERROR(INDEX('Boa forma'!$C:$O,MATCH(A53,'Boa forma'!$A:$A,0),MATCH(G53,'Boa forma'!$C$1:$O$1,0)),""))</f>
        <v>2978.7966583951084</v>
      </c>
      <c r="K53" s="2">
        <f t="shared" si="3"/>
        <v>0.79665839510835212</v>
      </c>
      <c r="L53" t="str">
        <f t="shared" si="4"/>
        <v>Sim</v>
      </c>
    </row>
    <row r="54" spans="1:12" x14ac:dyDescent="0.25">
      <c r="A54" t="str">
        <f>'Planilha CP Meli'!B23</f>
        <v>MLB3523015077</v>
      </c>
      <c r="B54" t="str">
        <f>'Planilha CP Meli'!C23</f>
        <v>PA66731</v>
      </c>
      <c r="C54">
        <f>'Planilha CP Meli'!E23</f>
        <v>179.15</v>
      </c>
      <c r="D54" t="str">
        <f>IFERROR(VLOOKUP(A54,'Base MLB'!A:B,2,0)," ")</f>
        <v>Premium</v>
      </c>
      <c r="E54" s="1">
        <f>IFERROR(VLOOKUP(A54,'Base MLB'!A:C,3,0)," ")</f>
        <v>0.16500000000000001</v>
      </c>
      <c r="F54" s="1">
        <f t="shared" si="0"/>
        <v>5.1283445881150649E-2</v>
      </c>
      <c r="G54" s="1">
        <f t="shared" si="1"/>
        <v>0.125</v>
      </c>
      <c r="H54" s="1">
        <f t="shared" si="2"/>
        <v>0.125</v>
      </c>
      <c r="I54" s="2">
        <f>'Planilha CP Meli'!G23</f>
        <v>3493.33</v>
      </c>
      <c r="J54" s="2">
        <f>IFERROR(INDEX('Base com preços'!$C:$O,MATCH(B54,'Base com preços'!$A:$A,0),MATCH(G54,'Base com preços'!$C$1:$O$1,0)),IFERROR(INDEX('Boa forma'!$C:$O,MATCH(A54,'Boa forma'!$A:$A,0),MATCH(G54,'Boa forma'!$C$1:$O$1,0)),""))</f>
        <v>3188.270095774491</v>
      </c>
      <c r="K54" s="2">
        <f t="shared" si="3"/>
        <v>-305.05990422550894</v>
      </c>
      <c r="L54" t="str">
        <f t="shared" si="4"/>
        <v>Sim</v>
      </c>
    </row>
    <row r="55" spans="1:12" x14ac:dyDescent="0.25">
      <c r="A55" t="str">
        <f>'Planilha CP Meli'!B25</f>
        <v>MLB3537447705</v>
      </c>
      <c r="B55" t="str">
        <f>'Planilha CP Meli'!C25</f>
        <v>PA85372</v>
      </c>
      <c r="C55">
        <f>'Planilha CP Meli'!E25</f>
        <v>260.61</v>
      </c>
      <c r="D55" t="str">
        <f>IFERROR(VLOOKUP(A55,'Base MLB'!A:B,2,0)," ")</f>
        <v>Premium</v>
      </c>
      <c r="E55" s="1">
        <f>IFERROR(VLOOKUP(A55,'Base MLB'!A:C,3,0)," ")</f>
        <v>0.16500000000000001</v>
      </c>
      <c r="F55" s="1">
        <f t="shared" si="0"/>
        <v>7.9999877211346895E-2</v>
      </c>
      <c r="G55" s="1">
        <f t="shared" si="1"/>
        <v>9.5000000000000001E-2</v>
      </c>
      <c r="H55" s="1">
        <f t="shared" si="2"/>
        <v>9.5000000000000001E-2</v>
      </c>
      <c r="I55" s="2">
        <f>'Planilha CP Meli'!G25</f>
        <v>3257.63</v>
      </c>
      <c r="J55" s="2">
        <f>IFERROR(INDEX('Base com preços'!$C:$O,MATCH(B55,'Base com preços'!$A:$A,0),MATCH(G55,'Base com preços'!$C$1:$O$1,0)),IFERROR(INDEX('Boa forma'!$C:$O,MATCH(A55,'Boa forma'!$A:$A,0),MATCH(G55,'Boa forma'!$C$1:$O$1,0)),""))</f>
        <v>3159.8978404559448</v>
      </c>
      <c r="K55" s="2">
        <f t="shared" si="3"/>
        <v>-97.732159544055321</v>
      </c>
      <c r="L55" t="str">
        <f t="shared" si="4"/>
        <v>Sim</v>
      </c>
    </row>
    <row r="56" spans="1:12" x14ac:dyDescent="0.25">
      <c r="A56" t="str">
        <f>'Planilha CP Meli'!B216</f>
        <v>MLB5294260782</v>
      </c>
      <c r="B56" t="str">
        <f>'Planilha CP Meli'!C216</f>
        <v>PA35622</v>
      </c>
      <c r="C56">
        <f>'Planilha CP Meli'!E216</f>
        <v>137.02000000000001</v>
      </c>
      <c r="D56" t="str">
        <f>IFERROR(VLOOKUP(A56,'Base MLB'!A:B,2,0)," ")</f>
        <v>Clássico</v>
      </c>
      <c r="E56" s="1">
        <f>IFERROR(VLOOKUP(A56,'Base MLB'!A:C,3,0)," ")</f>
        <v>0.115</v>
      </c>
      <c r="F56" s="1">
        <f t="shared" si="0"/>
        <v>6.0449911103071907E-2</v>
      </c>
      <c r="G56" s="1">
        <f t="shared" si="1"/>
        <v>6.5000000000000002E-2</v>
      </c>
      <c r="H56" s="1">
        <f t="shared" si="2"/>
        <v>6.5000000000000002E-2</v>
      </c>
      <c r="I56" s="2">
        <f>'Planilha CP Meli'!G216</f>
        <v>2266.67</v>
      </c>
      <c r="J56" s="2">
        <f>IFERROR(INDEX('Base com preços'!$C:$O,MATCH(B56,'Base com preços'!$A:$A,0),MATCH(G56,'Base com preços'!$C$1:$O$1,0)),IFERROR(INDEX('Boa forma'!$C:$O,MATCH(A56,'Boa forma'!$A:$A,0),MATCH(G56,'Boa forma'!$C$1:$O$1,0)),""))</f>
        <v>2006.6656188603197</v>
      </c>
      <c r="K56" s="2">
        <f t="shared" si="3"/>
        <v>-260.00438113968039</v>
      </c>
      <c r="L56" t="str">
        <f t="shared" si="4"/>
        <v>Sim</v>
      </c>
    </row>
    <row r="57" spans="1:12" x14ac:dyDescent="0.25">
      <c r="A57" t="str">
        <f>'Planilha CP Meli'!B232</f>
        <v>MLB5459749696</v>
      </c>
      <c r="B57" t="str">
        <f>'Planilha CP Meli'!C232</f>
        <v>PA94829</v>
      </c>
      <c r="C57">
        <f>'Planilha CP Meli'!E232</f>
        <v>136.27000000000001</v>
      </c>
      <c r="D57" t="str">
        <f>IFERROR(VLOOKUP(A57,'Base MLB'!A:B,2,0)," ")</f>
        <v>Clássico</v>
      </c>
      <c r="E57" s="1">
        <f>IFERROR(VLOOKUP(A57,'Base MLB'!A:C,3,0)," ")</f>
        <v>0.115</v>
      </c>
      <c r="F57" s="1">
        <f t="shared" si="0"/>
        <v>7.9998825877656457E-2</v>
      </c>
      <c r="G57" s="1">
        <f t="shared" si="1"/>
        <v>4.4999999999999998E-2</v>
      </c>
      <c r="H57" s="1">
        <f t="shared" si="2"/>
        <v>4.4999999999999998E-2</v>
      </c>
      <c r="I57" s="2">
        <f>'Planilha CP Meli'!G232</f>
        <v>1703.4</v>
      </c>
      <c r="J57" s="2">
        <f>IFERROR(INDEX('Base com preços'!$C:$O,MATCH(B57,'Base com preços'!$A:$A,0),MATCH(G57,'Base com preços'!$C$1:$O$1,0)),IFERROR(INDEX('Boa forma'!$C:$O,MATCH(A57,'Boa forma'!$A:$A,0),MATCH(G57,'Boa forma'!$C$1:$O$1,0)),""))</f>
        <v>1418.8872736761687</v>
      </c>
      <c r="K57" s="2">
        <f t="shared" si="3"/>
        <v>-284.51272632383143</v>
      </c>
      <c r="L57" t="str">
        <f t="shared" si="4"/>
        <v>Sim</v>
      </c>
    </row>
    <row r="58" spans="1:12" x14ac:dyDescent="0.25">
      <c r="A58" t="str">
        <f>'Planilha CP Meli'!B14</f>
        <v>MLB3474584357</v>
      </c>
      <c r="B58" t="str">
        <f>'Planilha CP Meli'!C14</f>
        <v>PA85361</v>
      </c>
      <c r="C58">
        <f>'Planilha CP Meli'!E14</f>
        <v>202.96</v>
      </c>
      <c r="D58" t="str">
        <f>IFERROR(VLOOKUP(A58,'Base MLB'!A:B,2,0)," ")</f>
        <v>Premium</v>
      </c>
      <c r="E58" s="1">
        <f>IFERROR(VLOOKUP(A58,'Base MLB'!A:C,3,0)," ")</f>
        <v>0.16500000000000001</v>
      </c>
      <c r="F58" s="1">
        <f t="shared" si="0"/>
        <v>7.3080537661898093E-2</v>
      </c>
      <c r="G58" s="1">
        <f t="shared" si="1"/>
        <v>0.105</v>
      </c>
      <c r="H58" s="1">
        <f t="shared" si="2"/>
        <v>0.105</v>
      </c>
      <c r="I58" s="2">
        <f>'Planilha CP Meli'!G14</f>
        <v>2777.21</v>
      </c>
      <c r="J58" s="2">
        <f>IFERROR(INDEX('Base com preços'!$C:$O,MATCH(B58,'Base com preços'!$A:$A,0),MATCH(G58,'Base com preços'!$C$1:$O$1,0)),IFERROR(INDEX('Boa forma'!$C:$O,MATCH(A58,'Boa forma'!$A:$A,0),MATCH(G58,'Boa forma'!$C$1:$O$1,0)),""))</f>
        <v>2384.887881491502</v>
      </c>
      <c r="K58" s="2">
        <f t="shared" si="3"/>
        <v>-392.32211850849808</v>
      </c>
      <c r="L58" t="str">
        <f t="shared" si="4"/>
        <v>Sim</v>
      </c>
    </row>
    <row r="59" spans="1:12" x14ac:dyDescent="0.25">
      <c r="A59" t="str">
        <f>'Planilha CP Meli'!B13</f>
        <v>MLB3474583509</v>
      </c>
      <c r="B59" t="str">
        <f>'Planilha CP Meli'!C13</f>
        <v>PA85371</v>
      </c>
      <c r="C59">
        <f>'Planilha CP Meli'!E13</f>
        <v>211.27</v>
      </c>
      <c r="D59" t="str">
        <f>IFERROR(VLOOKUP(A59,'Base MLB'!A:B,2,0)," ")</f>
        <v>Premium</v>
      </c>
      <c r="E59" s="1">
        <f>IFERROR(VLOOKUP(A59,'Base MLB'!A:C,3,0)," ")</f>
        <v>0.16500000000000001</v>
      </c>
      <c r="F59" s="1">
        <f t="shared" si="0"/>
        <v>7.999893975940113E-2</v>
      </c>
      <c r="G59" s="1">
        <f t="shared" si="1"/>
        <v>9.5000000000000001E-2</v>
      </c>
      <c r="H59" s="1">
        <f t="shared" si="2"/>
        <v>9.5000000000000001E-2</v>
      </c>
      <c r="I59" s="2">
        <f>'Planilha CP Meli'!G13</f>
        <v>2640.91</v>
      </c>
      <c r="J59" s="2">
        <f>IFERROR(INDEX('Base com preços'!$C:$O,MATCH(B59,'Base com preços'!$A:$A,0),MATCH(G59,'Base com preços'!$C$1:$O$1,0)),IFERROR(INDEX('Boa forma'!$C:$O,MATCH(A59,'Boa forma'!$A:$A,0),MATCH(G59,'Boa forma'!$C$1:$O$1,0)),""))</f>
        <v>2561.6812863479313</v>
      </c>
      <c r="K59" s="2">
        <f t="shared" si="3"/>
        <v>-79.228713652068564</v>
      </c>
      <c r="L59" t="str">
        <f t="shared" si="4"/>
        <v>Sim</v>
      </c>
    </row>
    <row r="60" spans="1:12" x14ac:dyDescent="0.25">
      <c r="A60" t="str">
        <f>'Planilha CP Meli'!B133</f>
        <v>MLB4297684784</v>
      </c>
      <c r="B60" t="str">
        <f>'Planilha CP Meli'!C133</f>
        <v>PA69847</v>
      </c>
      <c r="C60">
        <f>'Planilha CP Meli'!E133</f>
        <v>110.88</v>
      </c>
      <c r="D60" t="str">
        <f>IFERROR(VLOOKUP(A60,'Base MLB'!A:B,2,0)," ")</f>
        <v>Premium</v>
      </c>
      <c r="E60" s="1">
        <f>IFERROR(VLOOKUP(A60,'Base MLB'!A:C,3,0)," ")</f>
        <v>0.16500000000000001</v>
      </c>
      <c r="F60" s="1">
        <f t="shared" si="0"/>
        <v>0.08</v>
      </c>
      <c r="G60" s="1">
        <f t="shared" si="1"/>
        <v>9.5000000000000001E-2</v>
      </c>
      <c r="H60" s="1">
        <f t="shared" si="2"/>
        <v>9.5000000000000001E-2</v>
      </c>
      <c r="I60" s="2">
        <f>'Planilha CP Meli'!G133</f>
        <v>1386</v>
      </c>
      <c r="J60" s="2">
        <f>IFERROR(INDEX('Base com preços'!$C:$O,MATCH(B60,'Base com preços'!$A:$A,0),MATCH(G60,'Base com preços'!$C$1:$O$1,0)),IFERROR(INDEX('Boa forma'!$C:$O,MATCH(A60,'Boa forma'!$A:$A,0),MATCH(G60,'Boa forma'!$C$1:$O$1,0)),""))</f>
        <v>1385.9808288610027</v>
      </c>
      <c r="K60" s="2">
        <f t="shared" si="3"/>
        <v>-1.9171138997307935E-2</v>
      </c>
      <c r="L60" t="str">
        <f t="shared" si="4"/>
        <v>Sim</v>
      </c>
    </row>
    <row r="61" spans="1:12" x14ac:dyDescent="0.25">
      <c r="A61" t="str">
        <f>'Planilha CP Meli'!B33</f>
        <v>MLB3551572499</v>
      </c>
      <c r="B61" t="str">
        <f>'Planilha CP Meli'!C33</f>
        <v>PA37608</v>
      </c>
      <c r="C61">
        <f>'Planilha CP Meli'!E33</f>
        <v>103.11</v>
      </c>
      <c r="D61" t="str">
        <f>IFERROR(VLOOKUP(A61,'Base MLB'!A:B,2,0)," ")</f>
        <v>Premium</v>
      </c>
      <c r="E61" s="1">
        <f>IFERROR(VLOOKUP(A61,'Base MLB'!A:C,3,0)," ")</f>
        <v>0.16500000000000001</v>
      </c>
      <c r="F61" s="1">
        <f t="shared" si="0"/>
        <v>7.9993483219289674E-2</v>
      </c>
      <c r="G61" s="1">
        <f t="shared" si="1"/>
        <v>9.5000000000000001E-2</v>
      </c>
      <c r="H61" s="1">
        <f t="shared" si="2"/>
        <v>9.5000000000000001E-2</v>
      </c>
      <c r="I61" s="2">
        <f>'Planilha CP Meli'!G33</f>
        <v>1288.98</v>
      </c>
      <c r="J61" s="2">
        <f>IFERROR(INDEX('Base com preços'!$C:$O,MATCH(B61,'Base com preços'!$A:$A,0),MATCH(G61,'Base com preços'!$C$1:$O$1,0)),IFERROR(INDEX('Boa forma'!$C:$O,MATCH(A61,'Boa forma'!$A:$A,0),MATCH(G61,'Boa forma'!$C$1:$O$1,0)),""))</f>
        <v>1250.3091360557278</v>
      </c>
      <c r="K61" s="6">
        <f t="shared" si="3"/>
        <v>-38.670863944272241</v>
      </c>
      <c r="L61" t="str">
        <f t="shared" si="4"/>
        <v>Sim</v>
      </c>
    </row>
    <row r="62" spans="1:12" x14ac:dyDescent="0.25">
      <c r="A62" t="str">
        <f>'Planilha CP Meli'!B56</f>
        <v>MLB3595883579</v>
      </c>
      <c r="B62" t="str">
        <f>'Planilha CP Meli'!C56</f>
        <v>PA62582</v>
      </c>
      <c r="C62">
        <f>'Planilha CP Meli'!E56</f>
        <v>53.13</v>
      </c>
      <c r="D62" t="str">
        <f>IFERROR(VLOOKUP(A62,'Base MLB'!A:B,2,0)," ")</f>
        <v>Clássico</v>
      </c>
      <c r="E62" s="1">
        <f>IFERROR(VLOOKUP(A62,'Base MLB'!A:C,3,0)," ")</f>
        <v>0.115</v>
      </c>
      <c r="F62" s="1">
        <f t="shared" si="0"/>
        <v>4.2177378381811251E-2</v>
      </c>
      <c r="G62" s="1">
        <f t="shared" si="1"/>
        <v>8.5000000000000006E-2</v>
      </c>
      <c r="H62" s="1">
        <f t="shared" si="2"/>
        <v>8.5000000000000006E-2</v>
      </c>
      <c r="I62" s="2">
        <f>'Planilha CP Meli'!G56</f>
        <v>1259.68</v>
      </c>
      <c r="J62" s="2">
        <f>IFERROR(INDEX('Base com preços'!$C:$O,MATCH(B62,'Base com preços'!$A:$A,0),MATCH(G62,'Base com preços'!$C$1:$O$1,0)),IFERROR(INDEX('Boa forma'!$C:$O,MATCH(A62,'Boa forma'!$A:$A,0),MATCH(G62,'Boa forma'!$C$1:$O$1,0)),""))</f>
        <v>1185.2351832337315</v>
      </c>
      <c r="K62" s="6">
        <f t="shared" si="3"/>
        <v>-74.444816766268559</v>
      </c>
      <c r="L62" t="str">
        <f t="shared" si="4"/>
        <v>Sim</v>
      </c>
    </row>
    <row r="63" spans="1:12" x14ac:dyDescent="0.25">
      <c r="A63" t="str">
        <f>'Planilha CP Meli'!B226</f>
        <v>MLB5418076938</v>
      </c>
      <c r="B63" t="str">
        <f>'Planilha CP Meli'!C226</f>
        <v>PA52128</v>
      </c>
      <c r="C63">
        <f>'Planilha CP Meli'!E226</f>
        <v>35.909999999999997</v>
      </c>
      <c r="D63" t="str">
        <f>IFERROR(VLOOKUP(A63,'Base MLB'!A:B,2,0)," ")</f>
        <v>Premium</v>
      </c>
      <c r="E63" s="1">
        <f>IFERROR(VLOOKUP(A63,'Base MLB'!A:C,3,0)," ")</f>
        <v>0.16500000000000001</v>
      </c>
      <c r="F63" s="1">
        <f t="shared" si="0"/>
        <v>6.9995906672124436E-2</v>
      </c>
      <c r="G63" s="1">
        <f t="shared" si="1"/>
        <v>0.105</v>
      </c>
      <c r="H63" s="1">
        <f t="shared" si="2"/>
        <v>0.105</v>
      </c>
      <c r="I63" s="2">
        <f>'Planilha CP Meli'!G226</f>
        <v>513.03</v>
      </c>
      <c r="J63" s="2">
        <f>IFERROR(INDEX('Base com preços'!$C:$O,MATCH(B63,'Base com preços'!$A:$A,0),MATCH(G63,'Base com preços'!$C$1:$O$1,0)),IFERROR(INDEX('Boa forma'!$C:$O,MATCH(A63,'Boa forma'!$A:$A,0),MATCH(G63,'Boa forma'!$C$1:$O$1,0)),""))</f>
        <v>513.03012334618688</v>
      </c>
      <c r="K63" s="2">
        <f t="shared" si="3"/>
        <v>1.2334618691056676E-4</v>
      </c>
      <c r="L63" t="str">
        <f t="shared" si="4"/>
        <v>Sim</v>
      </c>
    </row>
    <row r="64" spans="1:12" x14ac:dyDescent="0.25">
      <c r="A64" t="str">
        <f>'Planilha CP Meli'!B248</f>
        <v>MLB5831854476</v>
      </c>
      <c r="B64" t="str">
        <f>'Planilha CP Meli'!C248</f>
        <v>PA33103</v>
      </c>
      <c r="C64">
        <f>'Planilha CP Meli'!E248</f>
        <v>174.18</v>
      </c>
      <c r="D64" t="str">
        <f>IFERROR(VLOOKUP(A64,'Base MLB'!A:B,2,0)," ")</f>
        <v>Clássico</v>
      </c>
      <c r="E64" s="1">
        <f>IFERROR(VLOOKUP(A64,'Base MLB'!A:C,3,0)," ")</f>
        <v>0.115</v>
      </c>
      <c r="F64" s="1">
        <f t="shared" si="0"/>
        <v>5.4858460259269062E-2</v>
      </c>
      <c r="G64" s="1">
        <f t="shared" si="1"/>
        <v>7.4999999999999997E-2</v>
      </c>
      <c r="H64" s="1">
        <f t="shared" si="2"/>
        <v>7.4999999999999997E-2</v>
      </c>
      <c r="I64" s="2">
        <f>'Planilha CP Meli'!G248</f>
        <v>3175.08</v>
      </c>
      <c r="J64" s="2">
        <f>IFERROR(INDEX('Base com preços'!$C:$O,MATCH(B64,'Base com preços'!$A:$A,0),MATCH(G64,'Base com preços'!$C$1:$O$1,0)),IFERROR(INDEX('Boa forma'!$C:$O,MATCH(A64,'Boa forma'!$A:$A,0),MATCH(G64,'Boa forma'!$C$1:$O$1,0)),""))</f>
        <v>2897.819290425949</v>
      </c>
      <c r="K64" s="2">
        <f t="shared" si="3"/>
        <v>-277.26070957405091</v>
      </c>
      <c r="L64" t="str">
        <f t="shared" si="4"/>
        <v>Sim</v>
      </c>
    </row>
    <row r="65" spans="1:12" x14ac:dyDescent="0.25">
      <c r="A65" t="str">
        <f>'Planilha CP Meli'!B18</f>
        <v>MLB3504947943</v>
      </c>
      <c r="B65" t="str">
        <f>'Planilha CP Meli'!C18</f>
        <v>PA66721</v>
      </c>
      <c r="C65">
        <f>'Planilha CP Meli'!E18</f>
        <v>106.48</v>
      </c>
      <c r="D65" t="str">
        <f>IFERROR(VLOOKUP(A65,'Base MLB'!A:B,2,0)," ")</f>
        <v>Premium</v>
      </c>
      <c r="E65" s="1">
        <f>IFERROR(VLOOKUP(A65,'Base MLB'!A:C,3,0)," ")</f>
        <v>0.16500000000000001</v>
      </c>
      <c r="F65" s="1">
        <f t="shared" si="0"/>
        <v>0.08</v>
      </c>
      <c r="G65" s="1">
        <f t="shared" si="1"/>
        <v>9.5000000000000001E-2</v>
      </c>
      <c r="H65" s="1">
        <f t="shared" si="2"/>
        <v>9.5000000000000001E-2</v>
      </c>
      <c r="I65" s="2">
        <f>'Planilha CP Meli'!G18</f>
        <v>1331</v>
      </c>
      <c r="J65" s="2">
        <f>IFERROR(INDEX('Base com preços'!$C:$O,MATCH(B65,'Base com preços'!$A:$A,0),MATCH(G65,'Base com preços'!$C$1:$O$1,0)),IFERROR(INDEX('Boa forma'!$C:$O,MATCH(A65,'Boa forma'!$A:$A,0),MATCH(G65,'Boa forma'!$C$1:$O$1,0)),""))</f>
        <v>1330.9555536943017</v>
      </c>
      <c r="K65" s="6">
        <f t="shared" si="3"/>
        <v>-4.4446305698329525E-2</v>
      </c>
      <c r="L65" t="str">
        <f t="shared" si="4"/>
        <v>Sim</v>
      </c>
    </row>
    <row r="66" spans="1:12" x14ac:dyDescent="0.25">
      <c r="A66" t="str">
        <f>'Planilha CP Meli'!B27</f>
        <v>MLB3542974939</v>
      </c>
      <c r="B66" t="str">
        <f>'Planilha CP Meli'!C27</f>
        <v>PA35620</v>
      </c>
      <c r="C66">
        <f>'Planilha CP Meli'!E27</f>
        <v>150.1</v>
      </c>
      <c r="D66" t="str">
        <f>IFERROR(VLOOKUP(A66,'Base MLB'!A:B,2,0)," ")</f>
        <v>Premium</v>
      </c>
      <c r="E66" s="1">
        <f>IFERROR(VLOOKUP(A66,'Base MLB'!A:C,3,0)," ")</f>
        <v>0.16500000000000001</v>
      </c>
      <c r="F66" s="1">
        <f t="shared" si="0"/>
        <v>7.9996162742360127E-2</v>
      </c>
      <c r="G66" s="1">
        <f t="shared" si="1"/>
        <v>9.5000000000000001E-2</v>
      </c>
      <c r="H66" s="1">
        <f t="shared" si="2"/>
        <v>9.5000000000000001E-2</v>
      </c>
      <c r="I66" s="2">
        <f>'Planilha CP Meli'!G27</f>
        <v>1876.34</v>
      </c>
      <c r="J66" s="2">
        <f>IFERROR(INDEX('Base com preços'!$C:$O,MATCH(B66,'Base com preços'!$A:$A,0),MATCH(G66,'Base com preços'!$C$1:$O$1,0)),IFERROR(INDEX('Boa forma'!$C:$O,MATCH(A66,'Boa forma'!$A:$A,0),MATCH(G66,'Boa forma'!$C$1:$O$1,0)),""))</f>
        <v>1820.0528934386407</v>
      </c>
      <c r="K66" s="2">
        <f t="shared" si="3"/>
        <v>-56.287106561359224</v>
      </c>
      <c r="L66" t="str">
        <f t="shared" si="4"/>
        <v>Sim</v>
      </c>
    </row>
    <row r="67" spans="1:12" x14ac:dyDescent="0.25">
      <c r="A67" t="str">
        <f>'Planilha CP Meli'!B28</f>
        <v>MLB3543015545</v>
      </c>
      <c r="B67" t="str">
        <f>'Planilha CP Meli'!C28</f>
        <v>PA56211</v>
      </c>
      <c r="C67">
        <f>'Planilha CP Meli'!E28</f>
        <v>117.06</v>
      </c>
      <c r="D67" t="str">
        <f>IFERROR(VLOOKUP(A67,'Base MLB'!A:B,2,0)," ")</f>
        <v>Premium</v>
      </c>
      <c r="E67" s="1">
        <f>IFERROR(VLOOKUP(A67,'Base MLB'!A:C,3,0)," ")</f>
        <v>0.16500000000000001</v>
      </c>
      <c r="F67" s="1">
        <f t="shared" ref="F67:F130" si="5">IFERROR(C67/I67," ")</f>
        <v>7.8499483644264428E-2</v>
      </c>
      <c r="G67" s="1">
        <f t="shared" ref="G67:G130" si="6">IFERROR(MAX((ROUNDUP((E67-F67)*100,0)+0.5)/100,4.5%),"")</f>
        <v>9.5000000000000001E-2</v>
      </c>
      <c r="H67" s="1">
        <f t="shared" ref="H67:H130" si="7">IFERROR((ROUNDUP((E67-F67)*100,0)+0.5)/100,"")</f>
        <v>9.5000000000000001E-2</v>
      </c>
      <c r="I67" s="2">
        <f>'Planilha CP Meli'!G28</f>
        <v>1491.22</v>
      </c>
      <c r="J67" s="2">
        <f>IFERROR(INDEX('Base com preços'!$C:$O,MATCH(B67,'Base com preços'!$A:$A,0),MATCH(G67,'Base com preços'!$C$1:$O$1,0)),IFERROR(INDEX('Boa forma'!$C:$O,MATCH(A67,'Boa forma'!$A:$A,0),MATCH(G67,'Boa forma'!$C$1:$O$1,0)),""))</f>
        <v>1446.4829155511804</v>
      </c>
      <c r="K67" s="2">
        <f t="shared" ref="K67:K130" si="8">IFERROR(J67-I67," ")</f>
        <v>-44.737084448819587</v>
      </c>
      <c r="L67" t="str">
        <f t="shared" si="4"/>
        <v>Sim</v>
      </c>
    </row>
    <row r="68" spans="1:12" x14ac:dyDescent="0.25">
      <c r="A68" t="str">
        <f>'Planilha CP Meli'!B59</f>
        <v>MLB3595899773</v>
      </c>
      <c r="B68" t="str">
        <f>'Planilha CP Meli'!C59</f>
        <v>PA09771</v>
      </c>
      <c r="C68">
        <f>'Planilha CP Meli'!E59</f>
        <v>98.55</v>
      </c>
      <c r="D68" t="str">
        <f>IFERROR(VLOOKUP(A68,'Base MLB'!A:B,2,0)," ")</f>
        <v>Clássico</v>
      </c>
      <c r="E68" s="1">
        <f>IFERROR(VLOOKUP(A68,'Base MLB'!A:C,3,0)," ")</f>
        <v>0.115</v>
      </c>
      <c r="F68" s="1">
        <f t="shared" si="5"/>
        <v>7.99990258870516E-2</v>
      </c>
      <c r="G68" s="1">
        <f t="shared" si="6"/>
        <v>4.4999999999999998E-2</v>
      </c>
      <c r="H68" s="1">
        <f t="shared" si="7"/>
        <v>4.4999999999999998E-2</v>
      </c>
      <c r="I68" s="2">
        <f>'Planilha CP Meli'!G59</f>
        <v>1231.8900000000001</v>
      </c>
      <c r="J68" s="2">
        <f>IFERROR(INDEX('Base com preços'!$C:$O,MATCH(B68,'Base com preços'!$A:$A,0),MATCH(G68,'Base com preços'!$C$1:$O$1,0)),IFERROR(INDEX('Boa forma'!$C:$O,MATCH(A68,'Boa forma'!$A:$A,0),MATCH(G68,'Boa forma'!$C$1:$O$1,0)),""))</f>
        <v>1026.1321490317741</v>
      </c>
      <c r="K68" s="2">
        <f t="shared" si="8"/>
        <v>-205.75785096822597</v>
      </c>
      <c r="L68" t="str">
        <f t="shared" ref="L68:L131" si="9">IFERROR(IF(K68&lt;0,"Sim",IF(I68&gt;=J68*0.95,"Sim","Não")),"Não")</f>
        <v>Sim</v>
      </c>
    </row>
    <row r="69" spans="1:12" x14ac:dyDescent="0.25">
      <c r="A69" t="str">
        <f>'Planilha CP Meli'!B45</f>
        <v>MLB3570611105</v>
      </c>
      <c r="B69" t="str">
        <f>'Planilha CP Meli'!C45</f>
        <v>PA67503</v>
      </c>
      <c r="C69">
        <f>'Planilha CP Meli'!E45</f>
        <v>69.63</v>
      </c>
      <c r="D69" t="str">
        <f>IFERROR(VLOOKUP(A69,'Base MLB'!A:B,2,0)," ")</f>
        <v>Clássico</v>
      </c>
      <c r="E69" s="1">
        <f>IFERROR(VLOOKUP(A69,'Base MLB'!A:C,3,0)," ")</f>
        <v>0.115</v>
      </c>
      <c r="F69" s="1">
        <f t="shared" si="5"/>
        <v>5.2605732763179765E-2</v>
      </c>
      <c r="G69" s="1">
        <f t="shared" si="6"/>
        <v>7.4999999999999997E-2</v>
      </c>
      <c r="H69" s="1">
        <f t="shared" si="7"/>
        <v>7.4999999999999997E-2</v>
      </c>
      <c r="I69" s="2">
        <f>'Planilha CP Meli'!G45</f>
        <v>1323.62</v>
      </c>
      <c r="J69" s="2">
        <f>IFERROR(INDEX('Base com preços'!$C:$O,MATCH(B69,'Base com preços'!$A:$A,0),MATCH(G69,'Base com preços'!$C$1:$O$1,0)),IFERROR(INDEX('Boa forma'!$C:$O,MATCH(A69,'Boa forma'!$A:$A,0),MATCH(G69,'Boa forma'!$C$1:$O$1,0)),""))</f>
        <v>1208.0393859989911</v>
      </c>
      <c r="K69" s="2">
        <f t="shared" si="8"/>
        <v>-115.58061400100883</v>
      </c>
      <c r="L69" t="str">
        <f t="shared" si="9"/>
        <v>Sim</v>
      </c>
    </row>
    <row r="70" spans="1:12" x14ac:dyDescent="0.25">
      <c r="A70" t="str">
        <f>'Planilha CP Meli'!B63</f>
        <v>MLB3595912439</v>
      </c>
      <c r="B70" t="str">
        <f>'Planilha CP Meli'!C63</f>
        <v>PA66406</v>
      </c>
      <c r="C70">
        <f>'Planilha CP Meli'!E63</f>
        <v>80.55</v>
      </c>
      <c r="D70" t="str">
        <f>IFERROR(VLOOKUP(A70,'Base MLB'!A:B,2,0)," ")</f>
        <v>Clássico</v>
      </c>
      <c r="E70" s="1">
        <f>IFERROR(VLOOKUP(A70,'Base MLB'!A:C,3,0)," ")</f>
        <v>0.115</v>
      </c>
      <c r="F70" s="1">
        <f t="shared" si="5"/>
        <v>6.9720339643218818E-2</v>
      </c>
      <c r="G70" s="1">
        <f t="shared" si="6"/>
        <v>5.5E-2</v>
      </c>
      <c r="H70" s="1">
        <f t="shared" si="7"/>
        <v>5.5E-2</v>
      </c>
      <c r="I70" s="2">
        <f>'Planilha CP Meli'!G63</f>
        <v>1155.33</v>
      </c>
      <c r="J70" s="2">
        <f>IFERROR(INDEX('Base com preços'!$C:$O,MATCH(B70,'Base com preços'!$A:$A,0),MATCH(G70,'Base com preços'!$C$1:$O$1,0)),IFERROR(INDEX('Boa forma'!$C:$O,MATCH(A70,'Boa forma'!$A:$A,0),MATCH(G70,'Boa forma'!$C$1:$O$1,0)),""))</f>
        <v>992.12568125353607</v>
      </c>
      <c r="K70" s="2">
        <f t="shared" si="8"/>
        <v>-163.20431874646385</v>
      </c>
      <c r="L70" t="str">
        <f t="shared" si="9"/>
        <v>Sim</v>
      </c>
    </row>
    <row r="71" spans="1:12" x14ac:dyDescent="0.25">
      <c r="A71" t="str">
        <f>'Planilha CP Meli'!B39</f>
        <v>MLB3569812971</v>
      </c>
      <c r="B71" t="str">
        <f>'Planilha CP Meli'!C39</f>
        <v>PA67503</v>
      </c>
      <c r="C71">
        <f>'Planilha CP Meli'!E39</f>
        <v>97.53</v>
      </c>
      <c r="D71" t="str">
        <f>IFERROR(VLOOKUP(A71,'Base MLB'!A:B,2,0)," ")</f>
        <v>Premium</v>
      </c>
      <c r="E71" s="1">
        <f>IFERROR(VLOOKUP(A71,'Base MLB'!A:C,3,0)," ")</f>
        <v>0.16500000000000001</v>
      </c>
      <c r="F71" s="1">
        <f t="shared" si="5"/>
        <v>7.3683733369597243E-2</v>
      </c>
      <c r="G71" s="1">
        <f t="shared" si="6"/>
        <v>0.105</v>
      </c>
      <c r="H71" s="1">
        <f t="shared" si="7"/>
        <v>0.105</v>
      </c>
      <c r="I71" s="2">
        <f>'Planilha CP Meli'!G39</f>
        <v>1323.63</v>
      </c>
      <c r="J71" s="2">
        <f>IFERROR(INDEX('Base com preços'!$C:$O,MATCH(B71,'Base com preços'!$A:$A,0),MATCH(G71,'Base com preços'!$C$1:$O$1,0)),IFERROR(INDEX('Boa forma'!$C:$O,MATCH(A71,'Boa forma'!$A:$A,0),MATCH(G71,'Boa forma'!$C$1:$O$1,0)),""))</f>
        <v>1323.6278338451903</v>
      </c>
      <c r="K71" s="2">
        <f t="shared" si="8"/>
        <v>-2.1661548098563799E-3</v>
      </c>
      <c r="L71" t="str">
        <f t="shared" si="9"/>
        <v>Sim</v>
      </c>
    </row>
    <row r="72" spans="1:12" x14ac:dyDescent="0.25">
      <c r="A72" t="str">
        <f>'Planilha CP Meli'!B66</f>
        <v>MLB3595937931</v>
      </c>
      <c r="B72" t="str">
        <f>'Planilha CP Meli'!C66</f>
        <v>PA56211</v>
      </c>
      <c r="C72">
        <f>'Planilha CP Meli'!E66</f>
        <v>102.4</v>
      </c>
      <c r="D72" t="str">
        <f>IFERROR(VLOOKUP(A72,'Base MLB'!A:B,2,0)," ")</f>
        <v>Clássico</v>
      </c>
      <c r="E72" s="1">
        <f>IFERROR(VLOOKUP(A72,'Base MLB'!A:C,3,0)," ")</f>
        <v>0.115</v>
      </c>
      <c r="F72" s="1">
        <f t="shared" si="5"/>
        <v>0.08</v>
      </c>
      <c r="G72" s="1">
        <f t="shared" si="6"/>
        <v>4.4999999999999998E-2</v>
      </c>
      <c r="H72" s="1">
        <f t="shared" si="7"/>
        <v>4.4999999999999998E-2</v>
      </c>
      <c r="I72" s="2">
        <f>'Planilha CP Meli'!G66</f>
        <v>1280</v>
      </c>
      <c r="J72" s="2">
        <f>IFERROR(INDEX('Base com preços'!$C:$O,MATCH(B72,'Base com preços'!$A:$A,0),MATCH(G72,'Base com preços'!$C$1:$O$1,0)),IFERROR(INDEX('Boa forma'!$C:$O,MATCH(A72,'Boa forma'!$A:$A,0),MATCH(G72,'Boa forma'!$C$1:$O$1,0)),""))</f>
        <v>1242.1440971775382</v>
      </c>
      <c r="K72" s="2">
        <f t="shared" si="8"/>
        <v>-37.855902822461758</v>
      </c>
      <c r="L72" t="str">
        <f t="shared" si="9"/>
        <v>Sim</v>
      </c>
    </row>
    <row r="73" spans="1:12" x14ac:dyDescent="0.25">
      <c r="A73" t="str">
        <f>'Planilha CP Meli'!B52</f>
        <v>MLB3595836489</v>
      </c>
      <c r="B73" t="str">
        <f>'Planilha CP Meli'!C52</f>
        <v>PA56267</v>
      </c>
      <c r="C73">
        <f>'Planilha CP Meli'!E52</f>
        <v>96.67</v>
      </c>
      <c r="D73" t="str">
        <f>IFERROR(VLOOKUP(A73,'Base MLB'!A:B,2,0)," ")</f>
        <v>Premium</v>
      </c>
      <c r="E73" s="1">
        <f>IFERROR(VLOOKUP(A73,'Base MLB'!A:C,3,0)," ")</f>
        <v>0.16500000000000001</v>
      </c>
      <c r="F73" s="1">
        <f t="shared" si="5"/>
        <v>7.9995696931581206E-2</v>
      </c>
      <c r="G73" s="1">
        <f t="shared" si="6"/>
        <v>9.5000000000000001E-2</v>
      </c>
      <c r="H73" s="1">
        <f t="shared" si="7"/>
        <v>9.5000000000000001E-2</v>
      </c>
      <c r="I73" s="2">
        <f>'Planilha CP Meli'!G52</f>
        <v>1208.44</v>
      </c>
      <c r="J73" s="2">
        <f>IFERROR(INDEX('Base com preços'!$C:$O,MATCH(B73,'Base com preços'!$A:$A,0),MATCH(G73,'Base com preços'!$C$1:$O$1,0)),IFERROR(INDEX('Boa forma'!$C:$O,MATCH(A73,'Boa forma'!$A:$A,0),MATCH(G73,'Boa forma'!$C$1:$O$1,0)),""))</f>
        <v>1172.1836216609399</v>
      </c>
      <c r="K73" s="2">
        <f t="shared" si="8"/>
        <v>-36.25637833906012</v>
      </c>
      <c r="L73" t="str">
        <f t="shared" si="9"/>
        <v>Sim</v>
      </c>
    </row>
    <row r="74" spans="1:12" x14ac:dyDescent="0.25">
      <c r="A74" t="str">
        <f>'Planilha CP Meli'!B106</f>
        <v>MLB4111791123</v>
      </c>
      <c r="B74" t="str">
        <f>'Planilha CP Meli'!C106</f>
        <v>PA66718</v>
      </c>
      <c r="C74">
        <f>'Planilha CP Meli'!E106</f>
        <v>271.19</v>
      </c>
      <c r="D74" t="str">
        <f>IFERROR(VLOOKUP(A74,'Base MLB'!A:B,2,0)," ")</f>
        <v>Premium</v>
      </c>
      <c r="E74" s="1">
        <f>IFERROR(VLOOKUP(A74,'Base MLB'!A:C,3,0)," ")</f>
        <v>0.16500000000000001</v>
      </c>
      <c r="F74" s="1">
        <f t="shared" si="5"/>
        <v>7.9998230062390305E-2</v>
      </c>
      <c r="G74" s="1">
        <f t="shared" si="6"/>
        <v>9.5000000000000001E-2</v>
      </c>
      <c r="H74" s="1">
        <f t="shared" si="7"/>
        <v>9.5000000000000001E-2</v>
      </c>
      <c r="I74" s="2">
        <f>'Planilha CP Meli'!G106</f>
        <v>3389.95</v>
      </c>
      <c r="J74" s="2">
        <f>IFERROR(INDEX('Base com preços'!$C:$O,MATCH(B74,'Base com preços'!$A:$A,0),MATCH(G74,'Base com preços'!$C$1:$O$1,0)),IFERROR(INDEX('Boa forma'!$C:$O,MATCH(A74,'Boa forma'!$A:$A,0),MATCH(G74,'Boa forma'!$C$1:$O$1,0)),""))</f>
        <v>3288.2553978360938</v>
      </c>
      <c r="K74" s="2">
        <f t="shared" si="8"/>
        <v>-101.69460216390598</v>
      </c>
      <c r="L74" t="str">
        <f t="shared" si="9"/>
        <v>Sim</v>
      </c>
    </row>
    <row r="75" spans="1:12" x14ac:dyDescent="0.25">
      <c r="A75" t="str">
        <f>'Planilha CP Meli'!B48</f>
        <v>MLB3580853983</v>
      </c>
      <c r="B75" t="str">
        <f>'Planilha CP Meli'!C48</f>
        <v>PA85350</v>
      </c>
      <c r="C75">
        <f>'Planilha CP Meli'!E48</f>
        <v>153.61000000000001</v>
      </c>
      <c r="D75" t="str">
        <f>IFERROR(VLOOKUP(A75,'Base MLB'!A:B,2,0)," ")</f>
        <v>Clássico</v>
      </c>
      <c r="E75" s="1">
        <f>IFERROR(VLOOKUP(A75,'Base MLB'!A:C,3,0)," ")</f>
        <v>0.115</v>
      </c>
      <c r="F75" s="1">
        <f t="shared" si="5"/>
        <v>7.9997708548156951E-2</v>
      </c>
      <c r="G75" s="1">
        <f t="shared" si="6"/>
        <v>4.4999999999999998E-2</v>
      </c>
      <c r="H75" s="1">
        <f t="shared" si="7"/>
        <v>4.4999999999999998E-2</v>
      </c>
      <c r="I75" s="2">
        <f>'Planilha CP Meli'!G48</f>
        <v>1920.18</v>
      </c>
      <c r="J75" s="2">
        <f>IFERROR(INDEX('Base com preços'!$C:$O,MATCH(B75,'Base com preços'!$A:$A,0),MATCH(G75,'Base com preços'!$C$1:$O$1,0)),IFERROR(INDEX('Boa forma'!$C:$O,MATCH(A75,'Boa forma'!$A:$A,0),MATCH(G75,'Boa forma'!$C$1:$O$1,0)),""))</f>
        <v>1797.8289891077193</v>
      </c>
      <c r="K75" s="2">
        <f t="shared" si="8"/>
        <v>-122.35101089228078</v>
      </c>
      <c r="L75" t="str">
        <f t="shared" si="9"/>
        <v>Sim</v>
      </c>
    </row>
    <row r="76" spans="1:12" x14ac:dyDescent="0.25">
      <c r="A76" t="str">
        <f>'Planilha CP Meli'!B43</f>
        <v>MLB3570573513</v>
      </c>
      <c r="B76" t="str">
        <f>'Planilha CP Meli'!C43</f>
        <v>PA62649</v>
      </c>
      <c r="C76">
        <f>'Planilha CP Meli'!E43</f>
        <v>59.12</v>
      </c>
      <c r="D76" t="str">
        <f>IFERROR(VLOOKUP(A76,'Base MLB'!A:B,2,0)," ")</f>
        <v>Premium</v>
      </c>
      <c r="E76" s="1">
        <f>IFERROR(VLOOKUP(A76,'Base MLB'!A:C,3,0)," ")</f>
        <v>0.16500000000000001</v>
      </c>
      <c r="F76" s="1">
        <f t="shared" si="5"/>
        <v>0.08</v>
      </c>
      <c r="G76" s="1">
        <f t="shared" si="6"/>
        <v>9.5000000000000001E-2</v>
      </c>
      <c r="H76" s="1">
        <f t="shared" si="7"/>
        <v>9.5000000000000001E-2</v>
      </c>
      <c r="I76" s="2">
        <f>'Planilha CP Meli'!G43</f>
        <v>739</v>
      </c>
      <c r="J76" s="2">
        <f>IFERROR(INDEX('Base com preços'!$C:$O,MATCH(B76,'Base com preços'!$A:$A,0),MATCH(G76,'Base com preços'!$C$1:$O$1,0)),IFERROR(INDEX('Boa forma'!$C:$O,MATCH(A76,'Boa forma'!$A:$A,0),MATCH(G76,'Boa forma'!$C$1:$O$1,0)),""))</f>
        <v>872.31429021376016</v>
      </c>
      <c r="K76" s="6">
        <f t="shared" si="8"/>
        <v>133.31429021376016</v>
      </c>
      <c r="L76" t="str">
        <f t="shared" si="9"/>
        <v>Não</v>
      </c>
    </row>
    <row r="77" spans="1:12" x14ac:dyDescent="0.25">
      <c r="A77" t="str">
        <f>'Planilha CP Meli'!B41</f>
        <v>MLB3569859257</v>
      </c>
      <c r="B77" t="str">
        <f>'Planilha CP Meli'!C41</f>
        <v>PA71948</v>
      </c>
      <c r="C77">
        <f>'Planilha CP Meli'!E41</f>
        <v>111.42</v>
      </c>
      <c r="D77" t="str">
        <f>IFERROR(VLOOKUP(A77,'Base MLB'!A:B,2,0)," ")</f>
        <v>Clássico</v>
      </c>
      <c r="E77" s="1">
        <f>IFERROR(VLOOKUP(A77,'Base MLB'!A:C,3,0)," ")</f>
        <v>0.115</v>
      </c>
      <c r="F77" s="1">
        <f t="shared" si="5"/>
        <v>5.516442384814188E-2</v>
      </c>
      <c r="G77" s="1">
        <f t="shared" si="6"/>
        <v>6.5000000000000002E-2</v>
      </c>
      <c r="H77" s="1">
        <f t="shared" si="7"/>
        <v>6.5000000000000002E-2</v>
      </c>
      <c r="I77" s="2">
        <f>'Planilha CP Meli'!G41</f>
        <v>2019.78</v>
      </c>
      <c r="J77" s="2">
        <f>IFERROR(INDEX('Base com preços'!$C:$O,MATCH(B77,'Base com preços'!$A:$A,0),MATCH(G77,'Base com preços'!$C$1:$O$1,0)),IFERROR(INDEX('Boa forma'!$C:$O,MATCH(A77,'Boa forma'!$A:$A,0),MATCH(G77,'Boa forma'!$C$1:$O$1,0)),""))</f>
        <v>1788.1001043287795</v>
      </c>
      <c r="K77" s="2">
        <f t="shared" si="8"/>
        <v>-231.67989567122049</v>
      </c>
      <c r="L77" t="str">
        <f t="shared" si="9"/>
        <v>Sim</v>
      </c>
    </row>
    <row r="78" spans="1:12" x14ac:dyDescent="0.25">
      <c r="A78" t="str">
        <f>'Planilha CP Meli'!B29</f>
        <v>MLB3544962893</v>
      </c>
      <c r="B78" t="str">
        <f>'Planilha CP Meli'!C29</f>
        <v>PA65756</v>
      </c>
      <c r="C78">
        <f>'Planilha CP Meli'!E29</f>
        <v>108.88</v>
      </c>
      <c r="D78" t="str">
        <f>IFERROR(VLOOKUP(A78,'Base MLB'!A:B,2,0)," ")</f>
        <v>Premium</v>
      </c>
      <c r="E78" s="1">
        <f>IFERROR(VLOOKUP(A78,'Base MLB'!A:C,3,0)," ")</f>
        <v>0.16500000000000001</v>
      </c>
      <c r="F78" s="1">
        <f t="shared" si="5"/>
        <v>7.9995297851706004E-2</v>
      </c>
      <c r="G78" s="1">
        <f t="shared" si="6"/>
        <v>9.5000000000000001E-2</v>
      </c>
      <c r="H78" s="1">
        <f t="shared" si="7"/>
        <v>9.5000000000000001E-2</v>
      </c>
      <c r="I78" s="2">
        <f>'Planilha CP Meli'!G29</f>
        <v>1361.08</v>
      </c>
      <c r="J78" s="2">
        <f>IFERROR(INDEX('Base com preços'!$C:$O,MATCH(B78,'Base com preços'!$A:$A,0),MATCH(G78,'Base com preços'!$C$1:$O$1,0)),IFERROR(INDEX('Boa forma'!$C:$O,MATCH(A78,'Boa forma'!$A:$A,0),MATCH(G78,'Boa forma'!$C$1:$O$1,0)),""))</f>
        <v>1320.2500961142607</v>
      </c>
      <c r="K78" s="2">
        <f t="shared" si="8"/>
        <v>-40.829903885739213</v>
      </c>
      <c r="L78" t="str">
        <f t="shared" si="9"/>
        <v>Sim</v>
      </c>
    </row>
    <row r="79" spans="1:12" x14ac:dyDescent="0.25">
      <c r="A79" t="str">
        <f>'Planilha CP Meli'!B51</f>
        <v>MLB3593456033</v>
      </c>
      <c r="B79" t="str">
        <f>'Planilha CP Meli'!C51</f>
        <v>PA69948</v>
      </c>
      <c r="C79">
        <f>'Planilha CP Meli'!E51</f>
        <v>114.72</v>
      </c>
      <c r="D79" t="str">
        <f>IFERROR(VLOOKUP(A79,'Base MLB'!A:B,2,0)," ")</f>
        <v>Clássico</v>
      </c>
      <c r="E79" s="1">
        <f>IFERROR(VLOOKUP(A79,'Base MLB'!A:C,3,0)," ")</f>
        <v>0.115</v>
      </c>
      <c r="F79" s="1">
        <f t="shared" si="5"/>
        <v>0.08</v>
      </c>
      <c r="G79" s="1">
        <f t="shared" si="6"/>
        <v>4.4999999999999998E-2</v>
      </c>
      <c r="H79" s="1">
        <f t="shared" si="7"/>
        <v>4.4999999999999998E-2</v>
      </c>
      <c r="I79" s="2">
        <f>'Planilha CP Meli'!G51</f>
        <v>1434</v>
      </c>
      <c r="J79" s="2">
        <f>IFERROR(INDEX('Base com preços'!$C:$O,MATCH(B79,'Base com preços'!$A:$A,0),MATCH(G79,'Base com preços'!$C$1:$O$1,0)),IFERROR(INDEX('Boa forma'!$C:$O,MATCH(A79,'Boa forma'!$A:$A,0),MATCH(G79,'Boa forma'!$C$1:$O$1,0)),""))</f>
        <v>1235.6026957172842</v>
      </c>
      <c r="K79" s="6">
        <f t="shared" si="8"/>
        <v>-198.39730428271582</v>
      </c>
      <c r="L79" t="str">
        <f t="shared" si="9"/>
        <v>Sim</v>
      </c>
    </row>
    <row r="80" spans="1:12" x14ac:dyDescent="0.25">
      <c r="A80" t="str">
        <f>'Planilha CP Meli'!B62</f>
        <v>MLB3595908497</v>
      </c>
      <c r="B80" t="str">
        <f>'Planilha CP Meli'!C62</f>
        <v>PA69848</v>
      </c>
      <c r="C80">
        <f>'Planilha CP Meli'!E62</f>
        <v>92.5</v>
      </c>
      <c r="D80" t="str">
        <f>IFERROR(VLOOKUP(A80,'Base MLB'!A:B,2,0)," ")</f>
        <v>Clássico</v>
      </c>
      <c r="E80" s="1">
        <f>IFERROR(VLOOKUP(A80,'Base MLB'!A:C,3,0)," ")</f>
        <v>0.115</v>
      </c>
      <c r="F80" s="1">
        <f t="shared" si="5"/>
        <v>6.1258278145695365E-2</v>
      </c>
      <c r="G80" s="1">
        <f t="shared" si="6"/>
        <v>6.5000000000000002E-2</v>
      </c>
      <c r="H80" s="1">
        <f t="shared" si="7"/>
        <v>6.5000000000000002E-2</v>
      </c>
      <c r="I80" s="2">
        <f>'Planilha CP Meli'!G62</f>
        <v>1510</v>
      </c>
      <c r="J80" s="2">
        <f>IFERROR(INDEX('Base com preços'!$C:$O,MATCH(B80,'Base com preços'!$A:$A,0),MATCH(G80,'Base com preços'!$C$1:$O$1,0)),IFERROR(INDEX('Boa forma'!$C:$O,MATCH(A80,'Boa forma'!$A:$A,0),MATCH(G80,'Boa forma'!$C$1:$O$1,0)),""))</f>
        <v>1342.2152904371185</v>
      </c>
      <c r="K80" s="6">
        <f t="shared" si="8"/>
        <v>-167.78470956288152</v>
      </c>
      <c r="L80" t="str">
        <f t="shared" si="9"/>
        <v>Sim</v>
      </c>
    </row>
    <row r="81" spans="1:12" x14ac:dyDescent="0.25">
      <c r="A81" t="str">
        <f>'Planilha CP Meli'!B47</f>
        <v>MLB3580216353</v>
      </c>
      <c r="B81" t="str">
        <f>'Planilha CP Meli'!C47</f>
        <v>PA85370</v>
      </c>
      <c r="C81">
        <f>'Planilha CP Meli'!E47</f>
        <v>124.56</v>
      </c>
      <c r="D81" t="str">
        <f>IFERROR(VLOOKUP(A81,'Base MLB'!A:B,2,0)," ")</f>
        <v>Clássico</v>
      </c>
      <c r="E81" s="1">
        <f>IFERROR(VLOOKUP(A81,'Base MLB'!A:C,3,0)," ")</f>
        <v>0.115</v>
      </c>
      <c r="F81" s="1">
        <f t="shared" si="5"/>
        <v>6.8695848798539613E-2</v>
      </c>
      <c r="G81" s="1">
        <f t="shared" si="6"/>
        <v>5.5E-2</v>
      </c>
      <c r="H81" s="1">
        <f t="shared" si="7"/>
        <v>5.5E-2</v>
      </c>
      <c r="I81" s="2">
        <f>'Planilha CP Meli'!G47</f>
        <v>1813.21</v>
      </c>
      <c r="J81" s="2">
        <f>IFERROR(INDEX('Base com preços'!$C:$O,MATCH(B81,'Base com preços'!$A:$A,0),MATCH(G81,'Base com preços'!$C$1:$O$1,0)),IFERROR(INDEX('Boa forma'!$C:$O,MATCH(A81,'Boa forma'!$A:$A,0),MATCH(G81,'Boa forma'!$C$1:$O$1,0)),""))</f>
        <v>1557.0716106638304</v>
      </c>
      <c r="K81" s="2">
        <f t="shared" si="8"/>
        <v>-256.13838933616967</v>
      </c>
      <c r="L81" t="str">
        <f t="shared" si="9"/>
        <v>Sim</v>
      </c>
    </row>
    <row r="82" spans="1:12" x14ac:dyDescent="0.25">
      <c r="A82" t="str">
        <f>'Planilha CP Meli'!B15</f>
        <v>MLB3482157617</v>
      </c>
      <c r="B82" t="str">
        <f>'Planilha CP Meli'!C15</f>
        <v>PA66731</v>
      </c>
      <c r="C82">
        <f>'Planilha CP Meli'!E15</f>
        <v>170.6</v>
      </c>
      <c r="D82" t="str">
        <f>IFERROR(VLOOKUP(A82,'Base MLB'!A:B,2,0)," ")</f>
        <v>Clássico</v>
      </c>
      <c r="E82" s="1">
        <f>IFERROR(VLOOKUP(A82,'Base MLB'!A:C,3,0)," ")</f>
        <v>0.115</v>
      </c>
      <c r="F82" s="1">
        <f t="shared" si="5"/>
        <v>5.6869699717318249E-2</v>
      </c>
      <c r="G82" s="1">
        <f t="shared" si="6"/>
        <v>6.5000000000000002E-2</v>
      </c>
      <c r="H82" s="1">
        <f t="shared" si="7"/>
        <v>6.5000000000000002E-2</v>
      </c>
      <c r="I82" s="2">
        <f>'Planilha CP Meli'!G15</f>
        <v>2999.84</v>
      </c>
      <c r="J82" s="2">
        <f>IFERROR(INDEX('Base com preços'!$C:$O,MATCH(B82,'Base com preços'!$A:$A,0),MATCH(G82,'Base com preços'!$C$1:$O$1,0)),IFERROR(INDEX('Boa forma'!$C:$O,MATCH(A82,'Boa forma'!$A:$A,0),MATCH(G82,'Boa forma'!$C$1:$O$1,0)),""))</f>
        <v>2655.7397339324525</v>
      </c>
      <c r="K82" s="2">
        <f t="shared" si="8"/>
        <v>-344.10026606754764</v>
      </c>
      <c r="L82" t="str">
        <f t="shared" si="9"/>
        <v>Sim</v>
      </c>
    </row>
    <row r="83" spans="1:12" x14ac:dyDescent="0.25">
      <c r="A83" t="str">
        <f>'Planilha CP Meli'!B46</f>
        <v>MLB3576596273</v>
      </c>
      <c r="B83" t="str">
        <f>'Planilha CP Meli'!C46</f>
        <v>PA85370</v>
      </c>
      <c r="C83">
        <f>'Planilha CP Meli'!E46</f>
        <v>145.05000000000001</v>
      </c>
      <c r="D83" t="str">
        <f>IFERROR(VLOOKUP(A83,'Base MLB'!A:B,2,0)," ")</f>
        <v>Premium</v>
      </c>
      <c r="E83" s="1">
        <f>IFERROR(VLOOKUP(A83,'Base MLB'!A:C,3,0)," ")</f>
        <v>0.16500000000000001</v>
      </c>
      <c r="F83" s="1">
        <f t="shared" si="5"/>
        <v>7.9995808561564519E-2</v>
      </c>
      <c r="G83" s="1">
        <f t="shared" si="6"/>
        <v>9.5000000000000001E-2</v>
      </c>
      <c r="H83" s="1">
        <f t="shared" si="7"/>
        <v>9.5000000000000001E-2</v>
      </c>
      <c r="I83" s="2">
        <f>'Planilha CP Meli'!G46</f>
        <v>1813.22</v>
      </c>
      <c r="J83" s="2">
        <f>IFERROR(INDEX('Base com preços'!$C:$O,MATCH(B83,'Base com preços'!$A:$A,0),MATCH(G83,'Base com preços'!$C$1:$O$1,0)),IFERROR(INDEX('Boa forma'!$C:$O,MATCH(A83,'Boa forma'!$A:$A,0),MATCH(G83,'Boa forma'!$C$1:$O$1,0)),""))</f>
        <v>1758.8210285632283</v>
      </c>
      <c r="K83" s="2">
        <f t="shared" si="8"/>
        <v>-54.398971436771717</v>
      </c>
      <c r="L83" t="str">
        <f t="shared" si="9"/>
        <v>Sim</v>
      </c>
    </row>
    <row r="84" spans="1:12" x14ac:dyDescent="0.25">
      <c r="A84" t="str">
        <f>'Planilha CP Meli'!B65</f>
        <v>MLB3595933755</v>
      </c>
      <c r="B84" t="str">
        <f>'Planilha CP Meli'!C65</f>
        <v>PA56216</v>
      </c>
      <c r="C84">
        <f>'Planilha CP Meli'!E65</f>
        <v>157.85</v>
      </c>
      <c r="D84" t="str">
        <f>IFERROR(VLOOKUP(A84,'Base MLB'!A:B,2,0)," ")</f>
        <v>Clássico</v>
      </c>
      <c r="E84" s="1">
        <f>IFERROR(VLOOKUP(A84,'Base MLB'!A:C,3,0)," ")</f>
        <v>0.115</v>
      </c>
      <c r="F84" s="1">
        <f t="shared" si="5"/>
        <v>5.9001625955482459E-2</v>
      </c>
      <c r="G84" s="1">
        <f t="shared" si="6"/>
        <v>6.5000000000000002E-2</v>
      </c>
      <c r="H84" s="1">
        <f t="shared" si="7"/>
        <v>6.5000000000000002E-2</v>
      </c>
      <c r="I84" s="2">
        <f>'Planilha CP Meli'!G65</f>
        <v>2675.35</v>
      </c>
      <c r="J84" s="2">
        <f>IFERROR(INDEX('Base com preços'!$C:$O,MATCH(B84,'Base com preços'!$A:$A,0),MATCH(G84,'Base com preços'!$C$1:$O$1,0)),IFERROR(INDEX('Boa forma'!$C:$O,MATCH(A84,'Boa forma'!$A:$A,0),MATCH(G84,'Boa forma'!$C$1:$O$1,0)),""))</f>
        <v>2368.4696951412429</v>
      </c>
      <c r="K84" s="2">
        <f t="shared" si="8"/>
        <v>-306.88030485875697</v>
      </c>
      <c r="L84" t="str">
        <f t="shared" si="9"/>
        <v>Sim</v>
      </c>
    </row>
    <row r="85" spans="1:12" x14ac:dyDescent="0.25">
      <c r="A85" t="str">
        <f>'Planilha CP Meli'!B119</f>
        <v>MLB4218390214</v>
      </c>
      <c r="B85" t="str">
        <f>'Planilha CP Meli'!C119</f>
        <v>PA66794</v>
      </c>
      <c r="C85">
        <f>'Planilha CP Meli'!E119</f>
        <v>193.97</v>
      </c>
      <c r="D85" t="str">
        <f>IFERROR(VLOOKUP(A85,'Base MLB'!A:B,2,0)," ")</f>
        <v>Clássico</v>
      </c>
      <c r="E85" s="1">
        <f>IFERROR(VLOOKUP(A85,'Base MLB'!A:C,3,0)," ")</f>
        <v>0.115</v>
      </c>
      <c r="F85" s="1">
        <f t="shared" si="5"/>
        <v>5.287764292802076E-2</v>
      </c>
      <c r="G85" s="1">
        <f t="shared" si="6"/>
        <v>7.4999999999999997E-2</v>
      </c>
      <c r="H85" s="1">
        <f t="shared" si="7"/>
        <v>7.4999999999999997E-2</v>
      </c>
      <c r="I85" s="2">
        <f>'Planilha CP Meli'!G119</f>
        <v>3668.28</v>
      </c>
      <c r="J85" s="2">
        <f>IFERROR(INDEX('Base com preços'!$C:$O,MATCH(B85,'Base com preços'!$A:$A,0),MATCH(G85,'Base com preços'!$C$1:$O$1,0)),IFERROR(INDEX('Boa forma'!$C:$O,MATCH(A85,'Boa forma'!$A:$A,0),MATCH(G85,'Boa forma'!$C$1:$O$1,0)),""))</f>
        <v>3347.9401357389156</v>
      </c>
      <c r="K85" s="2">
        <f t="shared" si="8"/>
        <v>-320.33986426108459</v>
      </c>
      <c r="L85" t="str">
        <f t="shared" si="9"/>
        <v>Sim</v>
      </c>
    </row>
    <row r="86" spans="1:12" x14ac:dyDescent="0.25">
      <c r="A86" t="str">
        <f>'Planilha CP Meli'!B91</f>
        <v>MLB3982045865</v>
      </c>
      <c r="B86" t="str">
        <f>'Planilha CP Meli'!C91</f>
        <v>PA52310</v>
      </c>
      <c r="C86">
        <f>'Planilha CP Meli'!E91</f>
        <v>105.54</v>
      </c>
      <c r="D86" t="str">
        <f>IFERROR(VLOOKUP(A86,'Base MLB'!A:B,2,0)," ")</f>
        <v>Clássico</v>
      </c>
      <c r="E86" s="1">
        <f>IFERROR(VLOOKUP(A86,'Base MLB'!A:C,3,0)," ")</f>
        <v>0.115</v>
      </c>
      <c r="F86" s="1">
        <f t="shared" si="5"/>
        <v>6.6068209134615391E-2</v>
      </c>
      <c r="G86" s="1">
        <f t="shared" si="6"/>
        <v>5.5E-2</v>
      </c>
      <c r="H86" s="1">
        <f t="shared" si="7"/>
        <v>5.5E-2</v>
      </c>
      <c r="I86" s="2">
        <f>'Planilha CP Meli'!G91</f>
        <v>1597.44</v>
      </c>
      <c r="J86" s="2">
        <f>IFERROR(INDEX('Base com preços'!$C:$O,MATCH(B86,'Base com preços'!$A:$A,0),MATCH(G86,'Base com preços'!$C$1:$O$1,0)),IFERROR(INDEX('Boa forma'!$C:$O,MATCH(A86,'Boa forma'!$A:$A,0),MATCH(G86,'Boa forma'!$C$1:$O$1,0)),""))</f>
        <v>1371.7856390212826</v>
      </c>
      <c r="K86" s="2">
        <f t="shared" si="8"/>
        <v>-225.65436097871748</v>
      </c>
      <c r="L86" t="str">
        <f t="shared" si="9"/>
        <v>Sim</v>
      </c>
    </row>
    <row r="87" spans="1:12" x14ac:dyDescent="0.25">
      <c r="A87" t="str">
        <f>'Planilha CP Meli'!B44</f>
        <v>MLB3570610029</v>
      </c>
      <c r="B87" t="str">
        <f>'Planilha CP Meli'!C44</f>
        <v>PA67504</v>
      </c>
      <c r="C87">
        <f>'Planilha CP Meli'!E44</f>
        <v>107.33</v>
      </c>
      <c r="D87" t="str">
        <f>IFERROR(VLOOKUP(A87,'Base MLB'!A:B,2,0)," ")</f>
        <v>Clássico</v>
      </c>
      <c r="E87" s="1">
        <f>IFERROR(VLOOKUP(A87,'Base MLB'!A:C,3,0)," ")</f>
        <v>0.115</v>
      </c>
      <c r="F87" s="1">
        <f t="shared" si="5"/>
        <v>5.6116740387531241E-2</v>
      </c>
      <c r="G87" s="1">
        <f t="shared" si="6"/>
        <v>6.5000000000000002E-2</v>
      </c>
      <c r="H87" s="1">
        <f t="shared" si="7"/>
        <v>6.5000000000000002E-2</v>
      </c>
      <c r="I87" s="2">
        <f>'Planilha CP Meli'!G44</f>
        <v>1912.62</v>
      </c>
      <c r="J87" s="2">
        <f>IFERROR(INDEX('Base com preços'!$C:$O,MATCH(B87,'Base com preços'!$A:$A,0),MATCH(G87,'Base com preços'!$C$1:$O$1,0)),IFERROR(INDEX('Boa forma'!$C:$O,MATCH(A87,'Boa forma'!$A:$A,0),MATCH(G87,'Boa forma'!$C$1:$O$1,0)),""))</f>
        <v>1693.2282560086421</v>
      </c>
      <c r="K87" s="2">
        <f t="shared" si="8"/>
        <v>-219.39174399135777</v>
      </c>
      <c r="L87" t="str">
        <f t="shared" si="9"/>
        <v>Sim</v>
      </c>
    </row>
    <row r="88" spans="1:12" x14ac:dyDescent="0.25">
      <c r="A88" t="str">
        <f>'Planilha CP Meli'!B121</f>
        <v>MLB4240665500</v>
      </c>
      <c r="B88" t="str">
        <f>'Planilha CP Meli'!C121</f>
        <v>PA66746</v>
      </c>
      <c r="C88">
        <f>'Planilha CP Meli'!E121</f>
        <v>149.04</v>
      </c>
      <c r="D88" t="str">
        <f>IFERROR(VLOOKUP(A88,'Base MLB'!A:B,2,0)," ")</f>
        <v>Clássico</v>
      </c>
      <c r="E88" s="1">
        <f>IFERROR(VLOOKUP(A88,'Base MLB'!A:C,3,0)," ")</f>
        <v>0.115</v>
      </c>
      <c r="F88" s="1">
        <f t="shared" si="5"/>
        <v>4.5600014685995068E-2</v>
      </c>
      <c r="G88" s="1">
        <f t="shared" si="6"/>
        <v>7.4999999999999997E-2</v>
      </c>
      <c r="H88" s="1">
        <f t="shared" si="7"/>
        <v>7.4999999999999997E-2</v>
      </c>
      <c r="I88" s="2">
        <f>'Planilha CP Meli'!G121</f>
        <v>3268.42</v>
      </c>
      <c r="J88" s="2">
        <f>IFERROR(INDEX('Base com preços'!$C:$O,MATCH(B88,'Base com preços'!$A:$A,0),MATCH(G88,'Base com preços'!$C$1:$O$1,0)),IFERROR(INDEX('Boa forma'!$C:$O,MATCH(A88,'Boa forma'!$A:$A,0),MATCH(G88,'Boa forma'!$C$1:$O$1,0)),""))</f>
        <v>2983.0094554953503</v>
      </c>
      <c r="K88" s="2">
        <f t="shared" si="8"/>
        <v>-285.41054450464981</v>
      </c>
      <c r="L88" t="str">
        <f t="shared" si="9"/>
        <v>Sim</v>
      </c>
    </row>
    <row r="89" spans="1:12" x14ac:dyDescent="0.25">
      <c r="A89" t="str">
        <f>'Planilha CP Meli'!B12</f>
        <v>MLB3474545921</v>
      </c>
      <c r="B89" t="str">
        <f>'Planilha CP Meli'!C12</f>
        <v>PA66725</v>
      </c>
      <c r="C89">
        <f>'Planilha CP Meli'!E12</f>
        <v>186.5</v>
      </c>
      <c r="D89" t="str">
        <f>IFERROR(VLOOKUP(A89,'Base MLB'!A:B,2,0)," ")</f>
        <v>Premium</v>
      </c>
      <c r="E89" s="1">
        <f>IFERROR(VLOOKUP(A89,'Base MLB'!A:C,3,0)," ")</f>
        <v>0.16500000000000001</v>
      </c>
      <c r="F89" s="1">
        <f t="shared" si="5"/>
        <v>7.8299165788512481E-2</v>
      </c>
      <c r="G89" s="1">
        <f t="shared" si="6"/>
        <v>9.5000000000000001E-2</v>
      </c>
      <c r="H89" s="1">
        <f t="shared" si="7"/>
        <v>9.5000000000000001E-2</v>
      </c>
      <c r="I89" s="2">
        <f>'Planilha CP Meli'!G12</f>
        <v>2381.89</v>
      </c>
      <c r="J89" s="2">
        <f>IFERROR(INDEX('Base com preços'!$C:$O,MATCH(B89,'Base com preços'!$A:$A,0),MATCH(G89,'Base com preços'!$C$1:$O$1,0)),IFERROR(INDEX('Boa forma'!$C:$O,MATCH(A89,'Boa forma'!$A:$A,0),MATCH(G89,'Boa forma'!$C$1:$O$1,0)),""))</f>
        <v>2310.4360328426792</v>
      </c>
      <c r="K89" s="2">
        <f t="shared" si="8"/>
        <v>-71.453967157320676</v>
      </c>
      <c r="L89" t="str">
        <f t="shared" si="9"/>
        <v>Sim</v>
      </c>
    </row>
    <row r="90" spans="1:12" x14ac:dyDescent="0.25">
      <c r="A90" t="str">
        <f>'Planilha CP Meli'!B196</f>
        <v>MLB5184890542</v>
      </c>
      <c r="B90" t="str">
        <f>'Planilha CP Meli'!C196</f>
        <v>PA51522</v>
      </c>
      <c r="C90">
        <f>'Planilha CP Meli'!E196</f>
        <v>38.01</v>
      </c>
      <c r="D90" t="str">
        <f>IFERROR(VLOOKUP(A90,'Base MLB'!A:B,2,0)," ")</f>
        <v>Premium</v>
      </c>
      <c r="E90" s="1">
        <f>IFERROR(VLOOKUP(A90,'Base MLB'!A:C,3,0)," ")</f>
        <v>0.16500000000000001</v>
      </c>
      <c r="F90" s="1">
        <f t="shared" si="5"/>
        <v>6.9999999999999993E-2</v>
      </c>
      <c r="G90" s="1">
        <f t="shared" si="6"/>
        <v>0.105</v>
      </c>
      <c r="H90" s="1">
        <f t="shared" si="7"/>
        <v>0.105</v>
      </c>
      <c r="I90" s="2">
        <f>'Planilha CP Meli'!G196</f>
        <v>543</v>
      </c>
      <c r="J90" s="2">
        <f>IFERROR(INDEX('Base com preços'!$C:$O,MATCH(B90,'Base com preços'!$A:$A,0),MATCH(G90,'Base com preços'!$C$1:$O$1,0)),IFERROR(INDEX('Boa forma'!$C:$O,MATCH(A90,'Boa forma'!$A:$A,0),MATCH(G90,'Boa forma'!$C$1:$O$1,0)),""))</f>
        <v>794.27954236273058</v>
      </c>
      <c r="K90" s="2">
        <f t="shared" si="8"/>
        <v>251.27954236273058</v>
      </c>
      <c r="L90" t="str">
        <f t="shared" si="9"/>
        <v>Não</v>
      </c>
    </row>
    <row r="91" spans="1:12" x14ac:dyDescent="0.25">
      <c r="A91" t="str">
        <f>'Planilha CP Meli'!B90</f>
        <v>MLB3980137463</v>
      </c>
      <c r="B91" t="str">
        <f>'Planilha CP Meli'!C90</f>
        <v>PA65751</v>
      </c>
      <c r="C91">
        <f>'Planilha CP Meli'!E90</f>
        <v>35.42</v>
      </c>
      <c r="D91" t="str">
        <f>IFERROR(VLOOKUP(A91,'Base MLB'!A:B,2,0)," ")</f>
        <v>Clássico</v>
      </c>
      <c r="E91" s="1">
        <f>IFERROR(VLOOKUP(A91,'Base MLB'!A:C,3,0)," ")</f>
        <v>0.115</v>
      </c>
      <c r="F91" s="1">
        <f t="shared" si="5"/>
        <v>7.0000000000000007E-2</v>
      </c>
      <c r="G91" s="1">
        <f t="shared" si="6"/>
        <v>5.5E-2</v>
      </c>
      <c r="H91" s="1">
        <f t="shared" si="7"/>
        <v>5.5E-2</v>
      </c>
      <c r="I91" s="2">
        <f>'Planilha CP Meli'!G90</f>
        <v>506</v>
      </c>
      <c r="J91" s="2">
        <f>IFERROR(INDEX('Base com preços'!$C:$O,MATCH(B91,'Base com preços'!$A:$A,0),MATCH(G91,'Base com preços'!$C$1:$O$1,0)),IFERROR(INDEX('Boa forma'!$C:$O,MATCH(A91,'Boa forma'!$A:$A,0),MATCH(G91,'Boa forma'!$C$1:$O$1,0)),""))</f>
        <v>580.24306765135236</v>
      </c>
      <c r="K91" s="2">
        <f t="shared" si="8"/>
        <v>74.243067651352362</v>
      </c>
      <c r="L91" t="str">
        <f t="shared" si="9"/>
        <v>Não</v>
      </c>
    </row>
    <row r="92" spans="1:12" x14ac:dyDescent="0.25">
      <c r="A92" t="str">
        <f>'Planilha CP Meli'!B94</f>
        <v>MLB4019821965</v>
      </c>
      <c r="B92" t="str">
        <f>'Planilha CP Meli'!C94</f>
        <v>PA66760</v>
      </c>
      <c r="C92">
        <f>'Planilha CP Meli'!E94</f>
        <v>79.03</v>
      </c>
      <c r="D92" t="str">
        <f>IFERROR(VLOOKUP(A92,'Base MLB'!A:B,2,0)," ")</f>
        <v>Clássico</v>
      </c>
      <c r="E92" s="1">
        <f>IFERROR(VLOOKUP(A92,'Base MLB'!A:C,3,0)," ")</f>
        <v>0.115</v>
      </c>
      <c r="F92" s="1">
        <f t="shared" si="5"/>
        <v>3.3708104788146079E-2</v>
      </c>
      <c r="G92" s="1">
        <f t="shared" si="6"/>
        <v>9.5000000000000001E-2</v>
      </c>
      <c r="H92" s="1">
        <f t="shared" si="7"/>
        <v>9.5000000000000001E-2</v>
      </c>
      <c r="I92" s="2">
        <f>'Planilha CP Meli'!G94</f>
        <v>2344.54</v>
      </c>
      <c r="J92" s="2">
        <f>IFERROR(INDEX('Base com preços'!$C:$O,MATCH(B92,'Base com preços'!$A:$A,0),MATCH(G92,'Base com preços'!$C$1:$O$1,0)),IFERROR(INDEX('Boa forma'!$C:$O,MATCH(A92,'Boa forma'!$A:$A,0),MATCH(G92,'Boa forma'!$C$1:$O$1,0)),""))</f>
        <v>2274.211233781311</v>
      </c>
      <c r="K92" s="2">
        <f t="shared" si="8"/>
        <v>-70.328766218688997</v>
      </c>
      <c r="L92" t="str">
        <f t="shared" si="9"/>
        <v>Sim</v>
      </c>
    </row>
    <row r="93" spans="1:12" x14ac:dyDescent="0.25">
      <c r="A93" t="str">
        <f>'Planilha CP Meli'!B17</f>
        <v>MLB3482209147</v>
      </c>
      <c r="B93" t="str">
        <f>'Planilha CP Meli'!C17</f>
        <v>PA66749</v>
      </c>
      <c r="C93">
        <f>'Planilha CP Meli'!E17</f>
        <v>197.53</v>
      </c>
      <c r="D93" t="str">
        <f>IFERROR(VLOOKUP(A93,'Base MLB'!A:B,2,0)," ")</f>
        <v>Clássico</v>
      </c>
      <c r="E93" s="1">
        <f>IFERROR(VLOOKUP(A93,'Base MLB'!A:C,3,0)," ")</f>
        <v>0.115</v>
      </c>
      <c r="F93" s="1">
        <f t="shared" si="5"/>
        <v>4.1924809987413859E-2</v>
      </c>
      <c r="G93" s="1">
        <f t="shared" si="6"/>
        <v>8.5000000000000006E-2</v>
      </c>
      <c r="H93" s="1">
        <f t="shared" si="7"/>
        <v>8.5000000000000006E-2</v>
      </c>
      <c r="I93" s="2">
        <f>'Planilha CP Meli'!G17</f>
        <v>4711.53</v>
      </c>
      <c r="J93" s="2">
        <f>IFERROR(INDEX('Base com preços'!$C:$O,MATCH(B93,'Base com preços'!$A:$A,0),MATCH(G93,'Base com preços'!$C$1:$O$1,0)),IFERROR(INDEX('Boa forma'!$C:$O,MATCH(A93,'Boa forma'!$A:$A,0),MATCH(G93,'Boa forma'!$C$1:$O$1,0)),""))</f>
        <v>4433.084987039274</v>
      </c>
      <c r="K93" s="2">
        <f t="shared" si="8"/>
        <v>-278.44501296072576</v>
      </c>
      <c r="L93" t="str">
        <f t="shared" si="9"/>
        <v>Sim</v>
      </c>
    </row>
    <row r="94" spans="1:12" x14ac:dyDescent="0.25">
      <c r="A94" t="str">
        <f>'Planilha CP Meli'!B53</f>
        <v>MLB3595845505</v>
      </c>
      <c r="B94" t="str">
        <f>'Planilha CP Meli'!C53</f>
        <v>PA62653</v>
      </c>
      <c r="C94">
        <f>'Planilha CP Meli'!E53</f>
        <v>112.19</v>
      </c>
      <c r="D94" t="str">
        <f>IFERROR(VLOOKUP(A94,'Base MLB'!A:B,2,0)," ")</f>
        <v>Clássico</v>
      </c>
      <c r="E94" s="1">
        <f>IFERROR(VLOOKUP(A94,'Base MLB'!A:C,3,0)," ")</f>
        <v>0.115</v>
      </c>
      <c r="F94" s="1">
        <f t="shared" si="5"/>
        <v>7.0515399120050282E-2</v>
      </c>
      <c r="G94" s="1">
        <f t="shared" si="6"/>
        <v>5.5E-2</v>
      </c>
      <c r="H94" s="1">
        <f t="shared" si="7"/>
        <v>5.5E-2</v>
      </c>
      <c r="I94" s="2">
        <f>'Planilha CP Meli'!G53</f>
        <v>1591</v>
      </c>
      <c r="J94" s="2">
        <f>IFERROR(INDEX('Base com preços'!$C:$O,MATCH(B94,'Base com preços'!$A:$A,0),MATCH(G94,'Base com preços'!$C$1:$O$1,0)),IFERROR(INDEX('Boa forma'!$C:$O,MATCH(A94,'Boa forma'!$A:$A,0),MATCH(G94,'Boa forma'!$C$1:$O$1,0)),""))</f>
        <v>1413.6261931729553</v>
      </c>
      <c r="K94" s="6">
        <f t="shared" si="8"/>
        <v>-177.37380682704475</v>
      </c>
      <c r="L94" t="str">
        <f t="shared" si="9"/>
        <v>Sim</v>
      </c>
    </row>
    <row r="95" spans="1:12" x14ac:dyDescent="0.25">
      <c r="A95" t="str">
        <f>'Planilha CP Meli'!B50</f>
        <v>MLB3593416973</v>
      </c>
      <c r="B95" t="str">
        <f>'Planilha CP Meli'!C50</f>
        <v>PA58273</v>
      </c>
      <c r="C95">
        <f>'Planilha CP Meli'!E50</f>
        <v>134.97</v>
      </c>
      <c r="D95" t="str">
        <f>IFERROR(VLOOKUP(A95,'Base MLB'!A:B,2,0)," ")</f>
        <v>Clássico</v>
      </c>
      <c r="E95" s="1">
        <f>IFERROR(VLOOKUP(A95,'Base MLB'!A:C,3,0)," ")</f>
        <v>0.115</v>
      </c>
      <c r="F95" s="1">
        <f t="shared" si="5"/>
        <v>7.9996443812233281E-2</v>
      </c>
      <c r="G95" s="1">
        <f t="shared" si="6"/>
        <v>4.4999999999999998E-2</v>
      </c>
      <c r="H95" s="1">
        <f t="shared" si="7"/>
        <v>4.4999999999999998E-2</v>
      </c>
      <c r="I95" s="2">
        <f>'Planilha CP Meli'!G50</f>
        <v>1687.2</v>
      </c>
      <c r="J95" s="2">
        <f>IFERROR(INDEX('Base com preços'!$C:$O,MATCH(B95,'Base com preços'!$A:$A,0),MATCH(G95,'Base com preços'!$C$1:$O$1,0)),IFERROR(INDEX('Boa forma'!$C:$O,MATCH(A95,'Boa forma'!$A:$A,0),MATCH(G95,'Boa forma'!$C$1:$O$1,0)),""))</f>
        <v>1405.3926489484002</v>
      </c>
      <c r="K95" s="2">
        <f t="shared" si="8"/>
        <v>-281.80735105159988</v>
      </c>
      <c r="L95" t="str">
        <f t="shared" si="9"/>
        <v>Sim</v>
      </c>
    </row>
    <row r="96" spans="1:12" x14ac:dyDescent="0.25">
      <c r="A96" t="str">
        <f>'Planilha CP Meli'!B191</f>
        <v>MLB5184813968</v>
      </c>
      <c r="B96" t="str">
        <f>'Planilha CP Meli'!C191</f>
        <v>PA52107</v>
      </c>
      <c r="C96">
        <f>'Planilha CP Meli'!E191</f>
        <v>160.16999999999999</v>
      </c>
      <c r="D96" t="str">
        <f>IFERROR(VLOOKUP(A96,'Base MLB'!A:B,2,0)," ")</f>
        <v>Premium</v>
      </c>
      <c r="E96" s="1">
        <f>IFERROR(VLOOKUP(A96,'Base MLB'!A:C,3,0)," ")</f>
        <v>0.16500000000000001</v>
      </c>
      <c r="F96" s="1">
        <f t="shared" si="5"/>
        <v>7.2965400997653904E-2</v>
      </c>
      <c r="G96" s="1">
        <f t="shared" si="6"/>
        <v>0.105</v>
      </c>
      <c r="H96" s="1">
        <f t="shared" si="7"/>
        <v>0.105</v>
      </c>
      <c r="I96" s="2">
        <f>'Planilha CP Meli'!G191</f>
        <v>2195.15</v>
      </c>
      <c r="J96" s="2">
        <f>IFERROR(INDEX('Base com preços'!$C:$O,MATCH(B96,'Base com preços'!$A:$A,0),MATCH(G96,'Base com preços'!$C$1:$O$1,0)),IFERROR(INDEX('Boa forma'!$C:$O,MATCH(A96,'Boa forma'!$A:$A,0),MATCH(G96,'Boa forma'!$C$1:$O$1,0)),""))</f>
        <v>2195.1527185556492</v>
      </c>
      <c r="K96" s="2">
        <f t="shared" si="8"/>
        <v>2.7185556491531315E-3</v>
      </c>
      <c r="L96" t="str">
        <f t="shared" si="9"/>
        <v>Sim</v>
      </c>
    </row>
    <row r="97" spans="1:12" x14ac:dyDescent="0.25">
      <c r="A97" t="str">
        <f>'Planilha CP Meli'!B108</f>
        <v>MLB4130288018</v>
      </c>
      <c r="B97" t="str">
        <f>'Planilha CP Meli'!C108</f>
        <v>PA85354</v>
      </c>
      <c r="C97">
        <f>'Planilha CP Meli'!E108</f>
        <v>229.64</v>
      </c>
      <c r="D97" t="str">
        <f>IFERROR(VLOOKUP(A97,'Base MLB'!A:B,2,0)," ")</f>
        <v>Clássico</v>
      </c>
      <c r="E97" s="1">
        <f>IFERROR(VLOOKUP(A97,'Base MLB'!A:C,3,0)," ")</f>
        <v>0.115</v>
      </c>
      <c r="F97" s="1">
        <f t="shared" si="5"/>
        <v>6.8682312898720205E-2</v>
      </c>
      <c r="G97" s="1">
        <f t="shared" si="6"/>
        <v>5.5E-2</v>
      </c>
      <c r="H97" s="1">
        <f t="shared" si="7"/>
        <v>5.5E-2</v>
      </c>
      <c r="I97" s="2">
        <f>'Planilha CP Meli'!G108</f>
        <v>3343.51</v>
      </c>
      <c r="J97" s="2">
        <f>IFERROR(INDEX('Base com preços'!$C:$O,MATCH(B97,'Base com preços'!$A:$A,0),MATCH(G97,'Base com preços'!$C$1:$O$1,0)),IFERROR(INDEX('Boa forma'!$C:$O,MATCH(A97,'Boa forma'!$A:$A,0),MATCH(G97,'Boa forma'!$C$1:$O$1,0)),""))</f>
        <v>2871.1911212278374</v>
      </c>
      <c r="K97" s="2">
        <f t="shared" si="8"/>
        <v>-472.31887877216286</v>
      </c>
      <c r="L97" t="str">
        <f t="shared" si="9"/>
        <v>Sim</v>
      </c>
    </row>
    <row r="98" spans="1:12" x14ac:dyDescent="0.25">
      <c r="A98" t="str">
        <f>'Planilha CP Meli'!B58</f>
        <v>MLB3595895575</v>
      </c>
      <c r="B98" t="str">
        <f>'Planilha CP Meli'!C58</f>
        <v>PA67505</v>
      </c>
      <c r="C98">
        <f>'Planilha CP Meli'!E58</f>
        <v>199.79</v>
      </c>
      <c r="D98" t="str">
        <f>IFERROR(VLOOKUP(A98,'Base MLB'!A:B,2,0)," ")</f>
        <v>Premium</v>
      </c>
      <c r="E98" s="1">
        <f>IFERROR(VLOOKUP(A98,'Base MLB'!A:C,3,0)," ")</f>
        <v>0.16500000000000001</v>
      </c>
      <c r="F98" s="1">
        <f t="shared" si="5"/>
        <v>7.6460007654037501E-2</v>
      </c>
      <c r="G98" s="1">
        <f t="shared" si="6"/>
        <v>9.5000000000000001E-2</v>
      </c>
      <c r="H98" s="1">
        <f t="shared" si="7"/>
        <v>9.5000000000000001E-2</v>
      </c>
      <c r="I98" s="2">
        <f>'Planilha CP Meli'!G58</f>
        <v>2613</v>
      </c>
      <c r="J98" s="2">
        <f>IFERROR(INDEX('Base com preços'!$C:$O,MATCH(B98,'Base com preços'!$A:$A,0),MATCH(G98,'Base com preços'!$C$1:$O$1,0)),IFERROR(INDEX('Boa forma'!$C:$O,MATCH(A98,'Boa forma'!$A:$A,0),MATCH(G98,'Boa forma'!$C$1:$O$1,0)),""))</f>
        <v>2294.1380622117563</v>
      </c>
      <c r="K98" s="2">
        <f t="shared" si="8"/>
        <v>-318.86193778824372</v>
      </c>
      <c r="L98" t="str">
        <f t="shared" si="9"/>
        <v>Sim</v>
      </c>
    </row>
    <row r="99" spans="1:12" x14ac:dyDescent="0.25">
      <c r="A99" t="str">
        <f>'Planilha CP Meli'!B76</f>
        <v>MLB3732100219</v>
      </c>
      <c r="B99" t="str">
        <f>'Planilha CP Meli'!C76</f>
        <v>PA71948</v>
      </c>
      <c r="C99">
        <f>'Planilha CP Meli'!E76</f>
        <v>179.6</v>
      </c>
      <c r="D99" t="str">
        <f>IFERROR(VLOOKUP(A99,'Base MLB'!A:B,2,0)," ")</f>
        <v>Premium</v>
      </c>
      <c r="E99" s="1">
        <f>IFERROR(VLOOKUP(A99,'Base MLB'!A:C,3,0)," ")</f>
        <v>0.16500000000000001</v>
      </c>
      <c r="F99" s="1">
        <f t="shared" si="5"/>
        <v>0.08</v>
      </c>
      <c r="G99" s="1">
        <f t="shared" si="6"/>
        <v>9.5000000000000001E-2</v>
      </c>
      <c r="H99" s="1">
        <f t="shared" si="7"/>
        <v>9.5000000000000001E-2</v>
      </c>
      <c r="I99" s="2">
        <f>'Planilha CP Meli'!G76</f>
        <v>2245</v>
      </c>
      <c r="J99" s="2">
        <f>IFERROR(INDEX('Base com preços'!$C:$O,MATCH(B99,'Base com preços'!$A:$A,0),MATCH(G99,'Base com preços'!$C$1:$O$1,0)),IFERROR(INDEX('Boa forma'!$C:$O,MATCH(A99,'Boa forma'!$A:$A,0),MATCH(G99,'Boa forma'!$C$1:$O$1,0)),""))</f>
        <v>1959.1903171549718</v>
      </c>
      <c r="K99" s="6">
        <f t="shared" si="8"/>
        <v>-285.80968284502819</v>
      </c>
      <c r="L99" t="str">
        <f t="shared" si="9"/>
        <v>Sim</v>
      </c>
    </row>
    <row r="100" spans="1:12" x14ac:dyDescent="0.25">
      <c r="A100" t="str">
        <f>'Planilha CP Meli'!B57</f>
        <v>MLB3595895555</v>
      </c>
      <c r="B100" t="str">
        <f>'Planilha CP Meli'!C57</f>
        <v>PA62652</v>
      </c>
      <c r="C100">
        <f>'Planilha CP Meli'!E57</f>
        <v>101.28</v>
      </c>
      <c r="D100" t="str">
        <f>IFERROR(VLOOKUP(A100,'Base MLB'!A:B,2,0)," ")</f>
        <v>Clássico</v>
      </c>
      <c r="E100" s="1">
        <f>IFERROR(VLOOKUP(A100,'Base MLB'!A:C,3,0)," ")</f>
        <v>0.115</v>
      </c>
      <c r="F100" s="1">
        <f t="shared" si="5"/>
        <v>0.08</v>
      </c>
      <c r="G100" s="1">
        <f t="shared" si="6"/>
        <v>4.4999999999999998E-2</v>
      </c>
      <c r="H100" s="1">
        <f t="shared" si="7"/>
        <v>4.4999999999999998E-2</v>
      </c>
      <c r="I100" s="2">
        <f>'Planilha CP Meli'!G57</f>
        <v>1266</v>
      </c>
      <c r="J100" s="2">
        <f>IFERROR(INDEX('Base com preços'!$C:$O,MATCH(B100,'Base com preços'!$A:$A,0),MATCH(G100,'Base com preços'!$C$1:$O$1,0)),IFERROR(INDEX('Boa forma'!$C:$O,MATCH(A100,'Boa forma'!$A:$A,0),MATCH(G100,'Boa forma'!$C$1:$O$1,0)),""))</f>
        <v>1132.9217917736635</v>
      </c>
      <c r="K100" s="2">
        <f t="shared" si="8"/>
        <v>-133.07820822633653</v>
      </c>
      <c r="L100" t="str">
        <f t="shared" si="9"/>
        <v>Sim</v>
      </c>
    </row>
    <row r="101" spans="1:12" x14ac:dyDescent="0.25">
      <c r="A101" t="str">
        <f>'Planilha CP Meli'!B26</f>
        <v>MLB3538529373</v>
      </c>
      <c r="B101" t="str">
        <f>'Planilha CP Meli'!C26</f>
        <v>PA85361</v>
      </c>
      <c r="C101">
        <f>'Planilha CP Meli'!E26</f>
        <v>154.16</v>
      </c>
      <c r="D101" t="str">
        <f>IFERROR(VLOOKUP(A101,'Base MLB'!A:B,2,0)," ")</f>
        <v>Clássico</v>
      </c>
      <c r="E101" s="1">
        <f>IFERROR(VLOOKUP(A101,'Base MLB'!A:C,3,0)," ")</f>
        <v>0.115</v>
      </c>
      <c r="F101" s="1">
        <f t="shared" si="5"/>
        <v>0.08</v>
      </c>
      <c r="G101" s="1">
        <f t="shared" si="6"/>
        <v>4.4999999999999998E-2</v>
      </c>
      <c r="H101" s="1">
        <f t="shared" si="7"/>
        <v>4.4999999999999998E-2</v>
      </c>
      <c r="I101" s="2">
        <f>'Planilha CP Meli'!G26</f>
        <v>1927</v>
      </c>
      <c r="J101" s="2">
        <f>IFERROR(INDEX('Base com preços'!$C:$O,MATCH(B101,'Base com preços'!$A:$A,0),MATCH(G101,'Base com preços'!$C$1:$O$1,0)),IFERROR(INDEX('Boa forma'!$C:$O,MATCH(A101,'Boa forma'!$A:$A,0),MATCH(G101,'Boa forma'!$C$1:$O$1,0)),""))</f>
        <v>1986.5448401768517</v>
      </c>
      <c r="K101" s="2">
        <f t="shared" si="8"/>
        <v>59.544840176851721</v>
      </c>
      <c r="L101" t="str">
        <f t="shared" si="9"/>
        <v>Sim</v>
      </c>
    </row>
    <row r="102" spans="1:12" x14ac:dyDescent="0.25">
      <c r="A102" t="str">
        <f>'Planilha CP Meli'!B69</f>
        <v>MLB3618615875</v>
      </c>
      <c r="B102" t="str">
        <f>'Planilha CP Meli'!C69</f>
        <v>PA85915</v>
      </c>
      <c r="C102">
        <f>'Planilha CP Meli'!E69</f>
        <v>199.99</v>
      </c>
      <c r="D102" t="str">
        <f>IFERROR(VLOOKUP(A102,'Base MLB'!A:B,2,0)," ")</f>
        <v>Premium</v>
      </c>
      <c r="E102" s="1">
        <f>IFERROR(VLOOKUP(A102,'Base MLB'!A:C,3,0)," ")</f>
        <v>0.16500000000000001</v>
      </c>
      <c r="F102" s="1">
        <f t="shared" si="5"/>
        <v>7.9999199967998716E-2</v>
      </c>
      <c r="G102" s="1">
        <f t="shared" si="6"/>
        <v>9.5000000000000001E-2</v>
      </c>
      <c r="H102" s="1">
        <f t="shared" si="7"/>
        <v>9.5000000000000001E-2</v>
      </c>
      <c r="I102" s="2">
        <f>'Planilha CP Meli'!G69</f>
        <v>2499.9</v>
      </c>
      <c r="J102" s="2">
        <f>IFERROR(INDEX('Base com preços'!$C:$O,MATCH(B102,'Base com preços'!$A:$A,0),MATCH(G102,'Base com preços'!$C$1:$O$1,0)),IFERROR(INDEX('Boa forma'!$C:$O,MATCH(A102,'Boa forma'!$A:$A,0),MATCH(G102,'Boa forma'!$C$1:$O$1,0)),""))</f>
        <v>2614.2670172954186</v>
      </c>
      <c r="K102" s="2">
        <f t="shared" si="8"/>
        <v>114.36701729541846</v>
      </c>
      <c r="L102" t="str">
        <f t="shared" si="9"/>
        <v>Sim</v>
      </c>
    </row>
    <row r="103" spans="1:12" x14ac:dyDescent="0.25">
      <c r="A103" t="str">
        <f>'Planilha CP Meli'!B60</f>
        <v>MLB3595901079</v>
      </c>
      <c r="B103" t="str">
        <f>'Planilha CP Meli'!C60</f>
        <v>PA85914</v>
      </c>
      <c r="C103">
        <f>'Planilha CP Meli'!E60</f>
        <v>169.4</v>
      </c>
      <c r="D103" t="str">
        <f>IFERROR(VLOOKUP(A103,'Base MLB'!A:B,2,0)," ")</f>
        <v>Clássico</v>
      </c>
      <c r="E103" s="1">
        <f>IFERROR(VLOOKUP(A103,'Base MLB'!A:C,3,0)," ")</f>
        <v>0.115</v>
      </c>
      <c r="F103" s="1">
        <f t="shared" si="5"/>
        <v>6.9119159145435843E-2</v>
      </c>
      <c r="G103" s="1">
        <f t="shared" si="6"/>
        <v>5.5E-2</v>
      </c>
      <c r="H103" s="1">
        <f t="shared" si="7"/>
        <v>5.5E-2</v>
      </c>
      <c r="I103" s="2">
        <f>'Planilha CP Meli'!G60</f>
        <v>2450.84</v>
      </c>
      <c r="J103" s="2">
        <f>IFERROR(INDEX('Base com preços'!$C:$O,MATCH(B103,'Base com preços'!$A:$A,0),MATCH(G103,'Base com preços'!$C$1:$O$1,0)),IFERROR(INDEX('Boa forma'!$C:$O,MATCH(A103,'Boa forma'!$A:$A,0),MATCH(G103,'Boa forma'!$C$1:$O$1,0)),""))</f>
        <v>2104.6229449878333</v>
      </c>
      <c r="K103" s="2">
        <f t="shared" si="8"/>
        <v>-346.21705501216684</v>
      </c>
      <c r="L103" t="str">
        <f t="shared" si="9"/>
        <v>Sim</v>
      </c>
    </row>
    <row r="104" spans="1:12" x14ac:dyDescent="0.25">
      <c r="A104" t="str">
        <f>'Planilha CP Meli'!B78</f>
        <v>MLB3756266483</v>
      </c>
      <c r="B104" t="str">
        <f>'Planilha CP Meli'!C78</f>
        <v>PA94889</v>
      </c>
      <c r="C104">
        <f>'Planilha CP Meli'!E78</f>
        <v>153.69</v>
      </c>
      <c r="D104" t="str">
        <f>IFERROR(VLOOKUP(A104,'Base MLB'!A:B,2,0)," ")</f>
        <v>Clássico</v>
      </c>
      <c r="E104" s="1">
        <f>IFERROR(VLOOKUP(A104,'Base MLB'!A:C,3,0)," ")</f>
        <v>0.115</v>
      </c>
      <c r="F104" s="1">
        <f t="shared" si="5"/>
        <v>7.9999791789207395E-2</v>
      </c>
      <c r="G104" s="1">
        <f t="shared" si="6"/>
        <v>4.4999999999999998E-2</v>
      </c>
      <c r="H104" s="1">
        <f t="shared" si="7"/>
        <v>4.4999999999999998E-2</v>
      </c>
      <c r="I104" s="2">
        <f>'Planilha CP Meli'!G78</f>
        <v>1921.13</v>
      </c>
      <c r="J104" s="2">
        <f>IFERROR(INDEX('Base com preços'!$C:$O,MATCH(B104,'Base com preços'!$A:$A,0),MATCH(G104,'Base com preços'!$C$1:$O$1,0)),IFERROR(INDEX('Boa forma'!$C:$O,MATCH(A104,'Boa forma'!$A:$A,0),MATCH(G104,'Boa forma'!$C$1:$O$1,0)),""))</f>
        <v>1600.2559849664929</v>
      </c>
      <c r="K104" s="2">
        <f t="shared" si="8"/>
        <v>-320.87401503350725</v>
      </c>
      <c r="L104" t="str">
        <f t="shared" si="9"/>
        <v>Sim</v>
      </c>
    </row>
    <row r="105" spans="1:12" x14ac:dyDescent="0.25">
      <c r="A105" t="str">
        <f>'Planilha CP Meli'!B132</f>
        <v>MLB4297672706</v>
      </c>
      <c r="B105" t="str">
        <f>'Planilha CP Meli'!C132</f>
        <v>PA52318</v>
      </c>
      <c r="C105">
        <f>'Planilha CP Meli'!E132</f>
        <v>155.38</v>
      </c>
      <c r="D105" t="str">
        <f>IFERROR(VLOOKUP(A105,'Base MLB'!A:B,2,0)," ")</f>
        <v>Premium</v>
      </c>
      <c r="E105" s="1">
        <f>IFERROR(VLOOKUP(A105,'Base MLB'!A:C,3,0)," ")</f>
        <v>0.16500000000000001</v>
      </c>
      <c r="F105" s="1">
        <f t="shared" si="5"/>
        <v>7.9995881277833553E-2</v>
      </c>
      <c r="G105" s="1">
        <f t="shared" si="6"/>
        <v>9.5000000000000001E-2</v>
      </c>
      <c r="H105" s="1">
        <f t="shared" si="7"/>
        <v>9.5000000000000001E-2</v>
      </c>
      <c r="I105" s="2">
        <f>'Planilha CP Meli'!G132</f>
        <v>1942.35</v>
      </c>
      <c r="J105" s="2">
        <f>IFERROR(INDEX('Base com preços'!$C:$O,MATCH(B105,'Base com preços'!$A:$A,0),MATCH(G105,'Base com preços'!$C$1:$O$1,0)),IFERROR(INDEX('Boa forma'!$C:$O,MATCH(A105,'Boa forma'!$A:$A,0),MATCH(G105,'Boa forma'!$C$1:$O$1,0)),""))</f>
        <v>1884.0787662232381</v>
      </c>
      <c r="K105" s="2">
        <f t="shared" si="8"/>
        <v>-58.271233776761846</v>
      </c>
      <c r="L105" t="str">
        <f t="shared" si="9"/>
        <v>Sim</v>
      </c>
    </row>
    <row r="106" spans="1:12" x14ac:dyDescent="0.25">
      <c r="A106" t="str">
        <f>'Planilha CP Meli'!B107</f>
        <v>MLB4112473310</v>
      </c>
      <c r="B106" t="str">
        <f>'Planilha CP Meli'!C107</f>
        <v>PA66712</v>
      </c>
      <c r="C106">
        <f>'Planilha CP Meli'!E107</f>
        <v>97.84</v>
      </c>
      <c r="D106" t="str">
        <f>IFERROR(VLOOKUP(A106,'Base MLB'!A:B,2,0)," ")</f>
        <v>Premium</v>
      </c>
      <c r="E106" s="1">
        <f>IFERROR(VLOOKUP(A106,'Base MLB'!A:C,3,0)," ")</f>
        <v>0.16500000000000001</v>
      </c>
      <c r="F106" s="1">
        <f t="shared" si="5"/>
        <v>0.08</v>
      </c>
      <c r="G106" s="1">
        <f t="shared" si="6"/>
        <v>9.5000000000000001E-2</v>
      </c>
      <c r="H106" s="1">
        <f t="shared" si="7"/>
        <v>9.5000000000000001E-2</v>
      </c>
      <c r="I106" s="2">
        <f>'Planilha CP Meli'!G107</f>
        <v>1223</v>
      </c>
      <c r="J106" s="2">
        <f>IFERROR(INDEX('Base com preços'!$C:$O,MATCH(B106,'Base com preços'!$A:$A,0),MATCH(G106,'Base com preços'!$C$1:$O$1,0)),IFERROR(INDEX('Boa forma'!$C:$O,MATCH(A106,'Boa forma'!$A:$A,0),MATCH(G106,'Boa forma'!$C$1:$O$1,0)),""))</f>
        <v>1445.7322865606529</v>
      </c>
      <c r="K106" s="2">
        <f t="shared" si="8"/>
        <v>222.73228656065294</v>
      </c>
      <c r="L106" t="str">
        <f t="shared" si="9"/>
        <v>Não</v>
      </c>
    </row>
    <row r="107" spans="1:12" x14ac:dyDescent="0.25">
      <c r="A107" t="str">
        <f>'Planilha CP Meli'!B115</f>
        <v>MLB4167149168</v>
      </c>
      <c r="B107" t="str">
        <f>'Planilha CP Meli'!C115</f>
        <v>PA66730</v>
      </c>
      <c r="C107">
        <f>'Planilha CP Meli'!E115</f>
        <v>174.09</v>
      </c>
      <c r="D107" t="str">
        <f>IFERROR(VLOOKUP(A107,'Base MLB'!A:B,2,0)," ")</f>
        <v>Premium</v>
      </c>
      <c r="E107" s="1">
        <f>IFERROR(VLOOKUP(A107,'Base MLB'!A:C,3,0)," ")</f>
        <v>0.16500000000000001</v>
      </c>
      <c r="F107" s="1">
        <f t="shared" si="5"/>
        <v>6.4525574499629354E-2</v>
      </c>
      <c r="G107" s="1">
        <f t="shared" si="6"/>
        <v>0.115</v>
      </c>
      <c r="H107" s="1">
        <f t="shared" si="7"/>
        <v>0.115</v>
      </c>
      <c r="I107" s="2">
        <f>'Planilha CP Meli'!G115</f>
        <v>2698</v>
      </c>
      <c r="J107" s="2">
        <f>IFERROR(INDEX('Base com preços'!$C:$O,MATCH(B107,'Base com preços'!$A:$A,0),MATCH(G107,'Base com preços'!$C$1:$O$1,0)),IFERROR(INDEX('Boa forma'!$C:$O,MATCH(A107,'Boa forma'!$A:$A,0),MATCH(G107,'Boa forma'!$C$1:$O$1,0)),""))</f>
        <v>2610.1659592937353</v>
      </c>
      <c r="K107" s="2">
        <f t="shared" si="8"/>
        <v>-87.834040706264659</v>
      </c>
      <c r="L107" t="str">
        <f t="shared" si="9"/>
        <v>Sim</v>
      </c>
    </row>
    <row r="108" spans="1:12" x14ac:dyDescent="0.25">
      <c r="A108" t="str">
        <f>'Planilha CP Meli'!B109</f>
        <v>MLB4130288024</v>
      </c>
      <c r="B108" t="str">
        <f>'Planilha CP Meli'!C109</f>
        <v>PA85915</v>
      </c>
      <c r="C108">
        <f>'Planilha CP Meli'!E109</f>
        <v>199.99</v>
      </c>
      <c r="D108" t="str">
        <f>IFERROR(VLOOKUP(A108,'Base MLB'!A:B,2,0)," ")</f>
        <v>Clássico</v>
      </c>
      <c r="E108" s="1">
        <f>IFERROR(VLOOKUP(A108,'Base MLB'!A:C,3,0)," ")</f>
        <v>0.115</v>
      </c>
      <c r="F108" s="1">
        <f t="shared" si="5"/>
        <v>7.9999199967998716E-2</v>
      </c>
      <c r="G108" s="1">
        <f t="shared" si="6"/>
        <v>4.4999999999999998E-2</v>
      </c>
      <c r="H108" s="1">
        <f t="shared" si="7"/>
        <v>4.4999999999999998E-2</v>
      </c>
      <c r="I108" s="2">
        <f>'Planilha CP Meli'!G109</f>
        <v>2499.9</v>
      </c>
      <c r="J108" s="2">
        <f>IFERROR(INDEX('Base com preços'!$C:$O,MATCH(B108,'Base com preços'!$A:$A,0),MATCH(G108,'Base com preços'!$C$1:$O$1,0)),IFERROR(INDEX('Boa forma'!$C:$O,MATCH(A108,'Boa forma'!$A:$A,0),MATCH(G108,'Boa forma'!$C$1:$O$1,0)),""))</f>
        <v>2244.960040016826</v>
      </c>
      <c r="K108" s="2">
        <f t="shared" si="8"/>
        <v>-254.93995998317405</v>
      </c>
      <c r="L108" t="str">
        <f t="shared" si="9"/>
        <v>Sim</v>
      </c>
    </row>
    <row r="109" spans="1:12" x14ac:dyDescent="0.25">
      <c r="A109" t="str">
        <f>'Planilha CP Meli'!B231</f>
        <v>MLB5443312414</v>
      </c>
      <c r="B109" t="str">
        <f>'Planilha CP Meli'!C231</f>
        <v>PA70330</v>
      </c>
      <c r="C109">
        <f>'Planilha CP Meli'!E231</f>
        <v>131.91</v>
      </c>
      <c r="D109" t="str">
        <f>IFERROR(VLOOKUP(A109,'Base MLB'!A:B,2,0)," ")</f>
        <v>Clássico</v>
      </c>
      <c r="E109" s="1">
        <f>IFERROR(VLOOKUP(A109,'Base MLB'!A:C,3,0)," ")</f>
        <v>0.115</v>
      </c>
      <c r="F109" s="1">
        <f t="shared" si="5"/>
        <v>7.9997331602918248E-2</v>
      </c>
      <c r="G109" s="1">
        <f t="shared" si="6"/>
        <v>4.4999999999999998E-2</v>
      </c>
      <c r="H109" s="1">
        <f t="shared" si="7"/>
        <v>4.4999999999999998E-2</v>
      </c>
      <c r="I109" s="2">
        <f>'Planilha CP Meli'!G231</f>
        <v>1648.93</v>
      </c>
      <c r="J109" s="2">
        <f>IFERROR(INDEX('Base com preços'!$C:$O,MATCH(B109,'Base com preços'!$A:$A,0),MATCH(G109,'Base com preços'!$C$1:$O$1,0)),IFERROR(INDEX('Boa forma'!$C:$O,MATCH(A109,'Boa forma'!$A:$A,0),MATCH(G109,'Boa forma'!$C$1:$O$1,0)),""))</f>
        <v>1373.5145515251716</v>
      </c>
      <c r="K109" s="2">
        <f t="shared" si="8"/>
        <v>-275.41544847482851</v>
      </c>
      <c r="L109" t="str">
        <f t="shared" si="9"/>
        <v>Sim</v>
      </c>
    </row>
    <row r="110" spans="1:12" x14ac:dyDescent="0.25">
      <c r="A110" t="str">
        <f>'Planilha CP Meli'!B92</f>
        <v>MLB3982059171</v>
      </c>
      <c r="B110" t="str">
        <f>'Planilha CP Meli'!C92</f>
        <v>PA66411</v>
      </c>
      <c r="C110">
        <f>'Planilha CP Meli'!E92</f>
        <v>148.69999999999999</v>
      </c>
      <c r="D110" t="str">
        <f>IFERROR(VLOOKUP(A110,'Base MLB'!A:B,2,0)," ")</f>
        <v>Clássico</v>
      </c>
      <c r="E110" s="1">
        <f>IFERROR(VLOOKUP(A110,'Base MLB'!A:C,3,0)," ")</f>
        <v>0.115</v>
      </c>
      <c r="F110" s="1">
        <f t="shared" si="5"/>
        <v>7.0312647765315567E-2</v>
      </c>
      <c r="G110" s="1">
        <f t="shared" si="6"/>
        <v>5.5E-2</v>
      </c>
      <c r="H110" s="1">
        <f t="shared" si="7"/>
        <v>5.5E-2</v>
      </c>
      <c r="I110" s="2">
        <f>'Planilha CP Meli'!G92</f>
        <v>2114.84</v>
      </c>
      <c r="J110" s="2">
        <f>IFERROR(INDEX('Base com preços'!$C:$O,MATCH(B110,'Base com preços'!$A:$A,0),MATCH(G110,'Base com preços'!$C$1:$O$1,0)),IFERROR(INDEX('Boa forma'!$C:$O,MATCH(A110,'Boa forma'!$A:$A,0),MATCH(G110,'Boa forma'!$C$1:$O$1,0)),""))</f>
        <v>1816.0892529533633</v>
      </c>
      <c r="K110" s="2">
        <f t="shared" si="8"/>
        <v>-298.75074704663689</v>
      </c>
      <c r="L110" t="str">
        <f t="shared" si="9"/>
        <v>Sim</v>
      </c>
    </row>
    <row r="111" spans="1:12" x14ac:dyDescent="0.25">
      <c r="A111" t="str">
        <f>'Planilha CP Meli'!B99</f>
        <v>MLB4063045912</v>
      </c>
      <c r="B111" t="str">
        <f>'Planilha CP Meli'!C99</f>
        <v>PA85347</v>
      </c>
      <c r="C111">
        <f>'Planilha CP Meli'!E99</f>
        <v>99.28</v>
      </c>
      <c r="D111" t="str">
        <f>IFERROR(VLOOKUP(A111,'Base MLB'!A:B,2,0)," ")</f>
        <v>Premium</v>
      </c>
      <c r="E111" s="1">
        <f>IFERROR(VLOOKUP(A111,'Base MLB'!A:C,3,0)," ")</f>
        <v>0.16500000000000001</v>
      </c>
      <c r="F111" s="1">
        <f t="shared" si="5"/>
        <v>0.08</v>
      </c>
      <c r="G111" s="1">
        <f t="shared" si="6"/>
        <v>9.5000000000000001E-2</v>
      </c>
      <c r="H111" s="1">
        <f t="shared" si="7"/>
        <v>9.5000000000000001E-2</v>
      </c>
      <c r="I111" s="2">
        <f>'Planilha CP Meli'!G99</f>
        <v>1241</v>
      </c>
      <c r="J111" s="2">
        <f>IFERROR(INDEX('Base com preços'!$C:$O,MATCH(B111,'Base com preços'!$A:$A,0),MATCH(G111,'Base com preços'!$C$1:$O$1,0)),IFERROR(INDEX('Boa forma'!$C:$O,MATCH(A111,'Boa forma'!$A:$A,0),MATCH(G111,'Boa forma'!$C$1:$O$1,0)),""))</f>
        <v>1468.3415097660693</v>
      </c>
      <c r="K111" s="2">
        <f t="shared" si="8"/>
        <v>227.34150976606929</v>
      </c>
      <c r="L111" t="str">
        <f t="shared" si="9"/>
        <v>Não</v>
      </c>
    </row>
    <row r="112" spans="1:12" x14ac:dyDescent="0.25">
      <c r="A112" t="str">
        <f>'Planilha CP Meli'!B211</f>
        <v>MLB5264878292</v>
      </c>
      <c r="B112" t="str">
        <f>'Planilha CP Meli'!C211</f>
        <v>PA66745</v>
      </c>
      <c r="C112">
        <f>'Planilha CP Meli'!E211</f>
        <v>140.6</v>
      </c>
      <c r="D112" t="str">
        <f>IFERROR(VLOOKUP(A112,'Base MLB'!A:B,2,0)," ")</f>
        <v>Clássico</v>
      </c>
      <c r="E112" s="1">
        <f>IFERROR(VLOOKUP(A112,'Base MLB'!A:C,3,0)," ")</f>
        <v>0.115</v>
      </c>
      <c r="F112" s="1">
        <f t="shared" si="5"/>
        <v>4.5829842855140537E-2</v>
      </c>
      <c r="G112" s="1">
        <f t="shared" si="6"/>
        <v>7.4999999999999997E-2</v>
      </c>
      <c r="H112" s="1">
        <f t="shared" si="7"/>
        <v>7.4999999999999997E-2</v>
      </c>
      <c r="I112" s="2">
        <f>'Planilha CP Meli'!G211</f>
        <v>3067.87</v>
      </c>
      <c r="J112" s="2">
        <f>IFERROR(INDEX('Base com preços'!$C:$O,MATCH(B112,'Base com preços'!$A:$A,0),MATCH(G112,'Base com preços'!$C$1:$O$1,0)),IFERROR(INDEX('Boa forma'!$C:$O,MATCH(A112,'Boa forma'!$A:$A,0),MATCH(G112,'Boa forma'!$C$1:$O$1,0)),""))</f>
        <v>2799.9686387077118</v>
      </c>
      <c r="K112" s="2">
        <f t="shared" si="8"/>
        <v>-267.90136129228813</v>
      </c>
      <c r="L112" t="str">
        <f t="shared" si="9"/>
        <v>Sim</v>
      </c>
    </row>
    <row r="113" spans="1:12" x14ac:dyDescent="0.25">
      <c r="A113" t="str">
        <f>'Planilha CP Meli'!B83</f>
        <v>MLB3902407845</v>
      </c>
      <c r="B113" t="str">
        <f>'Planilha CP Meli'!C83</f>
        <v>PA94865</v>
      </c>
      <c r="C113">
        <f>'Planilha CP Meli'!E83</f>
        <v>120.85</v>
      </c>
      <c r="D113" t="str">
        <f>IFERROR(VLOOKUP(A113,'Base MLB'!A:B,2,0)," ")</f>
        <v>Clássico</v>
      </c>
      <c r="E113" s="1">
        <f>IFERROR(VLOOKUP(A113,'Base MLB'!A:C,3,0)," ")</f>
        <v>0.115</v>
      </c>
      <c r="F113" s="1">
        <f t="shared" si="5"/>
        <v>5.1287818665625491E-2</v>
      </c>
      <c r="G113" s="1">
        <f t="shared" si="6"/>
        <v>7.4999999999999997E-2</v>
      </c>
      <c r="H113" s="1">
        <f t="shared" si="7"/>
        <v>7.4999999999999997E-2</v>
      </c>
      <c r="I113" s="2">
        <f>'Planilha CP Meli'!G83</f>
        <v>2356.31</v>
      </c>
      <c r="J113" s="2">
        <f>IFERROR(INDEX('Base com preços'!$C:$O,MATCH(B113,'Base com preços'!$A:$A,0),MATCH(G113,'Base com preços'!$C$1:$O$1,0)),IFERROR(INDEX('Boa forma'!$C:$O,MATCH(A113,'Boa forma'!$A:$A,0),MATCH(G113,'Boa forma'!$C$1:$O$1,0)),""))</f>
        <v>2150.5497607966718</v>
      </c>
      <c r="K113" s="2">
        <f t="shared" si="8"/>
        <v>-205.76023920332818</v>
      </c>
      <c r="L113" t="str">
        <f t="shared" si="9"/>
        <v>Sim</v>
      </c>
    </row>
    <row r="114" spans="1:12" x14ac:dyDescent="0.25">
      <c r="A114" t="str">
        <f>'Planilha CP Meli'!B134</f>
        <v>MLB4297685932</v>
      </c>
      <c r="B114" t="str">
        <f>'Planilha CP Meli'!C134</f>
        <v>PA56215</v>
      </c>
      <c r="C114">
        <f>'Planilha CP Meli'!E134</f>
        <v>163.68</v>
      </c>
      <c r="D114" t="str">
        <f>IFERROR(VLOOKUP(A114,'Base MLB'!A:B,2,0)," ")</f>
        <v>Premium</v>
      </c>
      <c r="E114" s="1">
        <f>IFERROR(VLOOKUP(A114,'Base MLB'!A:C,3,0)," ")</f>
        <v>0.16500000000000001</v>
      </c>
      <c r="F114" s="1">
        <f t="shared" si="5"/>
        <v>0.08</v>
      </c>
      <c r="G114" s="1">
        <f t="shared" si="6"/>
        <v>9.5000000000000001E-2</v>
      </c>
      <c r="H114" s="1">
        <f t="shared" si="7"/>
        <v>9.5000000000000001E-2</v>
      </c>
      <c r="I114" s="2">
        <f>'Planilha CP Meli'!G134</f>
        <v>2046</v>
      </c>
      <c r="J114" s="2">
        <f>IFERROR(INDEX('Base com preços'!$C:$O,MATCH(B114,'Base com preços'!$A:$A,0),MATCH(G114,'Base com preços'!$C$1:$O$1,0)),IFERROR(INDEX('Boa forma'!$C:$O,MATCH(A114,'Boa forma'!$A:$A,0),MATCH(G114,'Boa forma'!$C$1:$O$1,0)),""))</f>
        <v>2198.3490538590495</v>
      </c>
      <c r="K114" s="2">
        <f t="shared" si="8"/>
        <v>152.34905385904949</v>
      </c>
      <c r="L114" t="str">
        <f t="shared" si="9"/>
        <v>Não</v>
      </c>
    </row>
    <row r="115" spans="1:12" x14ac:dyDescent="0.25">
      <c r="A115" t="str">
        <f>'Planilha CP Meli'!B84</f>
        <v>MLB3902408271</v>
      </c>
      <c r="B115" t="str">
        <f>'Planilha CP Meli'!C84</f>
        <v>PA94873</v>
      </c>
      <c r="C115">
        <f>'Planilha CP Meli'!E84</f>
        <v>145.04</v>
      </c>
      <c r="D115" t="str">
        <f>IFERROR(VLOOKUP(A115,'Base MLB'!A:B,2,0)," ")</f>
        <v>Clássico</v>
      </c>
      <c r="E115" s="1">
        <f>IFERROR(VLOOKUP(A115,'Base MLB'!A:C,3,0)," ")</f>
        <v>0.115</v>
      </c>
      <c r="F115" s="1">
        <f t="shared" si="5"/>
        <v>4.9937681189359664E-2</v>
      </c>
      <c r="G115" s="1">
        <f t="shared" si="6"/>
        <v>7.4999999999999997E-2</v>
      </c>
      <c r="H115" s="1">
        <f t="shared" si="7"/>
        <v>7.4999999999999997E-2</v>
      </c>
      <c r="I115" s="2">
        <f>'Planilha CP Meli'!G84</f>
        <v>2904.42</v>
      </c>
      <c r="J115" s="2">
        <f>IFERROR(INDEX('Base com preços'!$C:$O,MATCH(B115,'Base com preços'!$A:$A,0),MATCH(G115,'Base com preços'!$C$1:$O$1,0)),IFERROR(INDEX('Boa forma'!$C:$O,MATCH(A115,'Boa forma'!$A:$A,0),MATCH(G115,'Boa forma'!$C$1:$O$1,0)),""))</f>
        <v>2650.7893920996516</v>
      </c>
      <c r="K115" s="2">
        <f t="shared" si="8"/>
        <v>-253.63060790034842</v>
      </c>
      <c r="L115" t="str">
        <f t="shared" si="9"/>
        <v>Sim</v>
      </c>
    </row>
    <row r="116" spans="1:12" x14ac:dyDescent="0.25">
      <c r="A116" t="str">
        <f>'Planilha CP Meli'!B192</f>
        <v>MLB5184814110</v>
      </c>
      <c r="B116" t="str">
        <f>'Planilha CP Meli'!C192</f>
        <v>PA52306</v>
      </c>
      <c r="C116">
        <f>'Planilha CP Meli'!E192</f>
        <v>60.72</v>
      </c>
      <c r="D116" t="str">
        <f>IFERROR(VLOOKUP(A116,'Base MLB'!A:B,2,0)," ")</f>
        <v>Clássico</v>
      </c>
      <c r="E116" s="1">
        <f>IFERROR(VLOOKUP(A116,'Base MLB'!A:C,3,0)," ")</f>
        <v>0.115</v>
      </c>
      <c r="F116" s="1">
        <f t="shared" si="5"/>
        <v>6.9996656944908753E-2</v>
      </c>
      <c r="G116" s="1">
        <f t="shared" si="6"/>
        <v>5.5E-2</v>
      </c>
      <c r="H116" s="1">
        <f t="shared" si="7"/>
        <v>5.5E-2</v>
      </c>
      <c r="I116" s="2">
        <f>'Planilha CP Meli'!G192</f>
        <v>867.47</v>
      </c>
      <c r="J116" s="2">
        <f>IFERROR(INDEX('Base com preços'!$C:$O,MATCH(B116,'Base com preços'!$A:$A,0),MATCH(G116,'Base com preços'!$C$1:$O$1,0)),IFERROR(INDEX('Boa forma'!$C:$O,MATCH(A116,'Boa forma'!$A:$A,0),MATCH(G116,'Boa forma'!$C$1:$O$1,0)),""))</f>
        <v>744.92799551185101</v>
      </c>
      <c r="K116" s="2">
        <f t="shared" si="8"/>
        <v>-122.54200448814902</v>
      </c>
      <c r="L116" t="str">
        <f t="shared" si="9"/>
        <v>Sim</v>
      </c>
    </row>
    <row r="117" spans="1:12" x14ac:dyDescent="0.25">
      <c r="A117" t="str">
        <f>'Planilha CP Meli'!B100</f>
        <v>MLB4063066992</v>
      </c>
      <c r="B117" t="str">
        <f>'Planilha CP Meli'!C100</f>
        <v>PA85368</v>
      </c>
      <c r="C117">
        <f>'Planilha CP Meli'!E100</f>
        <v>277.44</v>
      </c>
      <c r="D117" t="str">
        <f>IFERROR(VLOOKUP(A117,'Base MLB'!A:B,2,0)," ")</f>
        <v>Premium</v>
      </c>
      <c r="E117" s="1">
        <f>IFERROR(VLOOKUP(A117,'Base MLB'!A:C,3,0)," ")</f>
        <v>0.16500000000000001</v>
      </c>
      <c r="F117" s="1">
        <f t="shared" si="5"/>
        <v>0.08</v>
      </c>
      <c r="G117" s="1">
        <f t="shared" si="6"/>
        <v>9.5000000000000001E-2</v>
      </c>
      <c r="H117" s="1">
        <f t="shared" si="7"/>
        <v>9.5000000000000001E-2</v>
      </c>
      <c r="I117" s="2">
        <f>'Planilha CP Meli'!G100</f>
        <v>3468</v>
      </c>
      <c r="J117" s="2">
        <f>IFERROR(INDEX('Base com preços'!$C:$O,MATCH(B117,'Base com preços'!$A:$A,0),MATCH(G117,'Base com preços'!$C$1:$O$1,0)),IFERROR(INDEX('Boa forma'!$C:$O,MATCH(A117,'Boa forma'!$A:$A,0),MATCH(G117,'Boa forma'!$C$1:$O$1,0)),""))</f>
        <v>3468.8233716684663</v>
      </c>
      <c r="K117" s="2">
        <f t="shared" si="8"/>
        <v>0.82337166846627952</v>
      </c>
      <c r="L117" t="str">
        <f t="shared" si="9"/>
        <v>Sim</v>
      </c>
    </row>
    <row r="118" spans="1:12" x14ac:dyDescent="0.25">
      <c r="A118" t="str">
        <f>'Planilha CP Meli'!B120</f>
        <v>MLB4237823882</v>
      </c>
      <c r="B118" t="str">
        <f>'Planilha CP Meli'!C120</f>
        <v>PA66795</v>
      </c>
      <c r="C118">
        <f>'Planilha CP Meli'!E120</f>
        <v>314.52</v>
      </c>
      <c r="D118" t="str">
        <f>IFERROR(VLOOKUP(A118,'Base MLB'!A:B,2,0)," ")</f>
        <v>Premium</v>
      </c>
      <c r="E118" s="1">
        <f>IFERROR(VLOOKUP(A118,'Base MLB'!A:C,3,0)," ")</f>
        <v>0.16500000000000001</v>
      </c>
      <c r="F118" s="1">
        <f t="shared" si="5"/>
        <v>7.3301528630059398E-2</v>
      </c>
      <c r="G118" s="1">
        <f t="shared" si="6"/>
        <v>0.105</v>
      </c>
      <c r="H118" s="1">
        <f t="shared" si="7"/>
        <v>0.105</v>
      </c>
      <c r="I118" s="2">
        <f>'Planilha CP Meli'!G120</f>
        <v>4290.7700000000004</v>
      </c>
      <c r="J118" s="2">
        <f>IFERROR(INDEX('Base com preços'!$C:$O,MATCH(B118,'Base com preços'!$A:$A,0),MATCH(G118,'Base com preços'!$C$1:$O$1,0)),IFERROR(INDEX('Boa forma'!$C:$O,MATCH(A118,'Boa forma'!$A:$A,0),MATCH(G118,'Boa forma'!$C$1:$O$1,0)),""))</f>
        <v>4290.7661288218396</v>
      </c>
      <c r="K118" s="2">
        <f t="shared" si="8"/>
        <v>-3.871178160807176E-3</v>
      </c>
      <c r="L118" t="str">
        <f t="shared" si="9"/>
        <v>Sim</v>
      </c>
    </row>
    <row r="119" spans="1:12" x14ac:dyDescent="0.25">
      <c r="A119" t="str">
        <f>'Planilha CP Meli'!B122</f>
        <v>MLB4240739156</v>
      </c>
      <c r="B119" t="str">
        <f>'Planilha CP Meli'!C122</f>
        <v>PA66746</v>
      </c>
      <c r="C119">
        <f>'Planilha CP Meli'!E122</f>
        <v>205.84</v>
      </c>
      <c r="D119" t="str">
        <f>IFERROR(VLOOKUP(A119,'Base MLB'!A:B,2,0)," ")</f>
        <v>Premium</v>
      </c>
      <c r="E119" s="1">
        <f>IFERROR(VLOOKUP(A119,'Base MLB'!A:C,3,0)," ")</f>
        <v>0.16500000000000001</v>
      </c>
      <c r="F119" s="1">
        <f t="shared" si="5"/>
        <v>6.2978249495935362E-2</v>
      </c>
      <c r="G119" s="1">
        <f t="shared" si="6"/>
        <v>0.115</v>
      </c>
      <c r="H119" s="1">
        <f t="shared" si="7"/>
        <v>0.115</v>
      </c>
      <c r="I119" s="2">
        <f>'Planilha CP Meli'!G122</f>
        <v>3268.43</v>
      </c>
      <c r="J119" s="2">
        <f>IFERROR(INDEX('Base com preços'!$C:$O,MATCH(B119,'Base com preços'!$A:$A,0),MATCH(G119,'Base com preços'!$C$1:$O$1,0)),IFERROR(INDEX('Boa forma'!$C:$O,MATCH(A119,'Boa forma'!$A:$A,0),MATCH(G119,'Boa forma'!$C$1:$O$1,0)),""))</f>
        <v>3369.5173187900969</v>
      </c>
      <c r="K119" s="2">
        <f t="shared" si="8"/>
        <v>101.08731879009702</v>
      </c>
      <c r="L119" t="str">
        <f t="shared" si="9"/>
        <v>Sim</v>
      </c>
    </row>
    <row r="120" spans="1:12" x14ac:dyDescent="0.25">
      <c r="A120" t="str">
        <f>'Planilha CP Meli'!B117</f>
        <v>MLB4217568540</v>
      </c>
      <c r="B120" t="str">
        <f>'Planilha CP Meli'!C117</f>
        <v>PA66894</v>
      </c>
      <c r="C120">
        <f>'Planilha CP Meli'!E117</f>
        <v>345.44</v>
      </c>
      <c r="D120" t="str">
        <f>IFERROR(VLOOKUP(A120,'Base MLB'!A:B,2,0)," ")</f>
        <v>Premium</v>
      </c>
      <c r="E120" s="1">
        <f>IFERROR(VLOOKUP(A120,'Base MLB'!A:C,3,0)," ")</f>
        <v>0.16500000000000001</v>
      </c>
      <c r="F120" s="1">
        <f t="shared" si="5"/>
        <v>7.4778817575100284E-2</v>
      </c>
      <c r="G120" s="1">
        <f t="shared" si="6"/>
        <v>0.105</v>
      </c>
      <c r="H120" s="1">
        <f t="shared" si="7"/>
        <v>0.105</v>
      </c>
      <c r="I120" s="2">
        <f>'Planilha CP Meli'!G117</f>
        <v>4619.49</v>
      </c>
      <c r="J120" s="2">
        <f>IFERROR(INDEX('Base com preços'!$C:$O,MATCH(B120,'Base com preços'!$A:$A,0),MATCH(G120,'Base com preços'!$C$1:$O$1,0)),IFERROR(INDEX('Boa forma'!$C:$O,MATCH(A120,'Boa forma'!$A:$A,0),MATCH(G120,'Boa forma'!$C$1:$O$1,0)),""))</f>
        <v>4619.4851646982788</v>
      </c>
      <c r="K120" s="2">
        <f t="shared" si="8"/>
        <v>-4.8353017209592508E-3</v>
      </c>
      <c r="L120" t="str">
        <f t="shared" si="9"/>
        <v>Sim</v>
      </c>
    </row>
    <row r="121" spans="1:12" x14ac:dyDescent="0.25">
      <c r="A121" t="str">
        <f>'Planilha CP Meli'!B203</f>
        <v>MLB5187088646</v>
      </c>
      <c r="B121" t="str">
        <f>'Planilha CP Meli'!C203</f>
        <v>PA85359</v>
      </c>
      <c r="C121">
        <f>'Planilha CP Meli'!E203</f>
        <v>151.18</v>
      </c>
      <c r="D121" t="str">
        <f>IFERROR(VLOOKUP(A121,'Base MLB'!A:B,2,0)," ")</f>
        <v>Clássico</v>
      </c>
      <c r="E121" s="1">
        <f>IFERROR(VLOOKUP(A121,'Base MLB'!A:C,3,0)," ")</f>
        <v>0.115</v>
      </c>
      <c r="F121" s="1">
        <f t="shared" si="5"/>
        <v>7.9067797053393521E-2</v>
      </c>
      <c r="G121" s="1">
        <f t="shared" si="6"/>
        <v>4.4999999999999998E-2</v>
      </c>
      <c r="H121" s="1">
        <f t="shared" si="7"/>
        <v>4.4999999999999998E-2</v>
      </c>
      <c r="I121" s="2">
        <f>'Planilha CP Meli'!G203</f>
        <v>1912.03</v>
      </c>
      <c r="J121" s="2">
        <f>IFERROR(INDEX('Base com preços'!$C:$O,MATCH(B121,'Base com preços'!$A:$A,0),MATCH(G121,'Base com preços'!$C$1:$O$1,0)),IFERROR(INDEX('Boa forma'!$C:$O,MATCH(A121,'Boa forma'!$A:$A,0),MATCH(G121,'Boa forma'!$C$1:$O$1,0)),""))</f>
        <v>1592.6760763401035</v>
      </c>
      <c r="K121" s="2">
        <f t="shared" si="8"/>
        <v>-319.35392365989651</v>
      </c>
      <c r="L121" t="str">
        <f t="shared" si="9"/>
        <v>Sim</v>
      </c>
    </row>
    <row r="122" spans="1:12" x14ac:dyDescent="0.25">
      <c r="A122" t="str">
        <f>'Planilha CP Meli'!B124</f>
        <v>MLB4240778642</v>
      </c>
      <c r="B122" t="str">
        <f>'Planilha CP Meli'!C124</f>
        <v>PA66326</v>
      </c>
      <c r="C122">
        <f>'Planilha CP Meli'!E124</f>
        <v>154.51</v>
      </c>
      <c r="D122" t="str">
        <f>IFERROR(VLOOKUP(A122,'Base MLB'!A:B,2,0)," ")</f>
        <v>Premium</v>
      </c>
      <c r="E122" s="1">
        <f>IFERROR(VLOOKUP(A122,'Base MLB'!A:C,3,0)," ")</f>
        <v>0.16500000000000001</v>
      </c>
      <c r="F122" s="1">
        <f t="shared" si="5"/>
        <v>5.908943151614815E-2</v>
      </c>
      <c r="G122" s="1">
        <f t="shared" si="6"/>
        <v>0.115</v>
      </c>
      <c r="H122" s="1">
        <f t="shared" si="7"/>
        <v>0.115</v>
      </c>
      <c r="I122" s="2">
        <f>'Planilha CP Meli'!G124</f>
        <v>2614.85</v>
      </c>
      <c r="J122" s="2">
        <f>IFERROR(INDEX('Base com preços'!$C:$O,MATCH(B122,'Base com preços'!$A:$A,0),MATCH(G122,'Base com preços'!$C$1:$O$1,0)),IFERROR(INDEX('Boa forma'!$C:$O,MATCH(A122,'Boa forma'!$A:$A,0),MATCH(G122,'Boa forma'!$C$1:$O$1,0)),""))</f>
        <v>2695.7202253853602</v>
      </c>
      <c r="K122" s="2">
        <f t="shared" si="8"/>
        <v>80.8702253853603</v>
      </c>
      <c r="L122" t="str">
        <f t="shared" si="9"/>
        <v>Sim</v>
      </c>
    </row>
    <row r="123" spans="1:12" x14ac:dyDescent="0.25">
      <c r="A123" t="str">
        <f>'Planilha CP Meli'!B125</f>
        <v>MLB4241322736</v>
      </c>
      <c r="B123" t="str">
        <f>'Planilha CP Meli'!C125</f>
        <v>PA66749</v>
      </c>
      <c r="C123">
        <f>'Planilha CP Meli'!E125</f>
        <v>251.89</v>
      </c>
      <c r="D123" t="str">
        <f>IFERROR(VLOOKUP(A123,'Base MLB'!A:B,2,0)," ")</f>
        <v>Premium</v>
      </c>
      <c r="E123" s="1">
        <f>IFERROR(VLOOKUP(A123,'Base MLB'!A:C,3,0)," ")</f>
        <v>0.16500000000000001</v>
      </c>
      <c r="F123" s="1">
        <f t="shared" si="5"/>
        <v>5.0167297351125274E-2</v>
      </c>
      <c r="G123" s="1">
        <f t="shared" si="6"/>
        <v>0.125</v>
      </c>
      <c r="H123" s="1">
        <f t="shared" si="7"/>
        <v>0.125</v>
      </c>
      <c r="I123" s="2">
        <f>'Planilha CP Meli'!G125</f>
        <v>5021</v>
      </c>
      <c r="J123" s="2">
        <f>IFERROR(INDEX('Base com preços'!$C:$O,MATCH(B123,'Base com preços'!$A:$A,0),MATCH(G123,'Base com preços'!$C$1:$O$1,0)),IFERROR(INDEX('Boa forma'!$C:$O,MATCH(A123,'Boa forma'!$A:$A,0),MATCH(G123,'Boa forma'!$C$1:$O$1,0)),""))</f>
        <v>5007.4788103602414</v>
      </c>
      <c r="K123" s="2">
        <f t="shared" si="8"/>
        <v>-13.521189639758632</v>
      </c>
      <c r="L123" t="str">
        <f t="shared" si="9"/>
        <v>Sim</v>
      </c>
    </row>
    <row r="124" spans="1:12" x14ac:dyDescent="0.25">
      <c r="A124" t="str">
        <f>'Planilha CP Meli'!B129</f>
        <v>MLB4264287777</v>
      </c>
      <c r="B124" t="str">
        <f>'Planilha CP Meli'!C129</f>
        <v>PA66747</v>
      </c>
      <c r="C124">
        <f>'Planilha CP Meli'!E129</f>
        <v>160.13999999999999</v>
      </c>
      <c r="D124" t="str">
        <f>IFERROR(VLOOKUP(A124,'Base MLB'!A:B,2,0)," ")</f>
        <v>Clássico</v>
      </c>
      <c r="E124" s="1">
        <f>IFERROR(VLOOKUP(A124,'Base MLB'!A:C,3,0)," ")</f>
        <v>0.115</v>
      </c>
      <c r="F124" s="1">
        <f t="shared" si="5"/>
        <v>4.3147440629833E-2</v>
      </c>
      <c r="G124" s="1">
        <f t="shared" si="6"/>
        <v>8.5000000000000006E-2</v>
      </c>
      <c r="H124" s="1">
        <f t="shared" si="7"/>
        <v>8.5000000000000006E-2</v>
      </c>
      <c r="I124" s="2">
        <f>'Planilha CP Meli'!G129</f>
        <v>3711.46</v>
      </c>
      <c r="J124" s="2">
        <f>IFERROR(INDEX('Base com preços'!$C:$O,MATCH(B124,'Base com preços'!$A:$A,0),MATCH(G124,'Base com preços'!$C$1:$O$1,0)),IFERROR(INDEX('Boa forma'!$C:$O,MATCH(A124,'Boa forma'!$A:$A,0),MATCH(G124,'Boa forma'!$C$1:$O$1,0)),""))</f>
        <v>3492.1172658170017</v>
      </c>
      <c r="K124" s="2">
        <f t="shared" si="8"/>
        <v>-219.34273418299836</v>
      </c>
      <c r="L124" t="str">
        <f t="shared" si="9"/>
        <v>Sim</v>
      </c>
    </row>
    <row r="125" spans="1:12" x14ac:dyDescent="0.25">
      <c r="A125" t="str">
        <f>'Planilha CP Meli'!B247</f>
        <v>MLB5831477696</v>
      </c>
      <c r="B125" t="str">
        <f>'Planilha CP Meli'!C247</f>
        <v>PA66743</v>
      </c>
      <c r="C125">
        <f>'Planilha CP Meli'!E247</f>
        <v>148.16999999999999</v>
      </c>
      <c r="D125" t="str">
        <f>IFERROR(VLOOKUP(A125,'Base MLB'!A:B,2,0)," ")</f>
        <v>Premium</v>
      </c>
      <c r="E125" s="1">
        <f>IFERROR(VLOOKUP(A125,'Base MLB'!A:C,3,0)," ")</f>
        <v>0.16500000000000001</v>
      </c>
      <c r="F125" s="1">
        <f t="shared" si="5"/>
        <v>6.7315424350220102E-2</v>
      </c>
      <c r="G125" s="1">
        <f t="shared" si="6"/>
        <v>0.105</v>
      </c>
      <c r="H125" s="1">
        <f t="shared" si="7"/>
        <v>0.105</v>
      </c>
      <c r="I125" s="2">
        <f>'Planilha CP Meli'!G247</f>
        <v>2201.13</v>
      </c>
      <c r="J125" s="2">
        <f>IFERROR(INDEX('Base com preços'!$C:$O,MATCH(B125,'Base com preços'!$A:$A,0),MATCH(G125,'Base com preços'!$C$1:$O$1,0)),IFERROR(INDEX('Boa forma'!$C:$O,MATCH(A125,'Boa forma'!$A:$A,0),MATCH(G125,'Boa forma'!$C$1:$O$1,0)),""))</f>
        <v>2201.1285163611064</v>
      </c>
      <c r="K125" s="2">
        <f t="shared" si="8"/>
        <v>-1.4836388936600997E-3</v>
      </c>
      <c r="L125" t="str">
        <f t="shared" si="9"/>
        <v>Sim</v>
      </c>
    </row>
    <row r="126" spans="1:12" x14ac:dyDescent="0.25">
      <c r="A126" t="str">
        <f>'Planilha CP Meli'!B128</f>
        <v>MLB4263985355</v>
      </c>
      <c r="B126" t="str">
        <f>'Planilha CP Meli'!C128</f>
        <v>PA66716</v>
      </c>
      <c r="C126">
        <f>'Planilha CP Meli'!E128</f>
        <v>176.02</v>
      </c>
      <c r="D126" t="str">
        <f>IFERROR(VLOOKUP(A126,'Base MLB'!A:B,2,0)," ")</f>
        <v>Clássico</v>
      </c>
      <c r="E126" s="1">
        <f>IFERROR(VLOOKUP(A126,'Base MLB'!A:C,3,0)," ")</f>
        <v>0.115</v>
      </c>
      <c r="F126" s="1">
        <f t="shared" si="5"/>
        <v>6.4296724892424814E-2</v>
      </c>
      <c r="G126" s="1">
        <f t="shared" si="6"/>
        <v>6.5000000000000002E-2</v>
      </c>
      <c r="H126" s="1">
        <f t="shared" si="7"/>
        <v>6.5000000000000002E-2</v>
      </c>
      <c r="I126" s="2">
        <f>'Planilha CP Meli'!G128</f>
        <v>2737.62</v>
      </c>
      <c r="J126" s="2">
        <f>IFERROR(INDEX('Base com preços'!$C:$O,MATCH(B126,'Base com preços'!$A:$A,0),MATCH(G126,'Base com preços'!$C$1:$O$1,0)),IFERROR(INDEX('Boa forma'!$C:$O,MATCH(A126,'Boa forma'!$A:$A,0),MATCH(G126,'Boa forma'!$C$1:$O$1,0)),""))</f>
        <v>2423.5995095942744</v>
      </c>
      <c r="K126" s="2">
        <f t="shared" si="8"/>
        <v>-314.02049040572547</v>
      </c>
      <c r="L126" t="str">
        <f t="shared" si="9"/>
        <v>Sim</v>
      </c>
    </row>
    <row r="127" spans="1:12" x14ac:dyDescent="0.25">
      <c r="A127" t="str">
        <f>'Planilha CP Meli'!B101</f>
        <v>MLB4063085060</v>
      </c>
      <c r="B127" t="str">
        <f>'Planilha CP Meli'!C101</f>
        <v>PA85354</v>
      </c>
      <c r="C127">
        <f>'Planilha CP Meli'!E101</f>
        <v>267.48</v>
      </c>
      <c r="D127" t="str">
        <f>IFERROR(VLOOKUP(A127,'Base MLB'!A:B,2,0)," ")</f>
        <v>Premium</v>
      </c>
      <c r="E127" s="1">
        <f>IFERROR(VLOOKUP(A127,'Base MLB'!A:C,3,0)," ")</f>
        <v>0.16500000000000001</v>
      </c>
      <c r="F127" s="1">
        <f t="shared" si="5"/>
        <v>7.9999521462410877E-2</v>
      </c>
      <c r="G127" s="1">
        <f t="shared" si="6"/>
        <v>9.5000000000000001E-2</v>
      </c>
      <c r="H127" s="1">
        <f t="shared" si="7"/>
        <v>9.5000000000000001E-2</v>
      </c>
      <c r="I127" s="2">
        <f>'Planilha CP Meli'!G101</f>
        <v>3343.52</v>
      </c>
      <c r="J127" s="2">
        <f>IFERROR(INDEX('Base com preços'!$C:$O,MATCH(B127,'Base com preços'!$A:$A,0),MATCH(G127,'Base com preços'!$C$1:$O$1,0)),IFERROR(INDEX('Boa forma'!$C:$O,MATCH(A127,'Boa forma'!$A:$A,0),MATCH(G127,'Boa forma'!$C$1:$O$1,0)),""))</f>
        <v>3243.2107081360323</v>
      </c>
      <c r="K127" s="2">
        <f t="shared" si="8"/>
        <v>-100.3092918639677</v>
      </c>
      <c r="L127" t="str">
        <f t="shared" si="9"/>
        <v>Sim</v>
      </c>
    </row>
    <row r="128" spans="1:12" x14ac:dyDescent="0.25">
      <c r="A128" t="str">
        <f>'Planilha CP Meli'!B102</f>
        <v>MLB4063097668</v>
      </c>
      <c r="B128" t="str">
        <f>'Planilha CP Meli'!C102</f>
        <v>PA85351</v>
      </c>
      <c r="C128">
        <f>'Planilha CP Meli'!E102</f>
        <v>183.27</v>
      </c>
      <c r="D128" t="str">
        <f>IFERROR(VLOOKUP(A128,'Base MLB'!A:B,2,0)," ")</f>
        <v>Premium</v>
      </c>
      <c r="E128" s="1">
        <f>IFERROR(VLOOKUP(A128,'Base MLB'!A:C,3,0)," ")</f>
        <v>0.16500000000000001</v>
      </c>
      <c r="F128" s="1">
        <f t="shared" si="5"/>
        <v>7.999982539460819E-2</v>
      </c>
      <c r="G128" s="1">
        <f t="shared" si="6"/>
        <v>9.5000000000000001E-2</v>
      </c>
      <c r="H128" s="1">
        <f t="shared" si="7"/>
        <v>9.5000000000000001E-2</v>
      </c>
      <c r="I128" s="2">
        <f>'Planilha CP Meli'!G102</f>
        <v>2290.88</v>
      </c>
      <c r="J128" s="2">
        <f>IFERROR(INDEX('Base com preços'!$C:$O,MATCH(B128,'Base com preços'!$A:$A,0),MATCH(G128,'Base com preços'!$C$1:$O$1,0)),IFERROR(INDEX('Boa forma'!$C:$O,MATCH(A128,'Boa forma'!$A:$A,0),MATCH(G128,'Boa forma'!$C$1:$O$1,0)),""))</f>
        <v>2222.1537232345654</v>
      </c>
      <c r="K128" s="2">
        <f t="shared" si="8"/>
        <v>-68.726276765434704</v>
      </c>
      <c r="L128" t="str">
        <f t="shared" si="9"/>
        <v>Sim</v>
      </c>
    </row>
    <row r="129" spans="1:12" x14ac:dyDescent="0.25">
      <c r="A129" t="str">
        <f>'Planilha CP Meli'!B89</f>
        <v>MLB3922936661</v>
      </c>
      <c r="B129" t="str">
        <f>'Planilha CP Meli'!C89</f>
        <v>PA85369</v>
      </c>
      <c r="C129">
        <f>'Planilha CP Meli'!E89</f>
        <v>254.72</v>
      </c>
      <c r="D129" t="str">
        <f>IFERROR(VLOOKUP(A129,'Base MLB'!A:B,2,0)," ")</f>
        <v>Premium</v>
      </c>
      <c r="E129" s="1">
        <f>IFERROR(VLOOKUP(A129,'Base MLB'!A:C,3,0)," ")</f>
        <v>0.16500000000000001</v>
      </c>
      <c r="F129" s="1">
        <f t="shared" si="5"/>
        <v>0.08</v>
      </c>
      <c r="G129" s="1">
        <f t="shared" si="6"/>
        <v>9.5000000000000001E-2</v>
      </c>
      <c r="H129" s="1">
        <f t="shared" si="7"/>
        <v>9.5000000000000001E-2</v>
      </c>
      <c r="I129" s="2">
        <f>'Planilha CP Meli'!G89</f>
        <v>3184</v>
      </c>
      <c r="J129" s="2">
        <f>IFERROR(INDEX('Base com preços'!$C:$O,MATCH(B129,'Base com preços'!$A:$A,0),MATCH(G129,'Base com preços'!$C$1:$O$1,0)),IFERROR(INDEX('Boa forma'!$C:$O,MATCH(A129,'Boa forma'!$A:$A,0),MATCH(G129,'Boa forma'!$C$1:$O$1,0)),""))</f>
        <v>4182.8174972968691</v>
      </c>
      <c r="K129" s="2">
        <f t="shared" si="8"/>
        <v>998.81749729686908</v>
      </c>
      <c r="L129" t="str">
        <f t="shared" si="9"/>
        <v>Não</v>
      </c>
    </row>
    <row r="130" spans="1:12" x14ac:dyDescent="0.25">
      <c r="A130" t="str">
        <f>'Planilha CP Meli'!B80</f>
        <v>MLB3902376351</v>
      </c>
      <c r="B130" t="str">
        <f>'Planilha CP Meli'!C80</f>
        <v>PA52109</v>
      </c>
      <c r="C130">
        <f>'Planilha CP Meli'!E80</f>
        <v>194.83</v>
      </c>
      <c r="D130" t="str">
        <f>IFERROR(VLOOKUP(A130,'Base MLB'!A:B,2,0)," ")</f>
        <v>Premium</v>
      </c>
      <c r="E130" s="1">
        <f>IFERROR(VLOOKUP(A130,'Base MLB'!A:C,3,0)," ")</f>
        <v>0.16500000000000001</v>
      </c>
      <c r="F130" s="1">
        <f t="shared" si="5"/>
        <v>7.1640792192797315E-2</v>
      </c>
      <c r="G130" s="1">
        <f t="shared" si="6"/>
        <v>0.105</v>
      </c>
      <c r="H130" s="1">
        <f t="shared" si="7"/>
        <v>0.105</v>
      </c>
      <c r="I130" s="2">
        <f>'Planilha CP Meli'!G80</f>
        <v>2719.54</v>
      </c>
      <c r="J130" s="2">
        <f>IFERROR(INDEX('Base com preços'!$C:$O,MATCH(B130,'Base com preços'!$A:$A,0),MATCH(G130,'Base com preços'!$C$1:$O$1,0)),IFERROR(INDEX('Boa forma'!$C:$O,MATCH(A130,'Boa forma'!$A:$A,0),MATCH(G130,'Boa forma'!$C$1:$O$1,0)),""))</f>
        <v>2719.539723822279</v>
      </c>
      <c r="K130" s="2">
        <f t="shared" si="8"/>
        <v>-2.7617772093435633E-4</v>
      </c>
      <c r="L130" t="str">
        <f t="shared" si="9"/>
        <v>Sim</v>
      </c>
    </row>
    <row r="131" spans="1:12" x14ac:dyDescent="0.25">
      <c r="A131" t="str">
        <f>'Planilha CP Meli'!B81</f>
        <v>MLB3902395677</v>
      </c>
      <c r="B131" t="str">
        <f>'Planilha CP Meli'!C81</f>
        <v>PA94880</v>
      </c>
      <c r="C131">
        <f>'Planilha CP Meli'!E81</f>
        <v>194.12</v>
      </c>
      <c r="D131" t="str">
        <f>IFERROR(VLOOKUP(A131,'Base MLB'!A:B,2,0)," ")</f>
        <v>Premium</v>
      </c>
      <c r="E131" s="1">
        <f>IFERROR(VLOOKUP(A131,'Base MLB'!A:C,3,0)," ")</f>
        <v>0.16500000000000001</v>
      </c>
      <c r="F131" s="1">
        <f t="shared" ref="F131:F194" si="10">IFERROR(C131/I131," ")</f>
        <v>0.08</v>
      </c>
      <c r="G131" s="1">
        <f t="shared" ref="G131:G194" si="11">IFERROR(MAX((ROUNDUP((E131-F131)*100,0)+0.5)/100,4.5%),"")</f>
        <v>9.5000000000000001E-2</v>
      </c>
      <c r="H131" s="1">
        <f t="shared" ref="H131:H194" si="12">IFERROR((ROUNDUP((E131-F131)*100,0)+0.5)/100,"")</f>
        <v>9.5000000000000001E-2</v>
      </c>
      <c r="I131" s="2">
        <f>'Planilha CP Meli'!G81</f>
        <v>2426.5</v>
      </c>
      <c r="J131" s="2">
        <f>IFERROR(INDEX('Base com preços'!$C:$O,MATCH(B131,'Base com preços'!$A:$A,0),MATCH(G131,'Base com preços'!$C$1:$O$1,0)),IFERROR(INDEX('Boa forma'!$C:$O,MATCH(A131,'Boa forma'!$A:$A,0),MATCH(G131,'Boa forma'!$C$1:$O$1,0)),""))</f>
        <v>2353.7014538244539</v>
      </c>
      <c r="K131" s="2">
        <f t="shared" ref="K131:K194" si="13">IFERROR(J131-I131," ")</f>
        <v>-72.798546175546107</v>
      </c>
      <c r="L131" t="str">
        <f t="shared" si="9"/>
        <v>Sim</v>
      </c>
    </row>
    <row r="132" spans="1:12" x14ac:dyDescent="0.25">
      <c r="A132" t="str">
        <f>'Planilha CP Meli'!B116</f>
        <v>MLB4217364892</v>
      </c>
      <c r="B132" t="str">
        <f>'Planilha CP Meli'!C116</f>
        <v>PA66794</v>
      </c>
      <c r="C132">
        <f>'Planilha CP Meli'!E116</f>
        <v>242.8</v>
      </c>
      <c r="D132" t="str">
        <f>IFERROR(VLOOKUP(A132,'Base MLB'!A:B,2,0)," ")</f>
        <v>Premium</v>
      </c>
      <c r="E132" s="1">
        <f>IFERROR(VLOOKUP(A132,'Base MLB'!A:C,3,0)," ")</f>
        <v>0.16500000000000001</v>
      </c>
      <c r="F132" s="1">
        <f t="shared" si="10"/>
        <v>6.2065439672801641E-2</v>
      </c>
      <c r="G132" s="1">
        <f t="shared" si="11"/>
        <v>0.115</v>
      </c>
      <c r="H132" s="1">
        <f t="shared" si="12"/>
        <v>0.115</v>
      </c>
      <c r="I132" s="2">
        <f>'Planilha CP Meli'!G116</f>
        <v>3912</v>
      </c>
      <c r="J132" s="2">
        <f>IFERROR(INDEX('Base com preços'!$C:$O,MATCH(B132,'Base com preços'!$A:$A,0),MATCH(G132,'Base com preços'!$C$1:$O$1,0)),IFERROR(INDEX('Boa forma'!$C:$O,MATCH(A132,'Boa forma'!$A:$A,0),MATCH(G132,'Boa forma'!$C$1:$O$1,0)),""))</f>
        <v>3781.7319850806375</v>
      </c>
      <c r="K132" s="2">
        <f t="shared" si="13"/>
        <v>-130.26801491936249</v>
      </c>
      <c r="L132" t="str">
        <f t="shared" ref="L132:L195" si="14">IFERROR(IF(K132&lt;0,"Sim",IF(I132&gt;=J132*0.95,"Sim","Não")),"Não")</f>
        <v>Sim</v>
      </c>
    </row>
    <row r="133" spans="1:12" x14ac:dyDescent="0.25">
      <c r="A133" t="str">
        <f>'Planilha CP Meli'!B135</f>
        <v>MLB4297697982</v>
      </c>
      <c r="B133" t="str">
        <f>'Planilha CP Meli'!C135</f>
        <v>PA69849</v>
      </c>
      <c r="C133">
        <f>'Planilha CP Meli'!E135</f>
        <v>121.68</v>
      </c>
      <c r="D133" t="str">
        <f>IFERROR(VLOOKUP(A133,'Base MLB'!A:B,2,0)," ")</f>
        <v>Premium</v>
      </c>
      <c r="E133" s="1">
        <f>IFERROR(VLOOKUP(A133,'Base MLB'!A:C,3,0)," ")</f>
        <v>0.16500000000000001</v>
      </c>
      <c r="F133" s="1">
        <f t="shared" si="10"/>
        <v>0.08</v>
      </c>
      <c r="G133" s="1">
        <f t="shared" si="11"/>
        <v>9.5000000000000001E-2</v>
      </c>
      <c r="H133" s="1">
        <f t="shared" si="12"/>
        <v>9.5000000000000001E-2</v>
      </c>
      <c r="I133" s="2">
        <f>'Planilha CP Meli'!G135</f>
        <v>1521</v>
      </c>
      <c r="J133" s="2">
        <f>IFERROR(INDEX('Base com preços'!$C:$O,MATCH(B133,'Base com preços'!$A:$A,0),MATCH(G133,'Base com preços'!$C$1:$O$1,0)),IFERROR(INDEX('Boa forma'!$C:$O,MATCH(A133,'Boa forma'!$A:$A,0),MATCH(G133,'Boa forma'!$C$1:$O$1,0)),""))</f>
        <v>1748.2496702799708</v>
      </c>
      <c r="K133" s="2">
        <f t="shared" si="13"/>
        <v>227.24967027997081</v>
      </c>
      <c r="L133" t="str">
        <f t="shared" si="14"/>
        <v>Não</v>
      </c>
    </row>
    <row r="134" spans="1:12" x14ac:dyDescent="0.25">
      <c r="A134" t="str">
        <f>'Planilha CP Meli'!B136</f>
        <v>MLB4297707532</v>
      </c>
      <c r="B134" t="str">
        <f>'Planilha CP Meli'!C136</f>
        <v>PA65755</v>
      </c>
      <c r="C134">
        <f>'Planilha CP Meli'!E136</f>
        <v>83.2</v>
      </c>
      <c r="D134" t="str">
        <f>IFERROR(VLOOKUP(A134,'Base MLB'!A:B,2,0)," ")</f>
        <v>Premium</v>
      </c>
      <c r="E134" s="1">
        <f>IFERROR(VLOOKUP(A134,'Base MLB'!A:C,3,0)," ")</f>
        <v>0.16500000000000001</v>
      </c>
      <c r="F134" s="1">
        <f t="shared" si="10"/>
        <v>0.08</v>
      </c>
      <c r="G134" s="1">
        <f t="shared" si="11"/>
        <v>9.5000000000000001E-2</v>
      </c>
      <c r="H134" s="1">
        <f t="shared" si="12"/>
        <v>9.5000000000000001E-2</v>
      </c>
      <c r="I134" s="2">
        <f>'Planilha CP Meli'!G136</f>
        <v>1040</v>
      </c>
      <c r="J134" s="2">
        <f>IFERROR(INDEX('Base com preços'!$C:$O,MATCH(B134,'Base com preços'!$A:$A,0),MATCH(G134,'Base com preços'!$C$1:$O$1,0)),IFERROR(INDEX('Boa forma'!$C:$O,MATCH(A134,'Boa forma'!$A:$A,0),MATCH(G134,'Boa forma'!$C$1:$O$1,0)),""))</f>
        <v>1103.3363067819605</v>
      </c>
      <c r="K134" s="2">
        <f t="shared" si="13"/>
        <v>63.336306781960502</v>
      </c>
      <c r="L134" t="str">
        <f t="shared" si="14"/>
        <v>Não</v>
      </c>
    </row>
    <row r="135" spans="1:12" x14ac:dyDescent="0.25">
      <c r="A135" t="str">
        <f>'Planilha CP Meli'!B137</f>
        <v>MLB4297737720</v>
      </c>
      <c r="B135" t="str">
        <f>'Planilha CP Meli'!C137</f>
        <v>PA62652</v>
      </c>
      <c r="C135">
        <f>'Planilha CP Meli'!E137</f>
        <v>84.5</v>
      </c>
      <c r="D135" t="str">
        <f>IFERROR(VLOOKUP(A135,'Base MLB'!A:B,2,0)," ")</f>
        <v>Premium</v>
      </c>
      <c r="E135" s="1">
        <f>IFERROR(VLOOKUP(A135,'Base MLB'!A:C,3,0)," ")</f>
        <v>0.16500000000000001</v>
      </c>
      <c r="F135" s="1">
        <f t="shared" si="10"/>
        <v>5.3351348621072839E-2</v>
      </c>
      <c r="G135" s="1">
        <f t="shared" si="11"/>
        <v>0.125</v>
      </c>
      <c r="H135" s="1">
        <f t="shared" si="12"/>
        <v>0.125</v>
      </c>
      <c r="I135" s="2">
        <f>'Planilha CP Meli'!G137</f>
        <v>1583.84</v>
      </c>
      <c r="J135" s="2">
        <f>IFERROR(INDEX('Base com preços'!$C:$O,MATCH(B135,'Base com preços'!$A:$A,0),MATCH(G135,'Base com preços'!$C$1:$O$1,0)),IFERROR(INDEX('Boa forma'!$C:$O,MATCH(A135,'Boa forma'!$A:$A,0),MATCH(G135,'Boa forma'!$C$1:$O$1,0)),""))</f>
        <v>1445.5264955437569</v>
      </c>
      <c r="K135" s="2">
        <f t="shared" si="13"/>
        <v>-138.31350445624298</v>
      </c>
      <c r="L135" t="str">
        <f t="shared" si="14"/>
        <v>Sim</v>
      </c>
    </row>
    <row r="136" spans="1:12" x14ac:dyDescent="0.25">
      <c r="A136" t="str">
        <f>'Planilha CP Meli'!B138</f>
        <v>MLB4297781216</v>
      </c>
      <c r="B136" t="str">
        <f>'Planilha CP Meli'!C138</f>
        <v>PA69848</v>
      </c>
      <c r="C136">
        <f>'Planilha CP Meli'!E138</f>
        <v>120.8</v>
      </c>
      <c r="D136" t="str">
        <f>IFERROR(VLOOKUP(A136,'Base MLB'!A:B,2,0)," ")</f>
        <v>Premium</v>
      </c>
      <c r="E136" s="1">
        <f>IFERROR(VLOOKUP(A136,'Base MLB'!A:C,3,0)," ")</f>
        <v>0.16500000000000001</v>
      </c>
      <c r="F136" s="1">
        <f t="shared" si="10"/>
        <v>0.08</v>
      </c>
      <c r="G136" s="1">
        <f t="shared" si="11"/>
        <v>9.5000000000000001E-2</v>
      </c>
      <c r="H136" s="1">
        <f t="shared" si="12"/>
        <v>9.5000000000000001E-2</v>
      </c>
      <c r="I136" s="2">
        <f>'Planilha CP Meli'!G138</f>
        <v>1510</v>
      </c>
      <c r="J136" s="2">
        <f>IFERROR(INDEX('Base com preços'!$C:$O,MATCH(B136,'Base com preços'!$A:$A,0),MATCH(G136,'Base com preços'!$C$1:$O$1,0)),IFERROR(INDEX('Boa forma'!$C:$O,MATCH(A136,'Boa forma'!$A:$A,0),MATCH(G136,'Boa forma'!$C$1:$O$1,0)),""))</f>
        <v>1470.6420486166662</v>
      </c>
      <c r="K136" s="2">
        <f t="shared" si="13"/>
        <v>-39.357951383333784</v>
      </c>
      <c r="L136" t="str">
        <f t="shared" si="14"/>
        <v>Sim</v>
      </c>
    </row>
    <row r="137" spans="1:12" x14ac:dyDescent="0.25">
      <c r="A137" t="str">
        <f>'Planilha CP Meli'!B70</f>
        <v>MLB3633571195</v>
      </c>
      <c r="B137" t="str">
        <f>'Planilha CP Meli'!C70</f>
        <v>PA52106</v>
      </c>
      <c r="C137">
        <f>'Planilha CP Meli'!E70</f>
        <v>113.6</v>
      </c>
      <c r="D137" t="str">
        <f>IFERROR(VLOOKUP(A137,'Base MLB'!A:B,2,0)," ")</f>
        <v>Premium</v>
      </c>
      <c r="E137" s="1">
        <f>IFERROR(VLOOKUP(A137,'Base MLB'!A:C,3,0)," ")</f>
        <v>0.16500000000000001</v>
      </c>
      <c r="F137" s="1">
        <f t="shared" si="10"/>
        <v>6.1571815718157182E-2</v>
      </c>
      <c r="G137" s="1">
        <f t="shared" si="11"/>
        <v>0.115</v>
      </c>
      <c r="H137" s="1">
        <f t="shared" si="12"/>
        <v>0.115</v>
      </c>
      <c r="I137" s="2">
        <f>'Planilha CP Meli'!G70</f>
        <v>1845</v>
      </c>
      <c r="J137" s="2">
        <f>IFERROR(INDEX('Base com preços'!$C:$O,MATCH(B137,'Base com preços'!$A:$A,0),MATCH(G137,'Base com preços'!$C$1:$O$1,0)),IFERROR(INDEX('Boa forma'!$C:$O,MATCH(A137,'Boa forma'!$A:$A,0),MATCH(G137,'Boa forma'!$C$1:$O$1,0)),""))</f>
        <v>1902.7440153235459</v>
      </c>
      <c r="K137" s="2">
        <f t="shared" si="13"/>
        <v>57.744015323545909</v>
      </c>
      <c r="L137" t="str">
        <f t="shared" si="14"/>
        <v>Sim</v>
      </c>
    </row>
    <row r="138" spans="1:12" x14ac:dyDescent="0.25">
      <c r="A138" t="str">
        <f>'Planilha CP Meli'!B229</f>
        <v>MLB5436477428</v>
      </c>
      <c r="B138" t="str">
        <f>'Planilha CP Meli'!C229</f>
        <v>PA66327</v>
      </c>
      <c r="C138">
        <f>'Planilha CP Meli'!E229</f>
        <v>159.74</v>
      </c>
      <c r="D138" t="str">
        <f>IFERROR(VLOOKUP(A138,'Base MLB'!A:B,2,0)," ")</f>
        <v>Clássico</v>
      </c>
      <c r="E138" s="1">
        <f>IFERROR(VLOOKUP(A138,'Base MLB'!A:C,3,0)," ")</f>
        <v>0.115</v>
      </c>
      <c r="F138" s="1">
        <f t="shared" si="10"/>
        <v>5.2195620848187012E-2</v>
      </c>
      <c r="G138" s="1">
        <f t="shared" si="11"/>
        <v>7.4999999999999997E-2</v>
      </c>
      <c r="H138" s="1">
        <f t="shared" si="12"/>
        <v>7.4999999999999997E-2</v>
      </c>
      <c r="I138" s="2">
        <f>'Planilha CP Meli'!G229</f>
        <v>3060.41</v>
      </c>
      <c r="J138" s="2">
        <f>IFERROR(INDEX('Base com preços'!$C:$O,MATCH(B138,'Base com preços'!$A:$A,0),MATCH(G138,'Base com preços'!$C$1:$O$1,0)),IFERROR(INDEX('Boa forma'!$C:$O,MATCH(A138,'Boa forma'!$A:$A,0),MATCH(G138,'Boa forma'!$C$1:$O$1,0)),""))</f>
        <v>2793.1544718233699</v>
      </c>
      <c r="K138" s="2">
        <f t="shared" si="13"/>
        <v>-267.25552817662992</v>
      </c>
      <c r="L138" t="str">
        <f t="shared" si="14"/>
        <v>Sim</v>
      </c>
    </row>
    <row r="139" spans="1:12" x14ac:dyDescent="0.25">
      <c r="A139" t="str">
        <f>'Planilha CP Meli'!B141</f>
        <v>MLB4313703504</v>
      </c>
      <c r="B139" t="str">
        <f>'Planilha CP Meli'!C141</f>
        <v>PA66421</v>
      </c>
      <c r="C139">
        <f>'Planilha CP Meli'!E141</f>
        <v>146.97</v>
      </c>
      <c r="D139" t="str">
        <f>IFERROR(VLOOKUP(A139,'Base MLB'!A:B,2,0)," ")</f>
        <v>Premium</v>
      </c>
      <c r="E139" s="1">
        <f>IFERROR(VLOOKUP(A139,'Base MLB'!A:C,3,0)," ")</f>
        <v>0.16500000000000001</v>
      </c>
      <c r="F139" s="1">
        <f t="shared" si="10"/>
        <v>7.9994992488733097E-2</v>
      </c>
      <c r="G139" s="1">
        <f t="shared" si="11"/>
        <v>9.5000000000000001E-2</v>
      </c>
      <c r="H139" s="1">
        <f t="shared" si="12"/>
        <v>9.5000000000000001E-2</v>
      </c>
      <c r="I139" s="2">
        <f>'Planilha CP Meli'!G141</f>
        <v>1837.24</v>
      </c>
      <c r="J139" s="2">
        <f>IFERROR(INDEX('Base com preços'!$C:$O,MATCH(B139,'Base com preços'!$A:$A,0),MATCH(G139,'Base com preços'!$C$1:$O$1,0)),IFERROR(INDEX('Boa forma'!$C:$O,MATCH(A139,'Boa forma'!$A:$A,0),MATCH(G139,'Boa forma'!$C$1:$O$1,0)),""))</f>
        <v>1782.1183283432943</v>
      </c>
      <c r="K139" s="2">
        <f t="shared" si="13"/>
        <v>-55.121671656705757</v>
      </c>
      <c r="L139" t="str">
        <f t="shared" si="14"/>
        <v>Sim</v>
      </c>
    </row>
    <row r="140" spans="1:12" x14ac:dyDescent="0.25">
      <c r="A140" t="str">
        <f>'Planilha CP Meli'!B142</f>
        <v>MLB4321329538</v>
      </c>
      <c r="B140" t="str">
        <f>'Planilha CP Meli'!C142</f>
        <v>PA33101</v>
      </c>
      <c r="C140">
        <f>'Planilha CP Meli'!E142</f>
        <v>155.12</v>
      </c>
      <c r="D140" t="str">
        <f>IFERROR(VLOOKUP(A140,'Base MLB'!A:B,2,0)," ")</f>
        <v>Premium</v>
      </c>
      <c r="E140" s="1">
        <f>IFERROR(VLOOKUP(A140,'Base MLB'!A:C,3,0)," ")</f>
        <v>0.16500000000000001</v>
      </c>
      <c r="F140" s="1">
        <f t="shared" si="10"/>
        <v>5.157446412362976E-2</v>
      </c>
      <c r="G140" s="1">
        <f t="shared" si="11"/>
        <v>0.125</v>
      </c>
      <c r="H140" s="1">
        <f t="shared" si="12"/>
        <v>0.125</v>
      </c>
      <c r="I140" s="2">
        <f>'Planilha CP Meli'!G142</f>
        <v>3007.69</v>
      </c>
      <c r="J140" s="2">
        <f>IFERROR(INDEX('Base com preços'!$C:$O,MATCH(B140,'Base com preços'!$A:$A,0),MATCH(G140,'Base com preços'!$C$1:$O$1,0)),IFERROR(INDEX('Boa forma'!$C:$O,MATCH(A140,'Boa forma'!$A:$A,0),MATCH(G140,'Boa forma'!$C$1:$O$1,0)),""))</f>
        <v>2745.0374445639513</v>
      </c>
      <c r="K140" s="2">
        <f t="shared" si="13"/>
        <v>-262.65255543604871</v>
      </c>
      <c r="L140" t="str">
        <f t="shared" si="14"/>
        <v>Sim</v>
      </c>
    </row>
    <row r="141" spans="1:12" x14ac:dyDescent="0.25">
      <c r="A141" t="str">
        <f>'Planilha CP Meli'!B143</f>
        <v>MLB4321336468</v>
      </c>
      <c r="B141" t="str">
        <f>'Planilha CP Meli'!C143</f>
        <v>PA62653</v>
      </c>
      <c r="C141">
        <f>'Planilha CP Meli'!E143</f>
        <v>131.69</v>
      </c>
      <c r="D141" t="str">
        <f>IFERROR(VLOOKUP(A141,'Base MLB'!A:B,2,0)," ")</f>
        <v>Premium</v>
      </c>
      <c r="E141" s="1">
        <f>IFERROR(VLOOKUP(A141,'Base MLB'!A:C,3,0)," ")</f>
        <v>0.16500000000000001</v>
      </c>
      <c r="F141" s="1">
        <f t="shared" si="10"/>
        <v>7.999781310557233E-2</v>
      </c>
      <c r="G141" s="1">
        <f t="shared" si="11"/>
        <v>9.5000000000000001E-2</v>
      </c>
      <c r="H141" s="1">
        <f t="shared" si="12"/>
        <v>9.5000000000000001E-2</v>
      </c>
      <c r="I141" s="2">
        <f>'Planilha CP Meli'!G143</f>
        <v>1646.17</v>
      </c>
      <c r="J141" s="2">
        <f>IFERROR(INDEX('Base com preços'!$C:$O,MATCH(B141,'Base com preços'!$A:$A,0),MATCH(G141,'Base com preços'!$C$1:$O$1,0)),IFERROR(INDEX('Boa forma'!$C:$O,MATCH(A141,'Boa forma'!$A:$A,0),MATCH(G141,'Boa forma'!$C$1:$O$1,0)),""))</f>
        <v>1596.7894206358183</v>
      </c>
      <c r="K141" s="2">
        <f t="shared" si="13"/>
        <v>-49.380579364181813</v>
      </c>
      <c r="L141" t="str">
        <f t="shared" si="14"/>
        <v>Sim</v>
      </c>
    </row>
    <row r="142" spans="1:12" x14ac:dyDescent="0.25">
      <c r="A142" t="str">
        <f>'Planilha CP Meli'!B144</f>
        <v>MLB4334066948</v>
      </c>
      <c r="B142" t="str">
        <f>'Planilha CP Meli'!C144</f>
        <v>PA37611</v>
      </c>
      <c r="C142">
        <f>'Planilha CP Meli'!E144</f>
        <v>152.25</v>
      </c>
      <c r="D142" t="str">
        <f>IFERROR(VLOOKUP(A142,'Base MLB'!A:B,2,0)," ")</f>
        <v>Premium</v>
      </c>
      <c r="E142" s="1">
        <f>IFERROR(VLOOKUP(A142,'Base MLB'!A:C,3,0)," ")</f>
        <v>0.16500000000000001</v>
      </c>
      <c r="F142" s="1">
        <f t="shared" si="10"/>
        <v>7.9995586450402736E-2</v>
      </c>
      <c r="G142" s="1">
        <f t="shared" si="11"/>
        <v>9.5000000000000001E-2</v>
      </c>
      <c r="H142" s="1">
        <f t="shared" si="12"/>
        <v>9.5000000000000001E-2</v>
      </c>
      <c r="I142" s="2">
        <f>'Planilha CP Meli'!G144</f>
        <v>1903.23</v>
      </c>
      <c r="J142" s="2">
        <f>IFERROR(INDEX('Base com preços'!$C:$O,MATCH(B142,'Base com preços'!$A:$A,0),MATCH(G142,'Base com preços'!$C$1:$O$1,0)),IFERROR(INDEX('Boa forma'!$C:$O,MATCH(A142,'Boa forma'!$A:$A,0),MATCH(G142,'Boa forma'!$C$1:$O$1,0)),""))</f>
        <v>1846.1286652337519</v>
      </c>
      <c r="K142" s="2">
        <f t="shared" si="13"/>
        <v>-57.101334766248101</v>
      </c>
      <c r="L142" t="str">
        <f t="shared" si="14"/>
        <v>Sim</v>
      </c>
    </row>
    <row r="143" spans="1:12" x14ac:dyDescent="0.25">
      <c r="A143" t="str">
        <f>'Planilha CP Meli'!B145</f>
        <v>MLB4343815188</v>
      </c>
      <c r="B143" t="str">
        <f>'Planilha CP Meli'!C145</f>
        <v>PA85371</v>
      </c>
      <c r="C143">
        <f>'Planilha CP Meli'!E145</f>
        <v>188</v>
      </c>
      <c r="D143" t="str">
        <f>IFERROR(VLOOKUP(A143,'Base MLB'!A:B,2,0)," ")</f>
        <v>Clássico</v>
      </c>
      <c r="E143" s="1">
        <f>IFERROR(VLOOKUP(A143,'Base MLB'!A:C,3,0)," ")</f>
        <v>0.115</v>
      </c>
      <c r="F143" s="1">
        <f t="shared" si="10"/>
        <v>7.1187852625998707E-2</v>
      </c>
      <c r="G143" s="1">
        <f t="shared" si="11"/>
        <v>5.5E-2</v>
      </c>
      <c r="H143" s="1">
        <f t="shared" si="12"/>
        <v>5.5E-2</v>
      </c>
      <c r="I143" s="2">
        <f>'Planilha CP Meli'!G145</f>
        <v>2640.9</v>
      </c>
      <c r="J143" s="2">
        <f>IFERROR(INDEX('Base com preços'!$C:$O,MATCH(B143,'Base com preços'!$A:$A,0),MATCH(G143,'Base com preços'!$C$1:$O$1,0)),IFERROR(INDEX('Boa forma'!$C:$O,MATCH(A143,'Boa forma'!$A:$A,0),MATCH(G143,'Boa forma'!$C$1:$O$1,0)),""))</f>
        <v>2267.8380243153742</v>
      </c>
      <c r="K143" s="2">
        <f t="shared" si="13"/>
        <v>-373.06197568462585</v>
      </c>
      <c r="L143" t="str">
        <f t="shared" si="14"/>
        <v>Sim</v>
      </c>
    </row>
    <row r="144" spans="1:12" x14ac:dyDescent="0.25">
      <c r="A144" t="str">
        <f>'Planilha CP Meli'!B71</f>
        <v>MLB3641032759</v>
      </c>
      <c r="B144" t="str">
        <f>'Planilha CP Meli'!C71</f>
        <v>PA85360</v>
      </c>
      <c r="C144">
        <f>'Planilha CP Meli'!E71</f>
        <v>180.56</v>
      </c>
      <c r="D144" t="str">
        <f>IFERROR(VLOOKUP(A144,'Base MLB'!A:B,2,0)," ")</f>
        <v>Premium</v>
      </c>
      <c r="E144" s="1">
        <f>IFERROR(VLOOKUP(A144,'Base MLB'!A:C,3,0)," ")</f>
        <v>0.16500000000000001</v>
      </c>
      <c r="F144" s="1">
        <f t="shared" si="10"/>
        <v>0.08</v>
      </c>
      <c r="G144" s="1">
        <f t="shared" si="11"/>
        <v>9.5000000000000001E-2</v>
      </c>
      <c r="H144" s="1">
        <f t="shared" si="12"/>
        <v>9.5000000000000001E-2</v>
      </c>
      <c r="I144" s="2">
        <f>'Planilha CP Meli'!G71</f>
        <v>2257</v>
      </c>
      <c r="J144" s="2">
        <f>IFERROR(INDEX('Base com preços'!$C:$O,MATCH(B144,'Base com preços'!$A:$A,0),MATCH(G144,'Base com preços'!$C$1:$O$1,0)),IFERROR(INDEX('Boa forma'!$C:$O,MATCH(A144,'Boa forma'!$A:$A,0),MATCH(G144,'Boa forma'!$C$1:$O$1,0)),""))</f>
        <v>1961.1502928524594</v>
      </c>
      <c r="K144" s="2">
        <f t="shared" si="13"/>
        <v>-295.84970714754058</v>
      </c>
      <c r="L144" t="str">
        <f t="shared" si="14"/>
        <v>Sim</v>
      </c>
    </row>
    <row r="145" spans="1:12" x14ac:dyDescent="0.25">
      <c r="A145" t="str">
        <f>'Planilha CP Meli'!B147</f>
        <v>MLB4364482916</v>
      </c>
      <c r="B145" t="str">
        <f>'Planilha CP Meli'!C147</f>
        <v>PA52310</v>
      </c>
      <c r="C145">
        <f>'Planilha CP Meli'!E147</f>
        <v>127.79</v>
      </c>
      <c r="D145" t="str">
        <f>IFERROR(VLOOKUP(A145,'Base MLB'!A:B,2,0)," ")</f>
        <v>Premium</v>
      </c>
      <c r="E145" s="1">
        <f>IFERROR(VLOOKUP(A145,'Base MLB'!A:C,3,0)," ")</f>
        <v>0.16500000000000001</v>
      </c>
      <c r="F145" s="1">
        <f t="shared" si="10"/>
        <v>7.9996244013897155E-2</v>
      </c>
      <c r="G145" s="1">
        <f t="shared" si="11"/>
        <v>9.5000000000000001E-2</v>
      </c>
      <c r="H145" s="1">
        <f t="shared" si="12"/>
        <v>9.5000000000000001E-2</v>
      </c>
      <c r="I145" s="2">
        <f>'Planilha CP Meli'!G147</f>
        <v>1597.45</v>
      </c>
      <c r="J145" s="2">
        <f>IFERROR(INDEX('Base com preços'!$C:$O,MATCH(B145,'Base com preços'!$A:$A,0),MATCH(G145,'Base com preços'!$C$1:$O$1,0)),IFERROR(INDEX('Boa forma'!$C:$O,MATCH(A145,'Boa forma'!$A:$A,0),MATCH(G145,'Boa forma'!$C$1:$O$1,0)),""))</f>
        <v>1549.527595306329</v>
      </c>
      <c r="K145" s="2">
        <f t="shared" si="13"/>
        <v>-47.922404693671069</v>
      </c>
      <c r="L145" t="str">
        <f t="shared" si="14"/>
        <v>Sim</v>
      </c>
    </row>
    <row r="146" spans="1:12" x14ac:dyDescent="0.25">
      <c r="A146" t="str">
        <f>'Planilha CP Meli'!B148</f>
        <v>MLB4364512198</v>
      </c>
      <c r="B146" t="str">
        <f>'Planilha CP Meli'!C148</f>
        <v>PA66411</v>
      </c>
      <c r="C146">
        <f>'Planilha CP Meli'!E148</f>
        <v>169.18</v>
      </c>
      <c r="D146" t="str">
        <f>IFERROR(VLOOKUP(A146,'Base MLB'!A:B,2,0)," ")</f>
        <v>Premium</v>
      </c>
      <c r="E146" s="1">
        <f>IFERROR(VLOOKUP(A146,'Base MLB'!A:C,3,0)," ")</f>
        <v>0.16500000000000001</v>
      </c>
      <c r="F146" s="1">
        <f t="shared" si="10"/>
        <v>7.9996595487129049E-2</v>
      </c>
      <c r="G146" s="1">
        <f t="shared" si="11"/>
        <v>9.5000000000000001E-2</v>
      </c>
      <c r="H146" s="1">
        <f t="shared" si="12"/>
        <v>9.5000000000000001E-2</v>
      </c>
      <c r="I146" s="2">
        <f>'Planilha CP Meli'!G148</f>
        <v>2114.84</v>
      </c>
      <c r="J146" s="2">
        <f>IFERROR(INDEX('Base com preços'!$C:$O,MATCH(B146,'Base com preços'!$A:$A,0),MATCH(G146,'Base com preços'!$C$1:$O$1,0)),IFERROR(INDEX('Boa forma'!$C:$O,MATCH(A146,'Boa forma'!$A:$A,0),MATCH(G146,'Boa forma'!$C$1:$O$1,0)),""))</f>
        <v>2051.3995284264915</v>
      </c>
      <c r="K146" s="2">
        <f t="shared" si="13"/>
        <v>-63.440471573508603</v>
      </c>
      <c r="L146" t="str">
        <f t="shared" si="14"/>
        <v>Sim</v>
      </c>
    </row>
    <row r="147" spans="1:12" x14ac:dyDescent="0.25">
      <c r="A147" t="str">
        <f>'Planilha CP Meli'!B149</f>
        <v>MLB4364512888</v>
      </c>
      <c r="B147" t="str">
        <f>'Planilha CP Meli'!C149</f>
        <v>PA56218</v>
      </c>
      <c r="C147">
        <f>'Planilha CP Meli'!E149</f>
        <v>211.43</v>
      </c>
      <c r="D147" t="str">
        <f>IFERROR(VLOOKUP(A147,'Base MLB'!A:B,2,0)," ")</f>
        <v>Premium</v>
      </c>
      <c r="E147" s="1">
        <f>IFERROR(VLOOKUP(A147,'Base MLB'!A:C,3,0)," ")</f>
        <v>0.16500000000000001</v>
      </c>
      <c r="F147" s="1">
        <f t="shared" si="10"/>
        <v>5.4555400450521346E-2</v>
      </c>
      <c r="G147" s="1">
        <f t="shared" si="11"/>
        <v>0.125</v>
      </c>
      <c r="H147" s="1">
        <f t="shared" si="12"/>
        <v>0.125</v>
      </c>
      <c r="I147" s="2">
        <f>'Planilha CP Meli'!G149</f>
        <v>3875.51</v>
      </c>
      <c r="J147" s="2">
        <f>IFERROR(INDEX('Base com preços'!$C:$O,MATCH(B147,'Base com preços'!$A:$A,0),MATCH(G147,'Base com preços'!$C$1:$O$1,0)),IFERROR(INDEX('Boa forma'!$C:$O,MATCH(A147,'Boa forma'!$A:$A,0),MATCH(G147,'Boa forma'!$C$1:$O$1,0)),""))</f>
        <v>3537.0807817536929</v>
      </c>
      <c r="K147" s="2">
        <f t="shared" si="13"/>
        <v>-338.4292182463073</v>
      </c>
      <c r="L147" t="str">
        <f t="shared" si="14"/>
        <v>Sim</v>
      </c>
    </row>
    <row r="148" spans="1:12" x14ac:dyDescent="0.25">
      <c r="A148" t="str">
        <f>'Planilha CP Meli'!B93</f>
        <v>MLB4006746823</v>
      </c>
      <c r="B148" t="str">
        <f>'Planilha CP Meli'!C93</f>
        <v>PA94882</v>
      </c>
      <c r="C148">
        <f>'Planilha CP Meli'!E93</f>
        <v>281.52</v>
      </c>
      <c r="D148" t="str">
        <f>IFERROR(VLOOKUP(A148,'Base MLB'!A:B,2,0)," ")</f>
        <v>Premium</v>
      </c>
      <c r="E148" s="1">
        <f>IFERROR(VLOOKUP(A148,'Base MLB'!A:C,3,0)," ")</f>
        <v>0.16500000000000001</v>
      </c>
      <c r="F148" s="1">
        <f t="shared" si="10"/>
        <v>7.9998181342850971E-2</v>
      </c>
      <c r="G148" s="1">
        <f t="shared" si="11"/>
        <v>9.5000000000000001E-2</v>
      </c>
      <c r="H148" s="1">
        <f t="shared" si="12"/>
        <v>9.5000000000000001E-2</v>
      </c>
      <c r="I148" s="2">
        <f>'Planilha CP Meli'!G93</f>
        <v>3519.08</v>
      </c>
      <c r="J148" s="2">
        <f>IFERROR(INDEX('Base com preços'!$C:$O,MATCH(B148,'Base com preços'!$A:$A,0),MATCH(G148,'Base com preços'!$C$1:$O$1,0)),IFERROR(INDEX('Boa forma'!$C:$O,MATCH(A148,'Boa forma'!$A:$A,0),MATCH(G148,'Boa forma'!$C$1:$O$1,0)),""))</f>
        <v>3413.5061852276713</v>
      </c>
      <c r="K148" s="2">
        <f t="shared" si="13"/>
        <v>-105.57381477232866</v>
      </c>
      <c r="L148" t="str">
        <f t="shared" si="14"/>
        <v>Sim</v>
      </c>
    </row>
    <row r="149" spans="1:12" x14ac:dyDescent="0.25">
      <c r="A149" t="str">
        <f>'Planilha CP Meli'!B230</f>
        <v>MLB5442657290</v>
      </c>
      <c r="B149" t="str">
        <f>'Planilha CP Meli'!C230</f>
        <v>PA67196</v>
      </c>
      <c r="C149">
        <f>'Planilha CP Meli'!E230</f>
        <v>199.15</v>
      </c>
      <c r="D149" t="str">
        <f>IFERROR(VLOOKUP(A149,'Base MLB'!A:B,2,0)," ")</f>
        <v>Clássico</v>
      </c>
      <c r="E149" s="1">
        <f>IFERROR(VLOOKUP(A149,'Base MLB'!A:C,3,0)," ")</f>
        <v>0.115</v>
      </c>
      <c r="F149" s="1">
        <f t="shared" si="10"/>
        <v>7.9996304463966522E-2</v>
      </c>
      <c r="G149" s="1">
        <f t="shared" si="11"/>
        <v>4.4999999999999998E-2</v>
      </c>
      <c r="H149" s="1">
        <f t="shared" si="12"/>
        <v>4.4999999999999998E-2</v>
      </c>
      <c r="I149" s="2">
        <f>'Planilha CP Meli'!G230</f>
        <v>2489.4899999999998</v>
      </c>
      <c r="J149" s="2">
        <f>IFERROR(INDEX('Base com preços'!$C:$O,MATCH(B149,'Base com preços'!$A:$A,0),MATCH(G149,'Base com preços'!$C$1:$O$1,0)),IFERROR(INDEX('Boa forma'!$C:$O,MATCH(A149,'Boa forma'!$A:$A,0),MATCH(G149,'Boa forma'!$C$1:$O$1,0)),""))</f>
        <v>2073.6720103564016</v>
      </c>
      <c r="K149" s="2">
        <f t="shared" si="13"/>
        <v>-415.81798964359814</v>
      </c>
      <c r="L149" t="str">
        <f t="shared" si="14"/>
        <v>Sim</v>
      </c>
    </row>
    <row r="150" spans="1:12" x14ac:dyDescent="0.25">
      <c r="A150" t="str">
        <f>'Planilha CP Meli'!B152</f>
        <v>MLB4376507630</v>
      </c>
      <c r="B150" t="str">
        <f>'Planilha CP Meli'!C152</f>
        <v>PA56268</v>
      </c>
      <c r="C150">
        <f>'Planilha CP Meli'!E152</f>
        <v>105.04</v>
      </c>
      <c r="D150" t="str">
        <f>IFERROR(VLOOKUP(A150,'Base MLB'!A:B,2,0)," ")</f>
        <v>Clássico</v>
      </c>
      <c r="E150" s="1">
        <f>IFERROR(VLOOKUP(A150,'Base MLB'!A:C,3,0)," ")</f>
        <v>0.115</v>
      </c>
      <c r="F150" s="1">
        <f t="shared" si="10"/>
        <v>0.08</v>
      </c>
      <c r="G150" s="1">
        <f t="shared" si="11"/>
        <v>4.4999999999999998E-2</v>
      </c>
      <c r="H150" s="1">
        <f t="shared" si="12"/>
        <v>4.4999999999999998E-2</v>
      </c>
      <c r="I150" s="2">
        <f>'Planilha CP Meli'!G152</f>
        <v>1313</v>
      </c>
      <c r="J150" s="2">
        <f>IFERROR(INDEX('Base com preços'!$C:$O,MATCH(B150,'Base com preços'!$A:$A,0),MATCH(G150,'Base com preços'!$C$1:$O$1,0)),IFERROR(INDEX('Boa forma'!$C:$O,MATCH(A150,'Boa forma'!$A:$A,0),MATCH(G150,'Boa forma'!$C$1:$O$1,0)),""))</f>
        <v>1505.0236841454966</v>
      </c>
      <c r="K150" s="2">
        <f t="shared" si="13"/>
        <v>192.02368414549665</v>
      </c>
      <c r="L150" t="str">
        <f t="shared" si="14"/>
        <v>Não</v>
      </c>
    </row>
    <row r="151" spans="1:12" x14ac:dyDescent="0.25">
      <c r="A151" t="str">
        <f>'Planilha CP Meli'!B153</f>
        <v>MLB4389552566</v>
      </c>
      <c r="B151" t="str">
        <f>'Planilha CP Meli'!C153</f>
        <v>PA56267</v>
      </c>
      <c r="C151">
        <f>'Planilha CP Meli'!E153</f>
        <v>84.24</v>
      </c>
      <c r="D151" t="str">
        <f>IFERROR(VLOOKUP(A151,'Base MLB'!A:B,2,0)," ")</f>
        <v>Clássico</v>
      </c>
      <c r="E151" s="1">
        <f>IFERROR(VLOOKUP(A151,'Base MLB'!A:C,3,0)," ")</f>
        <v>0.115</v>
      </c>
      <c r="F151" s="1">
        <f t="shared" si="10"/>
        <v>6.97097083843633E-2</v>
      </c>
      <c r="G151" s="1">
        <f t="shared" si="11"/>
        <v>5.5E-2</v>
      </c>
      <c r="H151" s="1">
        <f t="shared" si="12"/>
        <v>5.5E-2</v>
      </c>
      <c r="I151" s="2">
        <f>'Planilha CP Meli'!G153</f>
        <v>1208.44</v>
      </c>
      <c r="J151" s="2">
        <f>IFERROR(INDEX('Base com preços'!$C:$O,MATCH(B151,'Base com preços'!$A:$A,0),MATCH(G151,'Base com preços'!$C$1:$O$1,0)),IFERROR(INDEX('Boa forma'!$C:$O,MATCH(A151,'Boa forma'!$A:$A,0),MATCH(G151,'Boa forma'!$C$1:$O$1,0)),""))</f>
        <v>1037.7257322561902</v>
      </c>
      <c r="K151" s="2">
        <f t="shared" si="13"/>
        <v>-170.71426774380984</v>
      </c>
      <c r="L151" t="str">
        <f t="shared" si="14"/>
        <v>Sim</v>
      </c>
    </row>
    <row r="152" spans="1:12" x14ac:dyDescent="0.25">
      <c r="A152" t="str">
        <f>'Planilha CP Meli'!B154</f>
        <v>MLB4389647198</v>
      </c>
      <c r="B152" t="str">
        <f>'Planilha CP Meli'!C154</f>
        <v>PA69847</v>
      </c>
      <c r="C152">
        <f>'Planilha CP Meli'!E154</f>
        <v>106.8</v>
      </c>
      <c r="D152" t="str">
        <f>IFERROR(VLOOKUP(A152,'Base MLB'!A:B,2,0)," ")</f>
        <v>Clássico</v>
      </c>
      <c r="E152" s="1">
        <f>IFERROR(VLOOKUP(A152,'Base MLB'!A:C,3,0)," ")</f>
        <v>0.115</v>
      </c>
      <c r="F152" s="1">
        <f t="shared" si="10"/>
        <v>7.474594776182078E-2</v>
      </c>
      <c r="G152" s="1">
        <f t="shared" si="11"/>
        <v>5.5E-2</v>
      </c>
      <c r="H152" s="1">
        <f t="shared" si="12"/>
        <v>5.5E-2</v>
      </c>
      <c r="I152" s="2">
        <f>'Planilha CP Meli'!G154</f>
        <v>1428.84</v>
      </c>
      <c r="J152" s="2">
        <f>IFERROR(INDEX('Base com preços'!$C:$O,MATCH(B152,'Base com preços'!$A:$A,0),MATCH(G152,'Base com preços'!$C$1:$O$1,0)),IFERROR(INDEX('Boa forma'!$C:$O,MATCH(A152,'Boa forma'!$A:$A,0),MATCH(G152,'Boa forma'!$C$1:$O$1,0)),""))</f>
        <v>1226.998862588486</v>
      </c>
      <c r="K152" s="2">
        <f t="shared" si="13"/>
        <v>-201.84113741151396</v>
      </c>
      <c r="L152" t="str">
        <f t="shared" si="14"/>
        <v>Sim</v>
      </c>
    </row>
    <row r="153" spans="1:12" x14ac:dyDescent="0.25">
      <c r="A153" t="str">
        <f>'Planilha CP Meli'!B155</f>
        <v>MLB4424908820</v>
      </c>
      <c r="B153" t="str">
        <f>'Planilha CP Meli'!C155</f>
        <v>PA85914</v>
      </c>
      <c r="C153">
        <f>'Planilha CP Meli'!E155</f>
        <v>204.69</v>
      </c>
      <c r="D153" t="str">
        <f>IFERROR(VLOOKUP(A153,'Base MLB'!A:B,2,0)," ")</f>
        <v>Premium</v>
      </c>
      <c r="E153" s="1">
        <f>IFERROR(VLOOKUP(A153,'Base MLB'!A:C,3,0)," ")</f>
        <v>0.16500000000000001</v>
      </c>
      <c r="F153" s="1">
        <f t="shared" si="10"/>
        <v>7.8395250861738791E-2</v>
      </c>
      <c r="G153" s="1">
        <f t="shared" si="11"/>
        <v>9.5000000000000001E-2</v>
      </c>
      <c r="H153" s="1">
        <f t="shared" si="12"/>
        <v>9.5000000000000001E-2</v>
      </c>
      <c r="I153" s="2">
        <f>'Planilha CP Meli'!G155</f>
        <v>2611</v>
      </c>
      <c r="J153" s="2">
        <f>IFERROR(INDEX('Base com preços'!$C:$O,MATCH(B153,'Base com preços'!$A:$A,0),MATCH(G153,'Base com preços'!$C$1:$O$1,0)),IFERROR(INDEX('Boa forma'!$C:$O,MATCH(A153,'Boa forma'!$A:$A,0),MATCH(G153,'Boa forma'!$C$1:$O$1,0)),""))</f>
        <v>2377.3184659523372</v>
      </c>
      <c r="K153" s="2">
        <f t="shared" si="13"/>
        <v>-233.68153404766281</v>
      </c>
      <c r="L153" t="str">
        <f t="shared" si="14"/>
        <v>Sim</v>
      </c>
    </row>
    <row r="154" spans="1:12" x14ac:dyDescent="0.25">
      <c r="A154" t="str">
        <f>'Planilha CP Meli'!B110</f>
        <v>MLB4130346898</v>
      </c>
      <c r="B154" t="str">
        <f>'Planilha CP Meli'!C110</f>
        <v>PA66715</v>
      </c>
      <c r="C154">
        <f>'Planilha CP Meli'!E110</f>
        <v>117.07</v>
      </c>
      <c r="D154" t="str">
        <f>IFERROR(VLOOKUP(A154,'Base MLB'!A:B,2,0)," ")</f>
        <v>Clássico</v>
      </c>
      <c r="E154" s="1">
        <f>IFERROR(VLOOKUP(A154,'Base MLB'!A:C,3,0)," ")</f>
        <v>0.115</v>
      </c>
      <c r="F154" s="1">
        <f t="shared" si="10"/>
        <v>5.0499734711396189E-2</v>
      </c>
      <c r="G154" s="1">
        <f t="shared" si="11"/>
        <v>7.4999999999999997E-2</v>
      </c>
      <c r="H154" s="1">
        <f t="shared" si="12"/>
        <v>7.4999999999999997E-2</v>
      </c>
      <c r="I154" s="2">
        <f>'Planilha CP Meli'!G110</f>
        <v>2318.23</v>
      </c>
      <c r="J154" s="2">
        <f>IFERROR(INDEX('Base com preços'!$C:$O,MATCH(B154,'Base com preços'!$A:$A,0),MATCH(G154,'Base com preços'!$C$1:$O$1,0)),IFERROR(INDEX('Boa forma'!$C:$O,MATCH(A154,'Boa forma'!$A:$A,0),MATCH(G154,'Boa forma'!$C$1:$O$1,0)),""))</f>
        <v>2115.792278080477</v>
      </c>
      <c r="K154" s="2">
        <f t="shared" si="13"/>
        <v>-202.43772191952303</v>
      </c>
      <c r="L154" t="str">
        <f t="shared" si="14"/>
        <v>Sim</v>
      </c>
    </row>
    <row r="155" spans="1:12" x14ac:dyDescent="0.25">
      <c r="A155" t="str">
        <f>'Planilha CP Meli'!B157</f>
        <v>MLB4466308452</v>
      </c>
      <c r="B155" t="str">
        <f>'Planilha CP Meli'!C157</f>
        <v>PA66796</v>
      </c>
      <c r="C155">
        <f>'Planilha CP Meli'!E157</f>
        <v>148.36000000000001</v>
      </c>
      <c r="D155" t="str">
        <f>IFERROR(VLOOKUP(A155,'Base MLB'!A:B,2,0)," ")</f>
        <v>Premium</v>
      </c>
      <c r="E155" s="1">
        <f>IFERROR(VLOOKUP(A155,'Base MLB'!A:C,3,0)," ")</f>
        <v>0.16500000000000001</v>
      </c>
      <c r="F155" s="1">
        <f t="shared" si="10"/>
        <v>7.9996549083889618E-2</v>
      </c>
      <c r="G155" s="1">
        <f t="shared" si="11"/>
        <v>9.5000000000000001E-2</v>
      </c>
      <c r="H155" s="1">
        <f t="shared" si="12"/>
        <v>9.5000000000000001E-2</v>
      </c>
      <c r="I155" s="2">
        <f>'Planilha CP Meli'!G157</f>
        <v>1854.58</v>
      </c>
      <c r="J155" s="2">
        <f>IFERROR(INDEX('Base com preços'!$C:$O,MATCH(B155,'Base com preços'!$A:$A,0),MATCH(G155,'Base com preços'!$C$1:$O$1,0)),IFERROR(INDEX('Boa forma'!$C:$O,MATCH(A155,'Boa forma'!$A:$A,0),MATCH(G155,'Boa forma'!$C$1:$O$1,0)),""))</f>
        <v>1798.9379779458486</v>
      </c>
      <c r="K155" s="2">
        <f t="shared" si="13"/>
        <v>-55.642022054151312</v>
      </c>
      <c r="L155" t="str">
        <f t="shared" si="14"/>
        <v>Sim</v>
      </c>
    </row>
    <row r="156" spans="1:12" x14ac:dyDescent="0.25">
      <c r="A156" t="str">
        <f>'Planilha CP Meli'!B151</f>
        <v>MLB4374089388</v>
      </c>
      <c r="B156" t="str">
        <f>'Planilha CP Meli'!C151</f>
        <v>PA09767</v>
      </c>
      <c r="C156">
        <f>'Planilha CP Meli'!E151</f>
        <v>47.07</v>
      </c>
      <c r="D156" t="str">
        <f>IFERROR(VLOOKUP(A156,'Base MLB'!A:B,2,0)," ")</f>
        <v>Premium</v>
      </c>
      <c r="E156" s="1">
        <f>IFERROR(VLOOKUP(A156,'Base MLB'!A:C,3,0)," ")</f>
        <v>0.16500000000000001</v>
      </c>
      <c r="F156" s="1">
        <f t="shared" si="10"/>
        <v>6.9989442850133088E-2</v>
      </c>
      <c r="G156" s="1">
        <f t="shared" si="11"/>
        <v>0.105</v>
      </c>
      <c r="H156" s="1">
        <f t="shared" si="12"/>
        <v>0.105</v>
      </c>
      <c r="I156" s="2">
        <f>'Planilha CP Meli'!G151</f>
        <v>672.53</v>
      </c>
      <c r="J156" s="2">
        <f>IFERROR(INDEX('Base com preços'!$C:$O,MATCH(B156,'Base com preços'!$A:$A,0),MATCH(G156,'Base com preços'!$C$1:$O$1,0)),IFERROR(INDEX('Boa forma'!$C:$O,MATCH(A156,'Boa forma'!$A:$A,0),MATCH(G156,'Boa forma'!$C$1:$O$1,0)),""))</f>
        <v>672.53309380144833</v>
      </c>
      <c r="K156" s="2">
        <f t="shared" si="13"/>
        <v>3.0938014483581355E-3</v>
      </c>
      <c r="L156" t="str">
        <f t="shared" si="14"/>
        <v>Sim</v>
      </c>
    </row>
    <row r="157" spans="1:12" x14ac:dyDescent="0.25">
      <c r="A157" t="str">
        <f>'Planilha CP Meli'!B159</f>
        <v>MLB4501463346</v>
      </c>
      <c r="B157" t="str">
        <f>'Planilha CP Meli'!C159</f>
        <v>PA37611</v>
      </c>
      <c r="C157">
        <f>'Planilha CP Meli'!E159</f>
        <v>113.76</v>
      </c>
      <c r="D157" t="str">
        <f>IFERROR(VLOOKUP(A157,'Base MLB'!A:B,2,0)," ")</f>
        <v>Clássico</v>
      </c>
      <c r="E157" s="1">
        <f>IFERROR(VLOOKUP(A157,'Base MLB'!A:C,3,0)," ")</f>
        <v>0.115</v>
      </c>
      <c r="F157" s="1">
        <f t="shared" si="10"/>
        <v>5.9772385746261598E-2</v>
      </c>
      <c r="G157" s="1">
        <f t="shared" si="11"/>
        <v>6.5000000000000002E-2</v>
      </c>
      <c r="H157" s="1">
        <f t="shared" si="12"/>
        <v>6.5000000000000002E-2</v>
      </c>
      <c r="I157" s="2">
        <f>'Planilha CP Meli'!G159</f>
        <v>1903.22</v>
      </c>
      <c r="J157" s="2">
        <f>IFERROR(INDEX('Base com preços'!$C:$O,MATCH(B157,'Base com preços'!$A:$A,0),MATCH(G157,'Base com preços'!$C$1:$O$1,0)),IFERROR(INDEX('Boa forma'!$C:$O,MATCH(A157,'Boa forma'!$A:$A,0),MATCH(G157,'Boa forma'!$C$1:$O$1,0)),""))</f>
        <v>1684.911787284884</v>
      </c>
      <c r="K157" s="2">
        <f t="shared" si="13"/>
        <v>-218.30821271511604</v>
      </c>
      <c r="L157" t="str">
        <f t="shared" si="14"/>
        <v>Sim</v>
      </c>
    </row>
    <row r="158" spans="1:12" x14ac:dyDescent="0.25">
      <c r="A158" t="str">
        <f>'Planilha CP Meli'!B220</f>
        <v>MLB5382847382</v>
      </c>
      <c r="B158" t="str">
        <f>'Planilha CP Meli'!C220</f>
        <v>PA33099</v>
      </c>
      <c r="C158">
        <f>'Planilha CP Meli'!E220</f>
        <v>154.87</v>
      </c>
      <c r="D158" t="str">
        <f>IFERROR(VLOOKUP(A158,'Base MLB'!A:B,2,0)," ")</f>
        <v>Premium</v>
      </c>
      <c r="E158" s="1">
        <f>IFERROR(VLOOKUP(A158,'Base MLB'!A:C,3,0)," ")</f>
        <v>0.16500000000000001</v>
      </c>
      <c r="F158" s="1">
        <f t="shared" si="10"/>
        <v>7.5283400416107649E-2</v>
      </c>
      <c r="G158" s="1">
        <f t="shared" si="11"/>
        <v>9.5000000000000001E-2</v>
      </c>
      <c r="H158" s="1">
        <f t="shared" si="12"/>
        <v>9.5000000000000001E-2</v>
      </c>
      <c r="I158" s="2">
        <f>'Planilha CP Meli'!G220</f>
        <v>2057.16</v>
      </c>
      <c r="J158" s="2">
        <f>IFERROR(INDEX('Base com preços'!$C:$O,MATCH(B158,'Base com preços'!$A:$A,0),MATCH(G158,'Base com preços'!$C$1:$O$1,0)),IFERROR(INDEX('Boa forma'!$C:$O,MATCH(A158,'Boa forma'!$A:$A,0),MATCH(G158,'Boa forma'!$C$1:$O$1,0)),""))</f>
        <v>1995.4429172900627</v>
      </c>
      <c r="K158" s="2">
        <f t="shared" si="13"/>
        <v>-61.717082709937131</v>
      </c>
      <c r="L158" t="str">
        <f t="shared" si="14"/>
        <v>Sim</v>
      </c>
    </row>
    <row r="159" spans="1:12" x14ac:dyDescent="0.25">
      <c r="A159" t="str">
        <f>'Planilha CP Meli'!B161</f>
        <v>MLB4501465748</v>
      </c>
      <c r="B159" t="str">
        <f>'Planilha CP Meli'!C161</f>
        <v>PA69845</v>
      </c>
      <c r="C159">
        <f>'Planilha CP Meli'!E161</f>
        <v>77.900000000000006</v>
      </c>
      <c r="D159" t="str">
        <f>IFERROR(VLOOKUP(A159,'Base MLB'!A:B,2,0)," ")</f>
        <v>Clássico</v>
      </c>
      <c r="E159" s="1">
        <f>IFERROR(VLOOKUP(A159,'Base MLB'!A:C,3,0)," ")</f>
        <v>0.115</v>
      </c>
      <c r="F159" s="1">
        <f t="shared" si="10"/>
        <v>7.8304048892284192E-2</v>
      </c>
      <c r="G159" s="1">
        <f t="shared" si="11"/>
        <v>4.4999999999999998E-2</v>
      </c>
      <c r="H159" s="1">
        <f t="shared" si="12"/>
        <v>4.4999999999999998E-2</v>
      </c>
      <c r="I159" s="2">
        <f>'Planilha CP Meli'!G161</f>
        <v>994.84</v>
      </c>
      <c r="J159" s="2">
        <f>IFERROR(INDEX('Base com preços'!$C:$O,MATCH(B159,'Base com preços'!$A:$A,0),MATCH(G159,'Base com preços'!$C$1:$O$1,0)),IFERROR(INDEX('Boa forma'!$C:$O,MATCH(A159,'Boa forma'!$A:$A,0),MATCH(G159,'Boa forma'!$C$1:$O$1,0)),""))</f>
        <v>828.68097111997463</v>
      </c>
      <c r="K159" s="2">
        <f t="shared" si="13"/>
        <v>-166.1590288800254</v>
      </c>
      <c r="L159" t="str">
        <f t="shared" si="14"/>
        <v>Sim</v>
      </c>
    </row>
    <row r="160" spans="1:12" x14ac:dyDescent="0.25">
      <c r="A160" t="str">
        <f>'Planilha CP Meli'!B162</f>
        <v>MLB4501465808</v>
      </c>
      <c r="B160" t="str">
        <f>'Planilha CP Meli'!C162</f>
        <v>PA66421</v>
      </c>
      <c r="C160">
        <f>'Planilha CP Meli'!E162</f>
        <v>114.36</v>
      </c>
      <c r="D160" t="str">
        <f>IFERROR(VLOOKUP(A160,'Base MLB'!A:B,2,0)," ")</f>
        <v>Clássico</v>
      </c>
      <c r="E160" s="1">
        <f>IFERROR(VLOOKUP(A160,'Base MLB'!A:C,3,0)," ")</f>
        <v>0.115</v>
      </c>
      <c r="F160" s="1">
        <f t="shared" si="10"/>
        <v>6.2245881027416274E-2</v>
      </c>
      <c r="G160" s="1">
        <f t="shared" si="11"/>
        <v>6.5000000000000002E-2</v>
      </c>
      <c r="H160" s="1">
        <f t="shared" si="12"/>
        <v>6.5000000000000002E-2</v>
      </c>
      <c r="I160" s="2">
        <f>'Planilha CP Meli'!G162</f>
        <v>1837.23</v>
      </c>
      <c r="J160" s="2">
        <f>IFERROR(INDEX('Base com preços'!$C:$O,MATCH(B160,'Base com preços'!$A:$A,0),MATCH(G160,'Base com preços'!$C$1:$O$1,0)),IFERROR(INDEX('Boa forma'!$C:$O,MATCH(A160,'Boa forma'!$A:$A,0),MATCH(G160,'Boa forma'!$C$1:$O$1,0)),""))</f>
        <v>1626.4912810840592</v>
      </c>
      <c r="K160" s="2">
        <f t="shared" si="13"/>
        <v>-210.73871891594081</v>
      </c>
      <c r="L160" t="str">
        <f t="shared" si="14"/>
        <v>Sim</v>
      </c>
    </row>
    <row r="161" spans="1:12" x14ac:dyDescent="0.25">
      <c r="A161" t="str">
        <f>'Planilha CP Meli'!B163</f>
        <v>MLB4501476014</v>
      </c>
      <c r="B161" t="str">
        <f>'Planilha CP Meli'!C163</f>
        <v>PA69948</v>
      </c>
      <c r="C161">
        <f>'Planilha CP Meli'!E163</f>
        <v>118.66</v>
      </c>
      <c r="D161" t="str">
        <f>IFERROR(VLOOKUP(A161,'Base MLB'!A:B,2,0)," ")</f>
        <v>Premium</v>
      </c>
      <c r="E161" s="1">
        <f>IFERROR(VLOOKUP(A161,'Base MLB'!A:C,3,0)," ")</f>
        <v>0.16500000000000001</v>
      </c>
      <c r="F161" s="1">
        <f t="shared" si="10"/>
        <v>7.9993528249863485E-2</v>
      </c>
      <c r="G161" s="1">
        <f t="shared" si="11"/>
        <v>9.5000000000000001E-2</v>
      </c>
      <c r="H161" s="1">
        <f t="shared" si="12"/>
        <v>9.5000000000000001E-2</v>
      </c>
      <c r="I161" s="2">
        <f>'Planilha CP Meli'!G163</f>
        <v>1483.37</v>
      </c>
      <c r="J161" s="2">
        <f>IFERROR(INDEX('Base com preços'!$C:$O,MATCH(B161,'Base com preços'!$A:$A,0),MATCH(G161,'Base com preços'!$C$1:$O$1,0)),IFERROR(INDEX('Boa forma'!$C:$O,MATCH(A161,'Boa forma'!$A:$A,0),MATCH(G161,'Boa forma'!$C$1:$O$1,0)),""))</f>
        <v>1438.8654213510156</v>
      </c>
      <c r="K161" s="2">
        <f t="shared" si="13"/>
        <v>-44.504578648984307</v>
      </c>
      <c r="L161" t="str">
        <f t="shared" si="14"/>
        <v>Sim</v>
      </c>
    </row>
    <row r="162" spans="1:12" x14ac:dyDescent="0.25">
      <c r="A162" t="str">
        <f>'Planilha CP Meli'!B164</f>
        <v>MLB4501481134</v>
      </c>
      <c r="B162" t="str">
        <f>'Planilha CP Meli'!C164</f>
        <v>PA56215</v>
      </c>
      <c r="C162">
        <f>'Planilha CP Meli'!E164</f>
        <v>131.84</v>
      </c>
      <c r="D162" t="str">
        <f>IFERROR(VLOOKUP(A162,'Base MLB'!A:B,2,0)," ")</f>
        <v>Clássico</v>
      </c>
      <c r="E162" s="1">
        <f>IFERROR(VLOOKUP(A162,'Base MLB'!A:C,3,0)," ")</f>
        <v>0.115</v>
      </c>
      <c r="F162" s="1">
        <f t="shared" si="10"/>
        <v>0.08</v>
      </c>
      <c r="G162" s="1">
        <f t="shared" si="11"/>
        <v>4.4999999999999998E-2</v>
      </c>
      <c r="H162" s="1">
        <f t="shared" si="12"/>
        <v>4.4999999999999998E-2</v>
      </c>
      <c r="I162" s="2">
        <f>'Planilha CP Meli'!G164</f>
        <v>1648</v>
      </c>
      <c r="J162" s="2">
        <f>IFERROR(INDEX('Base com preços'!$C:$O,MATCH(B162,'Base com preços'!$A:$A,0),MATCH(G162,'Base com preços'!$C$1:$O$1,0)),IFERROR(INDEX('Boa forma'!$C:$O,MATCH(A162,'Boa forma'!$A:$A,0),MATCH(G162,'Boa forma'!$C$1:$O$1,0)),""))</f>
        <v>1887.7971329141672</v>
      </c>
      <c r="K162" s="2">
        <f t="shared" si="13"/>
        <v>239.79713291416715</v>
      </c>
      <c r="L162" t="str">
        <f t="shared" si="14"/>
        <v>Não</v>
      </c>
    </row>
    <row r="163" spans="1:12" x14ac:dyDescent="0.25">
      <c r="A163" t="str">
        <f>'Planilha CP Meli'!B165</f>
        <v>MLB4501482226</v>
      </c>
      <c r="B163" t="str">
        <f>'Planilha CP Meli'!C165</f>
        <v>PA58274</v>
      </c>
      <c r="C163">
        <f>'Planilha CP Meli'!E165</f>
        <v>187.44</v>
      </c>
      <c r="D163" t="str">
        <f>IFERROR(VLOOKUP(A163,'Base MLB'!A:B,2,0)," ")</f>
        <v>Clássico</v>
      </c>
      <c r="E163" s="1">
        <f>IFERROR(VLOOKUP(A163,'Base MLB'!A:C,3,0)," ")</f>
        <v>0.115</v>
      </c>
      <c r="F163" s="1">
        <f t="shared" si="10"/>
        <v>0.08</v>
      </c>
      <c r="G163" s="1">
        <f t="shared" si="11"/>
        <v>4.4999999999999998E-2</v>
      </c>
      <c r="H163" s="1">
        <f t="shared" si="12"/>
        <v>4.4999999999999998E-2</v>
      </c>
      <c r="I163" s="2">
        <f>'Planilha CP Meli'!G165</f>
        <v>2343</v>
      </c>
      <c r="J163" s="2">
        <f>IFERROR(INDEX('Base com preços'!$C:$O,MATCH(B163,'Base com preços'!$A:$A,0),MATCH(G163,'Base com preços'!$C$1:$O$1,0)),IFERROR(INDEX('Boa forma'!$C:$O,MATCH(A163,'Boa forma'!$A:$A,0),MATCH(G163,'Boa forma'!$C$1:$O$1,0)),""))</f>
        <v>2018.374487975696</v>
      </c>
      <c r="K163" s="2">
        <f t="shared" si="13"/>
        <v>-324.62551202430404</v>
      </c>
      <c r="L163" t="str">
        <f t="shared" si="14"/>
        <v>Sim</v>
      </c>
    </row>
    <row r="164" spans="1:12" x14ac:dyDescent="0.25">
      <c r="A164" t="str">
        <f>'Planilha CP Meli'!B160</f>
        <v>MLB4501463704</v>
      </c>
      <c r="B164" t="str">
        <f>'Planilha CP Meli'!C160</f>
        <v>PA56269</v>
      </c>
      <c r="C164">
        <f>'Planilha CP Meli'!E160</f>
        <v>144</v>
      </c>
      <c r="D164" t="str">
        <f>IFERROR(VLOOKUP(A164,'Base MLB'!A:B,2,0)," ")</f>
        <v>Clássico</v>
      </c>
      <c r="E164" s="1">
        <f>IFERROR(VLOOKUP(A164,'Base MLB'!A:C,3,0)," ")</f>
        <v>0.115</v>
      </c>
      <c r="F164" s="1">
        <f t="shared" si="10"/>
        <v>0.08</v>
      </c>
      <c r="G164" s="1">
        <f t="shared" si="11"/>
        <v>4.4999999999999998E-2</v>
      </c>
      <c r="H164" s="1">
        <f t="shared" si="12"/>
        <v>4.4999999999999998E-2</v>
      </c>
      <c r="I164" s="2">
        <f>'Planilha CP Meli'!G160</f>
        <v>1800</v>
      </c>
      <c r="J164" s="2">
        <f>IFERROR(INDEX('Base com preços'!$C:$O,MATCH(B164,'Base com preços'!$A:$A,0),MATCH(G164,'Base com preços'!$C$1:$O$1,0)),IFERROR(INDEX('Boa forma'!$C:$O,MATCH(A164,'Boa forma'!$A:$A,0),MATCH(G164,'Boa forma'!$C$1:$O$1,0)),""))</f>
        <v>1800.0253720797766</v>
      </c>
      <c r="K164" s="2">
        <f t="shared" si="13"/>
        <v>2.5372079776616374E-2</v>
      </c>
      <c r="L164" t="str">
        <f t="shared" si="14"/>
        <v>Sim</v>
      </c>
    </row>
    <row r="165" spans="1:12" x14ac:dyDescent="0.25">
      <c r="A165" t="str">
        <f>'Planilha CP Meli'!B97</f>
        <v>MLB4062968450</v>
      </c>
      <c r="B165" t="str">
        <f>'Planilha CP Meli'!C97</f>
        <v>PA85352</v>
      </c>
      <c r="C165">
        <f>'Planilha CP Meli'!E97</f>
        <v>186</v>
      </c>
      <c r="D165" t="str">
        <f>IFERROR(VLOOKUP(A165,'Base MLB'!A:B,2,0)," ")</f>
        <v>Premium</v>
      </c>
      <c r="E165" s="1">
        <f>IFERROR(VLOOKUP(A165,'Base MLB'!A:C,3,0)," ")</f>
        <v>0.16500000000000001</v>
      </c>
      <c r="F165" s="1">
        <f t="shared" si="10"/>
        <v>0.08</v>
      </c>
      <c r="G165" s="1">
        <f t="shared" si="11"/>
        <v>9.5000000000000001E-2</v>
      </c>
      <c r="H165" s="1">
        <f t="shared" si="12"/>
        <v>9.5000000000000001E-2</v>
      </c>
      <c r="I165" s="2">
        <f>'Planilha CP Meli'!G97</f>
        <v>2325</v>
      </c>
      <c r="J165" s="2">
        <f>IFERROR(INDEX('Base com preços'!$C:$O,MATCH(B165,'Base com preços'!$A:$A,0),MATCH(G165,'Base com preços'!$C$1:$O$1,0)),IFERROR(INDEX('Boa forma'!$C:$O,MATCH(A165,'Boa forma'!$A:$A,0),MATCH(G165,'Boa forma'!$C$1:$O$1,0)),""))</f>
        <v>2622.3501794804479</v>
      </c>
      <c r="K165" s="2">
        <f t="shared" si="13"/>
        <v>297.35017948044788</v>
      </c>
      <c r="L165" t="str">
        <f t="shared" si="14"/>
        <v>Não</v>
      </c>
    </row>
    <row r="166" spans="1:12" x14ac:dyDescent="0.25">
      <c r="A166" t="str">
        <f>'Planilha CP Meli'!B168</f>
        <v>MLB4501510230</v>
      </c>
      <c r="B166" t="str">
        <f>'Planilha CP Meli'!C168</f>
        <v>PA69851</v>
      </c>
      <c r="C166">
        <f>'Planilha CP Meli'!E168</f>
        <v>164.14</v>
      </c>
      <c r="D166" t="str">
        <f>IFERROR(VLOOKUP(A166,'Base MLB'!A:B,2,0)," ")</f>
        <v>Clássico</v>
      </c>
      <c r="E166" s="1">
        <f>IFERROR(VLOOKUP(A166,'Base MLB'!A:C,3,0)," ")</f>
        <v>0.115</v>
      </c>
      <c r="F166" s="1">
        <f t="shared" si="10"/>
        <v>7.2969596742285828E-2</v>
      </c>
      <c r="G166" s="1">
        <f t="shared" si="11"/>
        <v>5.5E-2</v>
      </c>
      <c r="H166" s="1">
        <f t="shared" si="12"/>
        <v>5.5E-2</v>
      </c>
      <c r="I166" s="2">
        <f>'Planilha CP Meli'!G168</f>
        <v>2249.4299999999998</v>
      </c>
      <c r="J166" s="2">
        <f>IFERROR(INDEX('Base com preços'!$C:$O,MATCH(B166,'Base com preços'!$A:$A,0),MATCH(G166,'Base com preços'!$C$1:$O$1,0)),IFERROR(INDEX('Boa forma'!$C:$O,MATCH(A166,'Boa forma'!$A:$A,0),MATCH(G166,'Boa forma'!$C$1:$O$1,0)),""))</f>
        <v>1931.6676307746905</v>
      </c>
      <c r="K166" s="2">
        <f t="shared" si="13"/>
        <v>-317.76236922530939</v>
      </c>
      <c r="L166" t="str">
        <f t="shared" si="14"/>
        <v>Sim</v>
      </c>
    </row>
    <row r="167" spans="1:12" x14ac:dyDescent="0.25">
      <c r="A167" t="str">
        <f>'Planilha CP Meli'!B169</f>
        <v>MLB4501521106</v>
      </c>
      <c r="B167" t="str">
        <f>'Planilha CP Meli'!C169</f>
        <v>PA58273</v>
      </c>
      <c r="C167">
        <f>'Planilha CP Meli'!E169</f>
        <v>134.97</v>
      </c>
      <c r="D167" t="str">
        <f>IFERROR(VLOOKUP(A167,'Base MLB'!A:B,2,0)," ")</f>
        <v>Premium</v>
      </c>
      <c r="E167" s="1">
        <f>IFERROR(VLOOKUP(A167,'Base MLB'!A:C,3,0)," ")</f>
        <v>0.16500000000000001</v>
      </c>
      <c r="F167" s="1">
        <f t="shared" si="10"/>
        <v>7.9996443812233281E-2</v>
      </c>
      <c r="G167" s="1">
        <f t="shared" si="11"/>
        <v>9.5000000000000001E-2</v>
      </c>
      <c r="H167" s="1">
        <f t="shared" si="12"/>
        <v>9.5000000000000001E-2</v>
      </c>
      <c r="I167" s="2">
        <f>'Planilha CP Meli'!G169</f>
        <v>1687.2</v>
      </c>
      <c r="J167" s="2">
        <f>IFERROR(INDEX('Base com preços'!$C:$O,MATCH(B167,'Base com preços'!$A:$A,0),MATCH(G167,'Base com preços'!$C$1:$O$1,0)),IFERROR(INDEX('Boa forma'!$C:$O,MATCH(A167,'Boa forma'!$A:$A,0),MATCH(G167,'Boa forma'!$C$1:$O$1,0)),""))</f>
        <v>1636.586657670621</v>
      </c>
      <c r="K167" s="2">
        <f t="shared" si="13"/>
        <v>-50.613342329379066</v>
      </c>
      <c r="L167" t="str">
        <f t="shared" si="14"/>
        <v>Sim</v>
      </c>
    </row>
    <row r="168" spans="1:12" x14ac:dyDescent="0.25">
      <c r="A168" t="str">
        <f>'Planilha CP Meli'!B170</f>
        <v>MLB4501526094</v>
      </c>
      <c r="B168" t="str">
        <f>'Planilha CP Meli'!C170</f>
        <v>PA33101</v>
      </c>
      <c r="C168">
        <f>'Planilha CP Meli'!E170</f>
        <v>146.81</v>
      </c>
      <c r="D168" t="str">
        <f>IFERROR(VLOOKUP(A168,'Base MLB'!A:B,2,0)," ")</f>
        <v>Clássico</v>
      </c>
      <c r="E168" s="1">
        <f>IFERROR(VLOOKUP(A168,'Base MLB'!A:C,3,0)," ")</f>
        <v>0.115</v>
      </c>
      <c r="F168" s="1">
        <f t="shared" si="10"/>
        <v>5.6841412420628769E-2</v>
      </c>
      <c r="G168" s="1">
        <f t="shared" si="11"/>
        <v>6.5000000000000002E-2</v>
      </c>
      <c r="H168" s="1">
        <f t="shared" si="12"/>
        <v>6.5000000000000002E-2</v>
      </c>
      <c r="I168" s="2">
        <f>'Planilha CP Meli'!G170</f>
        <v>2582.8000000000002</v>
      </c>
      <c r="J168" s="2">
        <f>IFERROR(INDEX('Base com preços'!$C:$O,MATCH(B168,'Base com preços'!$A:$A,0),MATCH(G168,'Base com preços'!$C$1:$O$1,0)),IFERROR(INDEX('Boa forma'!$C:$O,MATCH(A168,'Boa forma'!$A:$A,0),MATCH(G168,'Boa forma'!$C$1:$O$1,0)),""))</f>
        <v>2286.5393438036131</v>
      </c>
      <c r="K168" s="2">
        <f t="shared" si="13"/>
        <v>-296.26065619638712</v>
      </c>
      <c r="L168" t="str">
        <f t="shared" si="14"/>
        <v>Sim</v>
      </c>
    </row>
    <row r="169" spans="1:12" x14ac:dyDescent="0.25">
      <c r="A169" t="str">
        <f>'Planilha CP Meli'!B171</f>
        <v>MLB4501526142</v>
      </c>
      <c r="B169" t="str">
        <f>'Planilha CP Meli'!C171</f>
        <v>PA35620</v>
      </c>
      <c r="C169">
        <f>'Planilha CP Meli'!E171</f>
        <v>114.15</v>
      </c>
      <c r="D169" t="str">
        <f>IFERROR(VLOOKUP(A169,'Base MLB'!A:B,2,0)," ")</f>
        <v>Clássico</v>
      </c>
      <c r="E169" s="1">
        <f>IFERROR(VLOOKUP(A169,'Base MLB'!A:C,3,0)," ")</f>
        <v>0.115</v>
      </c>
      <c r="F169" s="1">
        <f t="shared" si="10"/>
        <v>6.0836522165492402E-2</v>
      </c>
      <c r="G169" s="1">
        <f t="shared" si="11"/>
        <v>6.5000000000000002E-2</v>
      </c>
      <c r="H169" s="1">
        <f t="shared" si="12"/>
        <v>6.5000000000000002E-2</v>
      </c>
      <c r="I169" s="2">
        <f>'Planilha CP Meli'!G171</f>
        <v>1876.34</v>
      </c>
      <c r="J169" s="2">
        <f>IFERROR(INDEX('Base com preços'!$C:$O,MATCH(B169,'Base com preços'!$A:$A,0),MATCH(G169,'Base com preços'!$C$1:$O$1,0)),IFERROR(INDEX('Boa forma'!$C:$O,MATCH(A169,'Boa forma'!$A:$A,0),MATCH(G169,'Boa forma'!$C$1:$O$1,0)),""))</f>
        <v>1661.1131344133241</v>
      </c>
      <c r="K169" s="2">
        <f t="shared" si="13"/>
        <v>-215.22686558667579</v>
      </c>
      <c r="L169" t="str">
        <f t="shared" si="14"/>
        <v>Sim</v>
      </c>
    </row>
    <row r="170" spans="1:12" x14ac:dyDescent="0.25">
      <c r="A170" t="str">
        <f>'Planilha CP Meli'!B172</f>
        <v>MLB4501538660</v>
      </c>
      <c r="B170" t="str">
        <f>'Planilha CP Meli'!C172</f>
        <v>PA62750</v>
      </c>
      <c r="C170">
        <f>'Planilha CP Meli'!E172</f>
        <v>103.68</v>
      </c>
      <c r="D170" t="str">
        <f>IFERROR(VLOOKUP(A170,'Base MLB'!A:B,2,0)," ")</f>
        <v>Premium</v>
      </c>
      <c r="E170" s="1">
        <f>IFERROR(VLOOKUP(A170,'Base MLB'!A:C,3,0)," ")</f>
        <v>0.16500000000000001</v>
      </c>
      <c r="F170" s="1">
        <f t="shared" si="10"/>
        <v>0.08</v>
      </c>
      <c r="G170" s="1">
        <f t="shared" si="11"/>
        <v>9.5000000000000001E-2</v>
      </c>
      <c r="H170" s="1">
        <f t="shared" si="12"/>
        <v>9.5000000000000001E-2</v>
      </c>
      <c r="I170" s="2">
        <f>'Planilha CP Meli'!G172</f>
        <v>1296</v>
      </c>
      <c r="J170" s="2">
        <f>IFERROR(INDEX('Base com preços'!$C:$O,MATCH(B170,'Base com preços'!$A:$A,0),MATCH(G170,'Base com preços'!$C$1:$O$1,0)),IFERROR(INDEX('Boa forma'!$C:$O,MATCH(A170,'Boa forma'!$A:$A,0),MATCH(G170,'Boa forma'!$C$1:$O$1,0)),""))</f>
        <v>1531.0468315488124</v>
      </c>
      <c r="K170" s="2">
        <f t="shared" si="13"/>
        <v>235.04683154881241</v>
      </c>
      <c r="L170" t="str">
        <f t="shared" si="14"/>
        <v>Não</v>
      </c>
    </row>
    <row r="171" spans="1:12" x14ac:dyDescent="0.25">
      <c r="A171" t="str">
        <f>'Planilha CP Meli'!B173</f>
        <v>MLB4522097564</v>
      </c>
      <c r="B171" t="str">
        <f>'Planilha CP Meli'!C173</f>
        <v>PA51670</v>
      </c>
      <c r="C171">
        <f>'Planilha CP Meli'!E173</f>
        <v>40.4</v>
      </c>
      <c r="D171" t="str">
        <f>IFERROR(VLOOKUP(A171,'Base MLB'!A:B,2,0)," ")</f>
        <v>Clássico</v>
      </c>
      <c r="E171" s="1">
        <f>IFERROR(VLOOKUP(A171,'Base MLB'!A:C,3,0)," ")</f>
        <v>0.115</v>
      </c>
      <c r="F171" s="1">
        <f t="shared" si="10"/>
        <v>4.4942320314151268E-2</v>
      </c>
      <c r="G171" s="1">
        <f t="shared" si="11"/>
        <v>8.5000000000000006E-2</v>
      </c>
      <c r="H171" s="1">
        <f t="shared" si="12"/>
        <v>8.5000000000000006E-2</v>
      </c>
      <c r="I171" s="2">
        <f>'Planilha CP Meli'!G173</f>
        <v>898.93</v>
      </c>
      <c r="J171" s="2">
        <f>IFERROR(INDEX('Base com preços'!$C:$O,MATCH(B171,'Base com preços'!$A:$A,0),MATCH(G171,'Base com preços'!$C$1:$O$1,0)),IFERROR(INDEX('Boa forma'!$C:$O,MATCH(A171,'Boa forma'!$A:$A,0),MATCH(G171,'Boa forma'!$C$1:$O$1,0)),""))</f>
        <v>845.80777348845288</v>
      </c>
      <c r="K171" s="2">
        <f t="shared" si="13"/>
        <v>-53.122226511547069</v>
      </c>
      <c r="L171" t="str">
        <f t="shared" si="14"/>
        <v>Sim</v>
      </c>
    </row>
    <row r="172" spans="1:12" x14ac:dyDescent="0.25">
      <c r="A172" t="str">
        <f>'Planilha CP Meli'!B174</f>
        <v>MLB4530736830</v>
      </c>
      <c r="B172" t="str">
        <f>'Planilha CP Meli'!C174</f>
        <v>PA85351</v>
      </c>
      <c r="C172">
        <f>'Planilha CP Meli'!E174</f>
        <v>135.28</v>
      </c>
      <c r="D172" t="str">
        <f>IFERROR(VLOOKUP(A172,'Base MLB'!A:B,2,0)," ")</f>
        <v>Clássico</v>
      </c>
      <c r="E172" s="1">
        <f>IFERROR(VLOOKUP(A172,'Base MLB'!A:C,3,0)," ")</f>
        <v>0.115</v>
      </c>
      <c r="F172" s="1">
        <f t="shared" si="10"/>
        <v>0.08</v>
      </c>
      <c r="G172" s="1">
        <f t="shared" si="11"/>
        <v>4.4999999999999998E-2</v>
      </c>
      <c r="H172" s="1">
        <f t="shared" si="12"/>
        <v>4.4999999999999998E-2</v>
      </c>
      <c r="I172" s="2">
        <f>'Planilha CP Meli'!G174</f>
        <v>1691</v>
      </c>
      <c r="J172" s="2">
        <f>IFERROR(INDEX('Base com preços'!$C:$O,MATCH(B172,'Base com preços'!$A:$A,0),MATCH(G172,'Base com preços'!$C$1:$O$1,0)),IFERROR(INDEX('Boa forma'!$C:$O,MATCH(A172,'Boa forma'!$A:$A,0),MATCH(G172,'Boa forma'!$C$1:$O$1,0)),""))</f>
        <v>1908.239012477462</v>
      </c>
      <c r="K172" s="2">
        <f t="shared" si="13"/>
        <v>217.23901247746198</v>
      </c>
      <c r="L172" t="str">
        <f t="shared" si="14"/>
        <v>Não</v>
      </c>
    </row>
    <row r="173" spans="1:12" x14ac:dyDescent="0.25">
      <c r="A173" t="str">
        <f>'Planilha CP Meli'!B175</f>
        <v>MLB4562759690</v>
      </c>
      <c r="B173" t="str">
        <f>'Planilha CP Meli'!C175</f>
        <v>PA85357</v>
      </c>
      <c r="C173">
        <f>'Planilha CP Meli'!E175</f>
        <v>90.8</v>
      </c>
      <c r="D173" t="str">
        <f>IFERROR(VLOOKUP(A173,'Base MLB'!A:B,2,0)," ")</f>
        <v>Clássico</v>
      </c>
      <c r="E173" s="1">
        <f>IFERROR(VLOOKUP(A173,'Base MLB'!A:C,3,0)," ")</f>
        <v>0.115</v>
      </c>
      <c r="F173" s="1">
        <f t="shared" si="10"/>
        <v>0.08</v>
      </c>
      <c r="G173" s="1">
        <f t="shared" si="11"/>
        <v>4.4999999999999998E-2</v>
      </c>
      <c r="H173" s="1">
        <f t="shared" si="12"/>
        <v>4.4999999999999998E-2</v>
      </c>
      <c r="I173" s="2">
        <f>'Planilha CP Meli'!G175</f>
        <v>1135</v>
      </c>
      <c r="J173" s="2">
        <f>IFERROR(INDEX('Base com preços'!$C:$O,MATCH(B173,'Base com preços'!$A:$A,0),MATCH(G173,'Base com preços'!$C$1:$O$1,0)),IFERROR(INDEX('Boa forma'!$C:$O,MATCH(A173,'Boa forma'!$A:$A,0),MATCH(G173,'Boa forma'!$C$1:$O$1,0)),""))</f>
        <v>1117.6784164730357</v>
      </c>
      <c r="K173" s="2">
        <f t="shared" si="13"/>
        <v>-17.321583526964332</v>
      </c>
      <c r="L173" t="str">
        <f t="shared" si="14"/>
        <v>Sim</v>
      </c>
    </row>
    <row r="174" spans="1:12" x14ac:dyDescent="0.25">
      <c r="A174" t="str">
        <f>'Planilha CP Meli'!B111</f>
        <v>MLB4130372982</v>
      </c>
      <c r="B174" t="str">
        <f>'Planilha CP Meli'!C111</f>
        <v>PA66793</v>
      </c>
      <c r="C174">
        <f>'Planilha CP Meli'!E111</f>
        <v>143.01</v>
      </c>
      <c r="D174" t="str">
        <f>IFERROR(VLOOKUP(A174,'Base MLB'!A:B,2,0)," ")</f>
        <v>Clássico</v>
      </c>
      <c r="E174" s="1">
        <f>IFERROR(VLOOKUP(A174,'Base MLB'!A:C,3,0)," ")</f>
        <v>0.115</v>
      </c>
      <c r="F174" s="1">
        <f t="shared" si="10"/>
        <v>4.9180835259161435E-2</v>
      </c>
      <c r="G174" s="1">
        <f t="shared" si="11"/>
        <v>7.4999999999999997E-2</v>
      </c>
      <c r="H174" s="1">
        <f t="shared" si="12"/>
        <v>7.4999999999999997E-2</v>
      </c>
      <c r="I174" s="2">
        <f>'Planilha CP Meli'!G111</f>
        <v>2907.84</v>
      </c>
      <c r="J174" s="2">
        <f>IFERROR(INDEX('Base com preços'!$C:$O,MATCH(B174,'Base com preços'!$A:$A,0),MATCH(G174,'Base com preços'!$C$1:$O$1,0)),IFERROR(INDEX('Boa forma'!$C:$O,MATCH(A174,'Boa forma'!$A:$A,0),MATCH(G174,'Boa forma'!$C$1:$O$1,0)),""))</f>
        <v>2653.9087372088948</v>
      </c>
      <c r="K174" s="2">
        <f t="shared" si="13"/>
        <v>-253.93126279110538</v>
      </c>
      <c r="L174" t="str">
        <f t="shared" si="14"/>
        <v>Sim</v>
      </c>
    </row>
    <row r="175" spans="1:12" x14ac:dyDescent="0.25">
      <c r="A175" t="str">
        <f>'Planilha CP Meli'!B177</f>
        <v>MLB4635688108</v>
      </c>
      <c r="B175" t="str">
        <f>'Planilha CP Meli'!C177</f>
        <v>PA51670</v>
      </c>
      <c r="C175">
        <f>'Planilha CP Meli'!E177</f>
        <v>71.91</v>
      </c>
      <c r="D175" t="str">
        <f>IFERROR(VLOOKUP(A175,'Base MLB'!A:B,2,0)," ")</f>
        <v>Premium</v>
      </c>
      <c r="E175" s="1">
        <f>IFERROR(VLOOKUP(A175,'Base MLB'!A:C,3,0)," ")</f>
        <v>0.16500000000000001</v>
      </c>
      <c r="F175" s="1">
        <f t="shared" si="10"/>
        <v>7.9995105291846974E-2</v>
      </c>
      <c r="G175" s="1">
        <f t="shared" si="11"/>
        <v>9.5000000000000001E-2</v>
      </c>
      <c r="H175" s="1">
        <f t="shared" si="12"/>
        <v>9.5000000000000001E-2</v>
      </c>
      <c r="I175" s="2">
        <f>'Planilha CP Meli'!G177</f>
        <v>898.93</v>
      </c>
      <c r="J175" s="2">
        <f>IFERROR(INDEX('Base com preços'!$C:$O,MATCH(B175,'Base com preços'!$A:$A,0),MATCH(G175,'Base com preços'!$C$1:$O$1,0)),IFERROR(INDEX('Boa forma'!$C:$O,MATCH(A175,'Boa forma'!$A:$A,0),MATCH(G175,'Boa forma'!$C$1:$O$1,0)),""))</f>
        <v>871.96677679221943</v>
      </c>
      <c r="K175" s="2">
        <f t="shared" si="13"/>
        <v>-26.963223207780516</v>
      </c>
      <c r="L175" t="str">
        <f t="shared" si="14"/>
        <v>Sim</v>
      </c>
    </row>
    <row r="176" spans="1:12" x14ac:dyDescent="0.25">
      <c r="A176" t="str">
        <f>'Planilha CP Meli'!B178</f>
        <v>MLB4653190830</v>
      </c>
      <c r="B176" t="str">
        <f>'Planilha CP Meli'!C178</f>
        <v>PA69950</v>
      </c>
      <c r="C176">
        <f>'Planilha CP Meli'!E178</f>
        <v>212.62</v>
      </c>
      <c r="D176" t="str">
        <f>IFERROR(VLOOKUP(A176,'Base MLB'!A:B,2,0)," ")</f>
        <v>Premium</v>
      </c>
      <c r="E176" s="1">
        <f>IFERROR(VLOOKUP(A176,'Base MLB'!A:C,3,0)," ")</f>
        <v>0.16500000000000001</v>
      </c>
      <c r="F176" s="1">
        <f t="shared" si="10"/>
        <v>7.9999698994642099E-2</v>
      </c>
      <c r="G176" s="1">
        <f t="shared" si="11"/>
        <v>9.5000000000000001E-2</v>
      </c>
      <c r="H176" s="1">
        <f t="shared" si="12"/>
        <v>9.5000000000000001E-2</v>
      </c>
      <c r="I176" s="2">
        <f>'Planilha CP Meli'!G178</f>
        <v>2657.76</v>
      </c>
      <c r="J176" s="2">
        <f>IFERROR(INDEX('Base com preços'!$C:$O,MATCH(B176,'Base com preços'!$A:$A,0),MATCH(G176,'Base com preços'!$C$1:$O$1,0)),IFERROR(INDEX('Boa forma'!$C:$O,MATCH(A176,'Boa forma'!$A:$A,0),MATCH(G176,'Boa forma'!$C$1:$O$1,0)),""))</f>
        <v>2578.0283176971902</v>
      </c>
      <c r="K176" s="2">
        <f t="shared" si="13"/>
        <v>-79.731682302809986</v>
      </c>
      <c r="L176" t="str">
        <f t="shared" si="14"/>
        <v>Sim</v>
      </c>
    </row>
    <row r="177" spans="1:12" x14ac:dyDescent="0.25">
      <c r="A177" t="str">
        <f>'Planilha CP Meli'!B179</f>
        <v>MLB4777109606</v>
      </c>
      <c r="B177" t="str">
        <f>'Planilha CP Meli'!C179</f>
        <v>PA94859</v>
      </c>
      <c r="C177">
        <f>'Planilha CP Meli'!E179</f>
        <v>96.94</v>
      </c>
      <c r="D177" t="str">
        <f>IFERROR(VLOOKUP(A177,'Base MLB'!A:B,2,0)," ")</f>
        <v>Clássico</v>
      </c>
      <c r="E177" s="1">
        <f>IFERROR(VLOOKUP(A177,'Base MLB'!A:C,3,0)," ")</f>
        <v>0.115</v>
      </c>
      <c r="F177" s="1">
        <f t="shared" si="10"/>
        <v>0.08</v>
      </c>
      <c r="G177" s="1">
        <f t="shared" si="11"/>
        <v>4.4999999999999998E-2</v>
      </c>
      <c r="H177" s="1">
        <f t="shared" si="12"/>
        <v>4.4999999999999998E-2</v>
      </c>
      <c r="I177" s="2">
        <f>'Planilha CP Meli'!G179</f>
        <v>1211.75</v>
      </c>
      <c r="J177" s="2">
        <f>IFERROR(INDEX('Base com preços'!$C:$O,MATCH(B177,'Base com preços'!$A:$A,0),MATCH(G177,'Base com preços'!$C$1:$O$1,0)),IFERROR(INDEX('Boa forma'!$C:$O,MATCH(A177,'Boa forma'!$A:$A,0),MATCH(G177,'Boa forma'!$C$1:$O$1,0)),""))</f>
        <v>1009.3573442995427</v>
      </c>
      <c r="K177" s="2">
        <f t="shared" si="13"/>
        <v>-202.39265570045734</v>
      </c>
      <c r="L177" t="str">
        <f t="shared" si="14"/>
        <v>Sim</v>
      </c>
    </row>
    <row r="178" spans="1:12" x14ac:dyDescent="0.25">
      <c r="A178" t="str">
        <f>'Planilha CP Meli'!B180</f>
        <v>MLB4838805838</v>
      </c>
      <c r="B178" t="str">
        <f>'Planilha CP Meli'!C180</f>
        <v>PA52106</v>
      </c>
      <c r="C178">
        <f>'Planilha CP Meli'!E180</f>
        <v>78.53</v>
      </c>
      <c r="D178" t="str">
        <f>IFERROR(VLOOKUP(A178,'Base MLB'!A:B,2,0)," ")</f>
        <v>Clássico</v>
      </c>
      <c r="E178" s="1">
        <f>IFERROR(VLOOKUP(A178,'Base MLB'!A:C,3,0)," ")</f>
        <v>0.115</v>
      </c>
      <c r="F178" s="1">
        <f t="shared" si="10"/>
        <v>4.2548465047733602E-2</v>
      </c>
      <c r="G178" s="1">
        <f t="shared" si="11"/>
        <v>8.5000000000000006E-2</v>
      </c>
      <c r="H178" s="1">
        <f t="shared" si="12"/>
        <v>8.5000000000000006E-2</v>
      </c>
      <c r="I178" s="2">
        <f>'Planilha CP Meli'!G180</f>
        <v>1845.66</v>
      </c>
      <c r="J178" s="2">
        <f>IFERROR(INDEX('Base com preços'!$C:$O,MATCH(B178,'Base com preços'!$A:$A,0),MATCH(G178,'Base com preços'!$C$1:$O$1,0)),IFERROR(INDEX('Boa forma'!$C:$O,MATCH(A178,'Boa forma'!$A:$A,0),MATCH(G178,'Boa forma'!$C$1:$O$1,0)),""))</f>
        <v>1736.5830886973865</v>
      </c>
      <c r="K178" s="2">
        <f t="shared" si="13"/>
        <v>-109.07691130261355</v>
      </c>
      <c r="L178" t="str">
        <f t="shared" si="14"/>
        <v>Sim</v>
      </c>
    </row>
    <row r="179" spans="1:12" x14ac:dyDescent="0.25">
      <c r="A179" t="str">
        <f>'Planilha CP Meli'!B181</f>
        <v>MLB4838848646</v>
      </c>
      <c r="B179" t="str">
        <f>'Planilha CP Meli'!C181</f>
        <v>PA35618</v>
      </c>
      <c r="C179">
        <f>'Planilha CP Meli'!E181</f>
        <v>107.93</v>
      </c>
      <c r="D179" t="str">
        <f>IFERROR(VLOOKUP(A179,'Base MLB'!A:B,2,0)," ")</f>
        <v>Premium</v>
      </c>
      <c r="E179" s="1">
        <f>IFERROR(VLOOKUP(A179,'Base MLB'!A:C,3,0)," ")</f>
        <v>0.16500000000000001</v>
      </c>
      <c r="F179" s="1">
        <f t="shared" si="10"/>
        <v>7.973905462712591E-2</v>
      </c>
      <c r="G179" s="1">
        <f t="shared" si="11"/>
        <v>9.5000000000000001E-2</v>
      </c>
      <c r="H179" s="1">
        <f t="shared" si="12"/>
        <v>9.5000000000000001E-2</v>
      </c>
      <c r="I179" s="2">
        <f>'Planilha CP Meli'!G181</f>
        <v>1353.54</v>
      </c>
      <c r="J179" s="2">
        <f>IFERROR(INDEX('Base com preços'!$C:$O,MATCH(B179,'Base com preços'!$A:$A,0),MATCH(G179,'Base com preços'!$C$1:$O$1,0)),IFERROR(INDEX('Boa forma'!$C:$O,MATCH(A179,'Boa forma'!$A:$A,0),MATCH(G179,'Boa forma'!$C$1:$O$1,0)),""))</f>
        <v>1312.9335076532184</v>
      </c>
      <c r="K179" s="2">
        <f t="shared" si="13"/>
        <v>-40.606492346781579</v>
      </c>
      <c r="L179" t="str">
        <f t="shared" si="14"/>
        <v>Sim</v>
      </c>
    </row>
    <row r="180" spans="1:12" x14ac:dyDescent="0.25">
      <c r="A180" t="str">
        <f>'Planilha CP Meli'!B182</f>
        <v>MLB5064745500</v>
      </c>
      <c r="B180" t="str">
        <f>'Planilha CP Meli'!C182</f>
        <v>PA67579</v>
      </c>
      <c r="C180">
        <f>'Planilha CP Meli'!E182</f>
        <v>352.21</v>
      </c>
      <c r="D180" t="str">
        <f>IFERROR(VLOOKUP(A180,'Base MLB'!A:B,2,0)," ")</f>
        <v>Premium</v>
      </c>
      <c r="E180" s="1">
        <f>IFERROR(VLOOKUP(A180,'Base MLB'!A:C,3,0)," ")</f>
        <v>0.16500000000000001</v>
      </c>
      <c r="F180" s="1">
        <f t="shared" si="10"/>
        <v>7.9998273794381652E-2</v>
      </c>
      <c r="G180" s="1">
        <f t="shared" si="11"/>
        <v>9.5000000000000001E-2</v>
      </c>
      <c r="H180" s="1">
        <f t="shared" si="12"/>
        <v>9.5000000000000001E-2</v>
      </c>
      <c r="I180" s="2">
        <f>'Planilha CP Meli'!G182</f>
        <v>4402.72</v>
      </c>
      <c r="J180" s="2">
        <f>IFERROR(INDEX('Base com preços'!$C:$O,MATCH(B180,'Base com preços'!$A:$A,0),MATCH(G180,'Base com preços'!$C$1:$O$1,0)),IFERROR(INDEX('Boa forma'!$C:$O,MATCH(A180,'Boa forma'!$A:$A,0),MATCH(G180,'Boa forma'!$C$1:$O$1,0)),""))</f>
        <v>4270.6410891885471</v>
      </c>
      <c r="K180" s="2">
        <f t="shared" si="13"/>
        <v>-132.07891081145317</v>
      </c>
      <c r="L180" t="str">
        <f t="shared" si="14"/>
        <v>Sim</v>
      </c>
    </row>
    <row r="181" spans="1:12" x14ac:dyDescent="0.25">
      <c r="A181" t="str">
        <f>'Planilha CP Meli'!B183</f>
        <v>MLB5064759302</v>
      </c>
      <c r="B181" t="str">
        <f>'Planilha CP Meli'!C183</f>
        <v>PA66799</v>
      </c>
      <c r="C181">
        <f>'Planilha CP Meli'!E183</f>
        <v>266.89</v>
      </c>
      <c r="D181" t="str">
        <f>IFERROR(VLOOKUP(A181,'Base MLB'!A:B,2,0)," ")</f>
        <v>Clássico</v>
      </c>
      <c r="E181" s="1">
        <f>IFERROR(VLOOKUP(A181,'Base MLB'!A:C,3,0)," ")</f>
        <v>0.115</v>
      </c>
      <c r="F181" s="1">
        <f t="shared" si="10"/>
        <v>7.1094832179009054E-2</v>
      </c>
      <c r="G181" s="1">
        <f t="shared" si="11"/>
        <v>5.5E-2</v>
      </c>
      <c r="H181" s="1">
        <f t="shared" si="12"/>
        <v>5.5E-2</v>
      </c>
      <c r="I181" s="2">
        <f>'Planilha CP Meli'!G183</f>
        <v>3754</v>
      </c>
      <c r="J181" s="2">
        <f>IFERROR(INDEX('Base com preços'!$C:$O,MATCH(B181,'Base com preços'!$A:$A,0),MATCH(G181,'Base com preços'!$C$1:$O$1,0)),IFERROR(INDEX('Boa forma'!$C:$O,MATCH(A181,'Boa forma'!$A:$A,0),MATCH(G181,'Boa forma'!$C$1:$O$1,0)),""))</f>
        <v>3333.9045789866541</v>
      </c>
      <c r="K181" s="2">
        <f t="shared" si="13"/>
        <v>-420.09542101334591</v>
      </c>
      <c r="L181" t="str">
        <f t="shared" si="14"/>
        <v>Sim</v>
      </c>
    </row>
    <row r="182" spans="1:12" x14ac:dyDescent="0.25">
      <c r="A182" t="str">
        <f>'Planilha CP Meli'!B184</f>
        <v>MLB5166487836</v>
      </c>
      <c r="B182" t="str">
        <f>'Planilha CP Meli'!C184</f>
        <v>PA94831</v>
      </c>
      <c r="C182">
        <f>'Planilha CP Meli'!E184</f>
        <v>171.57</v>
      </c>
      <c r="D182" t="str">
        <f>IFERROR(VLOOKUP(A182,'Base MLB'!A:B,2,0)," ")</f>
        <v>Clássico</v>
      </c>
      <c r="E182" s="1">
        <f>IFERROR(VLOOKUP(A182,'Base MLB'!A:C,3,0)," ")</f>
        <v>0.115</v>
      </c>
      <c r="F182" s="1">
        <f t="shared" si="10"/>
        <v>7.999794841188429E-2</v>
      </c>
      <c r="G182" s="1">
        <f t="shared" si="11"/>
        <v>4.4999999999999998E-2</v>
      </c>
      <c r="H182" s="1">
        <f t="shared" si="12"/>
        <v>4.4999999999999998E-2</v>
      </c>
      <c r="I182" s="2">
        <f>'Planilha CP Meli'!G184</f>
        <v>2144.6799999999998</v>
      </c>
      <c r="J182" s="2">
        <f>IFERROR(INDEX('Base com preços'!$C:$O,MATCH(B182,'Base com preços'!$A:$A,0),MATCH(G182,'Base com preços'!$C$1:$O$1,0)),IFERROR(INDEX('Boa forma'!$C:$O,MATCH(A182,'Boa forma'!$A:$A,0),MATCH(G182,'Boa forma'!$C$1:$O$1,0)),""))</f>
        <v>1786.4650946001248</v>
      </c>
      <c r="K182" s="2">
        <f t="shared" si="13"/>
        <v>-358.21490539987508</v>
      </c>
      <c r="L182" t="str">
        <f t="shared" si="14"/>
        <v>Sim</v>
      </c>
    </row>
    <row r="183" spans="1:12" x14ac:dyDescent="0.25">
      <c r="A183" t="str">
        <f>'Planilha CP Meli'!B185</f>
        <v>MLB5166511078</v>
      </c>
      <c r="B183" t="str">
        <f>'Planilha CP Meli'!C185</f>
        <v>PA35621</v>
      </c>
      <c r="C183">
        <f>'Planilha CP Meli'!E185</f>
        <v>117.75</v>
      </c>
      <c r="D183" t="str">
        <f>IFERROR(VLOOKUP(A183,'Base MLB'!A:B,2,0)," ")</f>
        <v>Clássico</v>
      </c>
      <c r="E183" s="1">
        <f>IFERROR(VLOOKUP(A183,'Base MLB'!A:C,3,0)," ")</f>
        <v>0.115</v>
      </c>
      <c r="F183" s="1">
        <f t="shared" si="10"/>
        <v>6.1605026760909717E-2</v>
      </c>
      <c r="G183" s="1">
        <f t="shared" si="11"/>
        <v>6.5000000000000002E-2</v>
      </c>
      <c r="H183" s="1">
        <f t="shared" si="12"/>
        <v>6.5000000000000002E-2</v>
      </c>
      <c r="I183" s="2">
        <f>'Planilha CP Meli'!G185</f>
        <v>1911.37</v>
      </c>
      <c r="J183" s="2">
        <f>IFERROR(INDEX('Base com preços'!$C:$O,MATCH(B183,'Base com preços'!$A:$A,0),MATCH(G183,'Base com preços'!$C$1:$O$1,0)),IFERROR(INDEX('Boa forma'!$C:$O,MATCH(A183,'Boa forma'!$A:$A,0),MATCH(G183,'Boa forma'!$C$1:$O$1,0)),""))</f>
        <v>1692.1256373313852</v>
      </c>
      <c r="K183" s="2">
        <f t="shared" si="13"/>
        <v>-219.24436266861471</v>
      </c>
      <c r="L183" t="str">
        <f t="shared" si="14"/>
        <v>Sim</v>
      </c>
    </row>
    <row r="184" spans="1:12" x14ac:dyDescent="0.25">
      <c r="A184" t="str">
        <f>'Planilha CP Meli'!B186</f>
        <v>MLB5166513926</v>
      </c>
      <c r="B184" t="str">
        <f>'Planilha CP Meli'!C186</f>
        <v>PA94846</v>
      </c>
      <c r="C184">
        <f>'Planilha CP Meli'!E186</f>
        <v>146.80000000000001</v>
      </c>
      <c r="D184" t="str">
        <f>IFERROR(VLOOKUP(A184,'Base MLB'!A:B,2,0)," ")</f>
        <v>Clássico</v>
      </c>
      <c r="E184" s="1">
        <f>IFERROR(VLOOKUP(A184,'Base MLB'!A:C,3,0)," ")</f>
        <v>0.115</v>
      </c>
      <c r="F184" s="1">
        <f t="shared" si="10"/>
        <v>7.9996512413627749E-2</v>
      </c>
      <c r="G184" s="1">
        <f t="shared" si="11"/>
        <v>4.4999999999999998E-2</v>
      </c>
      <c r="H184" s="1">
        <f t="shared" si="12"/>
        <v>4.4999999999999998E-2</v>
      </c>
      <c r="I184" s="2">
        <f>'Planilha CP Meli'!G186</f>
        <v>1835.08</v>
      </c>
      <c r="J184" s="2">
        <f>IFERROR(INDEX('Base com preços'!$C:$O,MATCH(B184,'Base com preços'!$A:$A,0),MATCH(G184,'Base com preços'!$C$1:$O$1,0)),IFERROR(INDEX('Boa forma'!$C:$O,MATCH(A184,'Boa forma'!$A:$A,0),MATCH(G184,'Boa forma'!$C$1:$O$1,0)),""))</f>
        <v>1528.5751167752069</v>
      </c>
      <c r="K184" s="2">
        <f t="shared" si="13"/>
        <v>-306.50488322479305</v>
      </c>
      <c r="L184" t="str">
        <f t="shared" si="14"/>
        <v>Sim</v>
      </c>
    </row>
    <row r="185" spans="1:12" x14ac:dyDescent="0.25">
      <c r="A185" t="str">
        <f>'Planilha CP Meli'!B187</f>
        <v>MLB5166544258</v>
      </c>
      <c r="B185" t="str">
        <f>'Planilha CP Meli'!C187</f>
        <v>PA35621</v>
      </c>
      <c r="C185">
        <f>'Planilha CP Meli'!E187</f>
        <v>152.9</v>
      </c>
      <c r="D185" t="str">
        <f>IFERROR(VLOOKUP(A185,'Base MLB'!A:B,2,0)," ")</f>
        <v>Premium</v>
      </c>
      <c r="E185" s="1">
        <f>IFERROR(VLOOKUP(A185,'Base MLB'!A:C,3,0)," ")</f>
        <v>0.16500000000000001</v>
      </c>
      <c r="F185" s="1">
        <f t="shared" si="10"/>
        <v>7.9994977424569819E-2</v>
      </c>
      <c r="G185" s="1">
        <f t="shared" si="11"/>
        <v>9.5000000000000001E-2</v>
      </c>
      <c r="H185" s="1">
        <f t="shared" si="12"/>
        <v>9.5000000000000001E-2</v>
      </c>
      <c r="I185" s="2">
        <f>'Planilha CP Meli'!G187</f>
        <v>1911.37</v>
      </c>
      <c r="J185" s="2">
        <f>IFERROR(INDEX('Base com preços'!$C:$O,MATCH(B185,'Base com preços'!$A:$A,0),MATCH(G185,'Base com preços'!$C$1:$O$1,0)),IFERROR(INDEX('Boa forma'!$C:$O,MATCH(A185,'Boa forma'!$A:$A,0),MATCH(G185,'Boa forma'!$C$1:$O$1,0)),""))</f>
        <v>1854.0327557968574</v>
      </c>
      <c r="K185" s="2">
        <f t="shared" si="13"/>
        <v>-57.337244203142518</v>
      </c>
      <c r="L185" t="str">
        <f t="shared" si="14"/>
        <v>Sim</v>
      </c>
    </row>
    <row r="186" spans="1:12" x14ac:dyDescent="0.25">
      <c r="A186" t="str">
        <f>'Planilha CP Meli'!B188</f>
        <v>MLB5184776312</v>
      </c>
      <c r="B186" t="str">
        <f>'Planilha CP Meli'!C188</f>
        <v>PA63738</v>
      </c>
      <c r="C186">
        <f>'Planilha CP Meli'!E188</f>
        <v>98.08</v>
      </c>
      <c r="D186" t="str">
        <f>IFERROR(VLOOKUP(A186,'Base MLB'!A:B,2,0)," ")</f>
        <v>Clássico</v>
      </c>
      <c r="E186" s="1">
        <f>IFERROR(VLOOKUP(A186,'Base MLB'!A:C,3,0)," ")</f>
        <v>0.115</v>
      </c>
      <c r="F186" s="1">
        <f t="shared" si="10"/>
        <v>6.0244220043733566E-2</v>
      </c>
      <c r="G186" s="1">
        <f t="shared" si="11"/>
        <v>6.5000000000000002E-2</v>
      </c>
      <c r="H186" s="1">
        <f t="shared" si="12"/>
        <v>6.5000000000000002E-2</v>
      </c>
      <c r="I186" s="2">
        <f>'Planilha CP Meli'!G188</f>
        <v>1628.04</v>
      </c>
      <c r="J186" s="2">
        <f>IFERROR(INDEX('Base com preços'!$C:$O,MATCH(B186,'Base com preços'!$A:$A,0),MATCH(G186,'Base com preços'!$C$1:$O$1,0)),IFERROR(INDEX('Boa forma'!$C:$O,MATCH(A186,'Boa forma'!$A:$A,0),MATCH(G186,'Boa forma'!$C$1:$O$1,0)),""))</f>
        <v>1441.2916420585525</v>
      </c>
      <c r="K186" s="2">
        <f t="shared" si="13"/>
        <v>-186.74835794144747</v>
      </c>
      <c r="L186" t="str">
        <f t="shared" si="14"/>
        <v>Sim</v>
      </c>
    </row>
    <row r="187" spans="1:12" x14ac:dyDescent="0.25">
      <c r="A187" t="str">
        <f>'Planilha CP Meli'!B189</f>
        <v>MLB5184788190</v>
      </c>
      <c r="B187" t="str">
        <f>'Planilha CP Meli'!C189</f>
        <v>PA51522</v>
      </c>
      <c r="C187">
        <f>'Planilha CP Meli'!E189</f>
        <v>32.200000000000003</v>
      </c>
      <c r="D187" t="str">
        <f>IFERROR(VLOOKUP(A187,'Base MLB'!A:B,2,0)," ")</f>
        <v>Clássico</v>
      </c>
      <c r="E187" s="1">
        <f>IFERROR(VLOOKUP(A187,'Base MLB'!A:C,3,0)," ")</f>
        <v>0.115</v>
      </c>
      <c r="F187" s="1">
        <f t="shared" si="10"/>
        <v>7.0000000000000007E-2</v>
      </c>
      <c r="G187" s="1">
        <f t="shared" si="11"/>
        <v>5.5E-2</v>
      </c>
      <c r="H187" s="1">
        <f t="shared" si="12"/>
        <v>5.5E-2</v>
      </c>
      <c r="I187" s="2">
        <f>'Planilha CP Meli'!G189</f>
        <v>460</v>
      </c>
      <c r="J187" s="2">
        <f>IFERROR(INDEX('Base com preços'!$C:$O,MATCH(B187,'Base com preços'!$A:$A,0),MATCH(G187,'Base com preços'!$C$1:$O$1,0)),IFERROR(INDEX('Boa forma'!$C:$O,MATCH(A187,'Boa forma'!$A:$A,0),MATCH(G187,'Boa forma'!$C$1:$O$1,0)),""))</f>
        <v>682.0748689443011</v>
      </c>
      <c r="K187" s="2">
        <f t="shared" si="13"/>
        <v>222.0748689443011</v>
      </c>
      <c r="L187" t="str">
        <f t="shared" si="14"/>
        <v>Não</v>
      </c>
    </row>
    <row r="188" spans="1:12" x14ac:dyDescent="0.25">
      <c r="A188" t="str">
        <f>'Planilha CP Meli'!B190</f>
        <v>MLB5184801346</v>
      </c>
      <c r="B188" t="str">
        <f>'Planilha CP Meli'!C190</f>
        <v>PA62747</v>
      </c>
      <c r="C188">
        <f>'Planilha CP Meli'!E190</f>
        <v>75.260000000000005</v>
      </c>
      <c r="D188" t="str">
        <f>IFERROR(VLOOKUP(A188,'Base MLB'!A:B,2,0)," ")</f>
        <v>Clássico</v>
      </c>
      <c r="E188" s="1">
        <f>IFERROR(VLOOKUP(A188,'Base MLB'!A:C,3,0)," ")</f>
        <v>0.115</v>
      </c>
      <c r="F188" s="1">
        <f t="shared" si="10"/>
        <v>7.3117652773729724E-2</v>
      </c>
      <c r="G188" s="1">
        <f t="shared" si="11"/>
        <v>5.5E-2</v>
      </c>
      <c r="H188" s="1">
        <f t="shared" si="12"/>
        <v>5.5E-2</v>
      </c>
      <c r="I188" s="2">
        <f>'Planilha CP Meli'!G190</f>
        <v>1029.3</v>
      </c>
      <c r="J188" s="2">
        <f>IFERROR(INDEX('Base com preços'!$C:$O,MATCH(B188,'Base com preços'!$A:$A,0),MATCH(G188,'Base com preços'!$C$1:$O$1,0)),IFERROR(INDEX('Boa forma'!$C:$O,MATCH(A188,'Boa forma'!$A:$A,0),MATCH(G188,'Boa forma'!$C$1:$O$1,0)),""))</f>
        <v>883.89401249942944</v>
      </c>
      <c r="K188" s="2">
        <f t="shared" si="13"/>
        <v>-145.40598750057052</v>
      </c>
      <c r="L188" t="str">
        <f t="shared" si="14"/>
        <v>Sim</v>
      </c>
    </row>
    <row r="189" spans="1:12" x14ac:dyDescent="0.25">
      <c r="A189" t="str">
        <f>'Planilha CP Meli'!B95</f>
        <v>MLB4058746473</v>
      </c>
      <c r="B189" t="str">
        <f>'Planilha CP Meli'!C95</f>
        <v>PA94826</v>
      </c>
      <c r="C189">
        <f>'Planilha CP Meli'!E95</f>
        <v>72.319999999999993</v>
      </c>
      <c r="D189" t="str">
        <f>IFERROR(VLOOKUP(A189,'Base MLB'!A:B,2,0)," ")</f>
        <v>Clássico</v>
      </c>
      <c r="E189" s="1">
        <f>IFERROR(VLOOKUP(A189,'Base MLB'!A:C,3,0)," ")</f>
        <v>0.115</v>
      </c>
      <c r="F189" s="1">
        <f t="shared" si="10"/>
        <v>7.9999999999999988E-2</v>
      </c>
      <c r="G189" s="1">
        <f t="shared" si="11"/>
        <v>4.4999999999999998E-2</v>
      </c>
      <c r="H189" s="1">
        <f t="shared" si="12"/>
        <v>4.4999999999999998E-2</v>
      </c>
      <c r="I189" s="2">
        <f>'Planilha CP Meli'!G95</f>
        <v>904</v>
      </c>
      <c r="J189" s="2">
        <f>IFERROR(INDEX('Base com preços'!$C:$O,MATCH(B189,'Base com preços'!$A:$A,0),MATCH(G189,'Base com preços'!$C$1:$O$1,0)),IFERROR(INDEX('Boa forma'!$C:$O,MATCH(A189,'Boa forma'!$A:$A,0),MATCH(G189,'Boa forma'!$C$1:$O$1,0)),""))</f>
        <v>1005.000388947366</v>
      </c>
      <c r="K189" s="2">
        <f t="shared" si="13"/>
        <v>101.00038894736599</v>
      </c>
      <c r="L189" t="str">
        <f t="shared" si="14"/>
        <v>Não</v>
      </c>
    </row>
    <row r="190" spans="1:12" x14ac:dyDescent="0.25">
      <c r="A190" t="str">
        <f>'Planilha CP Meli'!B126</f>
        <v>MLB4263626547</v>
      </c>
      <c r="B190" t="str">
        <f>'Planilha CP Meli'!C126</f>
        <v>PA94830</v>
      </c>
      <c r="C190">
        <f>'Planilha CP Meli'!E126</f>
        <v>143.38999999999999</v>
      </c>
      <c r="D190" t="str">
        <f>IFERROR(VLOOKUP(A190,'Base MLB'!A:B,2,0)," ")</f>
        <v>Clássico</v>
      </c>
      <c r="E190" s="1">
        <f>IFERROR(VLOOKUP(A190,'Base MLB'!A:C,3,0)," ")</f>
        <v>0.115</v>
      </c>
      <c r="F190" s="1">
        <f t="shared" si="10"/>
        <v>7.9997098926602839E-2</v>
      </c>
      <c r="G190" s="1">
        <f t="shared" si="11"/>
        <v>4.4999999999999998E-2</v>
      </c>
      <c r="H190" s="1">
        <f t="shared" si="12"/>
        <v>4.4999999999999998E-2</v>
      </c>
      <c r="I190" s="2">
        <f>'Planilha CP Meli'!G126</f>
        <v>1792.44</v>
      </c>
      <c r="J190" s="2">
        <f>IFERROR(INDEX('Base com preços'!$C:$O,MATCH(B190,'Base com preços'!$A:$A,0),MATCH(G190,'Base com preços'!$C$1:$O$1,0)),IFERROR(INDEX('Boa forma'!$C:$O,MATCH(A190,'Boa forma'!$A:$A,0),MATCH(G190,'Boa forma'!$C$1:$O$1,0)),""))</f>
        <v>1493.0569780069848</v>
      </c>
      <c r="K190" s="2">
        <f t="shared" si="13"/>
        <v>-299.38302199301529</v>
      </c>
      <c r="L190" t="str">
        <f t="shared" si="14"/>
        <v>Sim</v>
      </c>
    </row>
    <row r="191" spans="1:12" x14ac:dyDescent="0.25">
      <c r="A191" t="str">
        <f>'Planilha CP Meli'!B193</f>
        <v>MLB5184814138</v>
      </c>
      <c r="B191" t="str">
        <f>'Planilha CP Meli'!C193</f>
        <v>PA52306</v>
      </c>
      <c r="C191">
        <f>'Planilha CP Meli'!E193</f>
        <v>69.39</v>
      </c>
      <c r="D191" t="str">
        <f>IFERROR(VLOOKUP(A191,'Base MLB'!A:B,2,0)," ")</f>
        <v>Premium</v>
      </c>
      <c r="E191" s="1">
        <f>IFERROR(VLOOKUP(A191,'Base MLB'!A:C,3,0)," ")</f>
        <v>0.16500000000000001</v>
      </c>
      <c r="F191" s="1">
        <f t="shared" si="10"/>
        <v>7.9991238890105704E-2</v>
      </c>
      <c r="G191" s="1">
        <f t="shared" si="11"/>
        <v>9.5000000000000001E-2</v>
      </c>
      <c r="H191" s="1">
        <f t="shared" si="12"/>
        <v>9.5000000000000001E-2</v>
      </c>
      <c r="I191" s="2">
        <f>'Planilha CP Meli'!G193</f>
        <v>867.47</v>
      </c>
      <c r="J191" s="2">
        <f>IFERROR(INDEX('Base com preços'!$C:$O,MATCH(B191,'Base com preços'!$A:$A,0),MATCH(G191,'Base com preços'!$C$1:$O$1,0)),IFERROR(INDEX('Boa forma'!$C:$O,MATCH(A191,'Boa forma'!$A:$A,0),MATCH(G191,'Boa forma'!$C$1:$O$1,0)),""))</f>
        <v>841.44814811254491</v>
      </c>
      <c r="K191" s="2">
        <f t="shared" si="13"/>
        <v>-26.021851887455114</v>
      </c>
      <c r="L191" t="str">
        <f t="shared" si="14"/>
        <v>Sim</v>
      </c>
    </row>
    <row r="192" spans="1:12" x14ac:dyDescent="0.25">
      <c r="A192" t="str">
        <f>'Planilha CP Meli'!B194</f>
        <v>MLB5184826252</v>
      </c>
      <c r="B192" t="str">
        <f>'Planilha CP Meli'!C194</f>
        <v>PA51518</v>
      </c>
      <c r="C192">
        <f>'Planilha CP Meli'!E194</f>
        <v>26.04</v>
      </c>
      <c r="D192" t="str">
        <f>IFERROR(VLOOKUP(A192,'Base MLB'!A:B,2,0)," ")</f>
        <v>Clássico</v>
      </c>
      <c r="E192" s="1">
        <f>IFERROR(VLOOKUP(A192,'Base MLB'!A:C,3,0)," ")</f>
        <v>0.115</v>
      </c>
      <c r="F192" s="1">
        <f t="shared" si="10"/>
        <v>6.9999999999999993E-2</v>
      </c>
      <c r="G192" s="1">
        <f t="shared" si="11"/>
        <v>5.5E-2</v>
      </c>
      <c r="H192" s="1">
        <f t="shared" si="12"/>
        <v>5.5E-2</v>
      </c>
      <c r="I192" s="2">
        <f>'Planilha CP Meli'!G194</f>
        <v>372</v>
      </c>
      <c r="J192" s="2">
        <f>IFERROR(INDEX('Base com preços'!$C:$O,MATCH(B192,'Base com preços'!$A:$A,0),MATCH(G192,'Base com preços'!$C$1:$O$1,0)),IFERROR(INDEX('Boa forma'!$C:$O,MATCH(A192,'Boa forma'!$A:$A,0),MATCH(G192,'Boa forma'!$C$1:$O$1,0)),""))</f>
        <v>366.00640046442834</v>
      </c>
      <c r="K192" s="2">
        <f t="shared" si="13"/>
        <v>-5.9935995355716614</v>
      </c>
      <c r="L192" t="str">
        <f t="shared" si="14"/>
        <v>Sim</v>
      </c>
    </row>
    <row r="193" spans="1:12" x14ac:dyDescent="0.25">
      <c r="A193" t="str">
        <f>'Planilha CP Meli'!B140</f>
        <v>MLB4303965676</v>
      </c>
      <c r="B193" t="str">
        <f>'Planilha CP Meli'!C140</f>
        <v>PA62582</v>
      </c>
      <c r="C193">
        <f>'Planilha CP Meli'!E140</f>
        <v>100.77</v>
      </c>
      <c r="D193" t="str">
        <f>IFERROR(VLOOKUP(A193,'Base MLB'!A:B,2,0)," ")</f>
        <v>Premium</v>
      </c>
      <c r="E193" s="1">
        <f>IFERROR(VLOOKUP(A193,'Base MLB'!A:C,3,0)," ")</f>
        <v>0.16500000000000001</v>
      </c>
      <c r="F193" s="1">
        <f t="shared" si="10"/>
        <v>7.999650704940936E-2</v>
      </c>
      <c r="G193" s="1">
        <f t="shared" si="11"/>
        <v>9.5000000000000001E-2</v>
      </c>
      <c r="H193" s="1">
        <f t="shared" si="12"/>
        <v>9.5000000000000001E-2</v>
      </c>
      <c r="I193" s="2">
        <f>'Planilha CP Meli'!G140</f>
        <v>1259.68</v>
      </c>
      <c r="J193" s="2">
        <f>IFERROR(INDEX('Base com preços'!$C:$O,MATCH(B193,'Base com preços'!$A:$A,0),MATCH(G193,'Base com preços'!$C$1:$O$1,0)),IFERROR(INDEX('Boa forma'!$C:$O,MATCH(A193,'Boa forma'!$A:$A,0),MATCH(G193,'Boa forma'!$C$1:$O$1,0)),""))</f>
        <v>1221.8919414780737</v>
      </c>
      <c r="K193" s="2">
        <f t="shared" si="13"/>
        <v>-37.788058521926359</v>
      </c>
      <c r="L193" t="str">
        <f t="shared" si="14"/>
        <v>Sim</v>
      </c>
    </row>
    <row r="194" spans="1:12" x14ac:dyDescent="0.25">
      <c r="A194" t="str">
        <f>'Planilha CP Meli'!B104</f>
        <v>MLB4085707863</v>
      </c>
      <c r="B194" t="str">
        <f>'Planilha CP Meli'!C104</f>
        <v>PA52315</v>
      </c>
      <c r="C194">
        <f>'Planilha CP Meli'!E104</f>
        <v>78.22</v>
      </c>
      <c r="D194" t="str">
        <f>IFERROR(VLOOKUP(A194,'Base MLB'!A:B,2,0)," ")</f>
        <v>Clássico</v>
      </c>
      <c r="E194" s="1">
        <f>IFERROR(VLOOKUP(A194,'Base MLB'!A:C,3,0)," ")</f>
        <v>0.115</v>
      </c>
      <c r="F194" s="1">
        <f t="shared" si="10"/>
        <v>6.3870267092359573E-2</v>
      </c>
      <c r="G194" s="1">
        <f t="shared" si="11"/>
        <v>6.5000000000000002E-2</v>
      </c>
      <c r="H194" s="1">
        <f t="shared" si="12"/>
        <v>6.5000000000000002E-2</v>
      </c>
      <c r="I194" s="2">
        <f>'Planilha CP Meli'!G104</f>
        <v>1224.67</v>
      </c>
      <c r="J194" s="2">
        <f>IFERROR(INDEX('Base com preços'!$C:$O,MATCH(B194,'Base com preços'!$A:$A,0),MATCH(G194,'Base com preços'!$C$1:$O$1,0)),IFERROR(INDEX('Boa forma'!$C:$O,MATCH(A194,'Boa forma'!$A:$A,0),MATCH(G194,'Boa forma'!$C$1:$O$1,0)),""))</f>
        <v>1084.2006542759152</v>
      </c>
      <c r="K194" s="2">
        <f t="shared" si="13"/>
        <v>-140.46934572408486</v>
      </c>
      <c r="L194" t="str">
        <f t="shared" si="14"/>
        <v>Sim</v>
      </c>
    </row>
    <row r="195" spans="1:12" x14ac:dyDescent="0.25">
      <c r="A195" t="str">
        <f>'Planilha CP Meli'!B197</f>
        <v>MLB5184890824</v>
      </c>
      <c r="B195" t="str">
        <f>'Planilha CP Meli'!C197</f>
        <v>PA52107</v>
      </c>
      <c r="C195">
        <f>'Planilha CP Meli'!E197</f>
        <v>129.4</v>
      </c>
      <c r="D195" t="str">
        <f>IFERROR(VLOOKUP(A195,'Base MLB'!A:B,2,0)," ")</f>
        <v>Clássico</v>
      </c>
      <c r="E195" s="1">
        <f>IFERROR(VLOOKUP(A195,'Base MLB'!A:C,3,0)," ")</f>
        <v>0.115</v>
      </c>
      <c r="F195" s="1">
        <f t="shared" ref="F195:F258" si="15">IFERROR(C195/I195," ")</f>
        <v>6.17124979731212E-2</v>
      </c>
      <c r="G195" s="1">
        <f t="shared" ref="G195:G258" si="16">IFERROR(MAX((ROUNDUP((E195-F195)*100,0)+0.5)/100,4.5%),"")</f>
        <v>6.5000000000000002E-2</v>
      </c>
      <c r="H195" s="1">
        <f t="shared" ref="H195:H258" si="17">IFERROR((ROUNDUP((E195-F195)*100,0)+0.5)/100,"")</f>
        <v>6.5000000000000002E-2</v>
      </c>
      <c r="I195" s="2">
        <f>'Planilha CP Meli'!G197</f>
        <v>2096.8200000000002</v>
      </c>
      <c r="J195" s="2">
        <f>IFERROR(INDEX('Base com preços'!$C:$O,MATCH(B195,'Base com preços'!$A:$A,0),MATCH(G195,'Base com preços'!$C$1:$O$1,0)),IFERROR(INDEX('Boa forma'!$C:$O,MATCH(A195,'Boa forma'!$A:$A,0),MATCH(G195,'Boa forma'!$C$1:$O$1,0)),""))</f>
        <v>1943.3529185892698</v>
      </c>
      <c r="K195" s="2">
        <f t="shared" ref="K195:K258" si="18">IFERROR(J195-I195," ")</f>
        <v>-153.46708141073032</v>
      </c>
      <c r="L195" t="str">
        <f t="shared" si="14"/>
        <v>Sim</v>
      </c>
    </row>
    <row r="196" spans="1:12" x14ac:dyDescent="0.25">
      <c r="A196" t="str">
        <f>'Planilha CP Meli'!B198</f>
        <v>MLB5184891404</v>
      </c>
      <c r="B196" t="str">
        <f>'Planilha CP Meli'!C198</f>
        <v>PA63735</v>
      </c>
      <c r="C196">
        <f>'Planilha CP Meli'!E198</f>
        <v>63.87</v>
      </c>
      <c r="D196" t="str">
        <f>IFERROR(VLOOKUP(A196,'Base MLB'!A:B,2,0)," ")</f>
        <v>Clássico</v>
      </c>
      <c r="E196" s="1">
        <f>IFERROR(VLOOKUP(A196,'Base MLB'!A:C,3,0)," ")</f>
        <v>0.115</v>
      </c>
      <c r="F196" s="1">
        <f t="shared" si="15"/>
        <v>6.0474364436869758E-2</v>
      </c>
      <c r="G196" s="1">
        <f t="shared" si="16"/>
        <v>6.5000000000000002E-2</v>
      </c>
      <c r="H196" s="1">
        <f t="shared" si="17"/>
        <v>6.5000000000000002E-2</v>
      </c>
      <c r="I196" s="2">
        <f>'Planilha CP Meli'!G198</f>
        <v>1056.1500000000001</v>
      </c>
      <c r="J196" s="2">
        <f>IFERROR(INDEX('Base com preços'!$C:$O,MATCH(B196,'Base com preços'!$A:$A,0),MATCH(G196,'Base com preços'!$C$1:$O$1,0)),IFERROR(INDEX('Boa forma'!$C:$O,MATCH(A196,'Boa forma'!$A:$A,0),MATCH(G196,'Boa forma'!$C$1:$O$1,0)),""))</f>
        <v>935.00571284969533</v>
      </c>
      <c r="K196" s="2">
        <f t="shared" si="18"/>
        <v>-121.14428715030476</v>
      </c>
      <c r="L196" t="str">
        <f t="shared" ref="L196:L259" si="19">IFERROR(IF(K196&lt;0,"Sim",IF(I196&gt;=J196*0.95,"Sim","Não")),"Não")</f>
        <v>Sim</v>
      </c>
    </row>
    <row r="197" spans="1:12" x14ac:dyDescent="0.25">
      <c r="A197" t="str">
        <f>'Planilha CP Meli'!B199</f>
        <v>MLB5184891450</v>
      </c>
      <c r="B197" t="str">
        <f>'Planilha CP Meli'!C199</f>
        <v>PA63738</v>
      </c>
      <c r="C197">
        <f>'Planilha CP Meli'!E199</f>
        <v>128.08000000000001</v>
      </c>
      <c r="D197" t="str">
        <f>IFERROR(VLOOKUP(A197,'Base MLB'!A:B,2,0)," ")</f>
        <v>Premium</v>
      </c>
      <c r="E197" s="1">
        <f>IFERROR(VLOOKUP(A197,'Base MLB'!A:C,3,0)," ")</f>
        <v>0.16500000000000001</v>
      </c>
      <c r="F197" s="1">
        <f t="shared" si="15"/>
        <v>7.8671285717795636E-2</v>
      </c>
      <c r="G197" s="1">
        <f t="shared" si="16"/>
        <v>9.5000000000000001E-2</v>
      </c>
      <c r="H197" s="1">
        <f t="shared" si="17"/>
        <v>9.5000000000000001E-2</v>
      </c>
      <c r="I197" s="2">
        <f>'Planilha CP Meli'!G199</f>
        <v>1628.04</v>
      </c>
      <c r="J197" s="2">
        <f>IFERROR(INDEX('Base com preços'!$C:$O,MATCH(B197,'Base com preços'!$A:$A,0),MATCH(G197,'Base com preços'!$C$1:$O$1,0)),IFERROR(INDEX('Boa forma'!$C:$O,MATCH(A197,'Boa forma'!$A:$A,0),MATCH(G197,'Boa forma'!$C$1:$O$1,0)),""))</f>
        <v>1579.1982912374449</v>
      </c>
      <c r="K197" s="2">
        <f t="shared" si="18"/>
        <v>-48.841708762555072</v>
      </c>
      <c r="L197" t="str">
        <f t="shared" si="19"/>
        <v>Sim</v>
      </c>
    </row>
    <row r="198" spans="1:12" x14ac:dyDescent="0.25">
      <c r="A198" t="str">
        <f>'Planilha CP Meli'!B200</f>
        <v>MLB5185023262</v>
      </c>
      <c r="B198" t="str">
        <f>'Planilha CP Meli'!C200</f>
        <v>PA85352</v>
      </c>
      <c r="C198">
        <f>'Planilha CP Meli'!E200</f>
        <v>186</v>
      </c>
      <c r="D198" t="str">
        <f>IFERROR(VLOOKUP(A198,'Base MLB'!A:B,2,0)," ")</f>
        <v>Premium</v>
      </c>
      <c r="E198" s="1">
        <f>IFERROR(VLOOKUP(A198,'Base MLB'!A:C,3,0)," ")</f>
        <v>0.16500000000000001</v>
      </c>
      <c r="F198" s="1">
        <f t="shared" si="15"/>
        <v>0.08</v>
      </c>
      <c r="G198" s="1">
        <f t="shared" si="16"/>
        <v>9.5000000000000001E-2</v>
      </c>
      <c r="H198" s="1">
        <f t="shared" si="17"/>
        <v>9.5000000000000001E-2</v>
      </c>
      <c r="I198" s="2">
        <f>'Planilha CP Meli'!G200</f>
        <v>2325</v>
      </c>
      <c r="J198" s="2">
        <f>IFERROR(INDEX('Base com preços'!$C:$O,MATCH(B198,'Base com preços'!$A:$A,0),MATCH(G198,'Base com preços'!$C$1:$O$1,0)),IFERROR(INDEX('Boa forma'!$C:$O,MATCH(A198,'Boa forma'!$A:$A,0),MATCH(G198,'Boa forma'!$C$1:$O$1,0)),""))</f>
        <v>2622.3501794804479</v>
      </c>
      <c r="K198" s="2">
        <f t="shared" si="18"/>
        <v>297.35017948044788</v>
      </c>
      <c r="L198" t="str">
        <f t="shared" si="19"/>
        <v>Não</v>
      </c>
    </row>
    <row r="199" spans="1:12" x14ac:dyDescent="0.25">
      <c r="A199" t="str">
        <f>'Planilha CP Meli'!B201</f>
        <v>MLB5185287806</v>
      </c>
      <c r="B199" t="str">
        <f>'Planilha CP Meli'!C201</f>
        <v>PA94874</v>
      </c>
      <c r="C199">
        <f>'Planilha CP Meli'!E201</f>
        <v>288.43</v>
      </c>
      <c r="D199" t="str">
        <f>IFERROR(VLOOKUP(A199,'Base MLB'!A:B,2,0)," ")</f>
        <v>Premium</v>
      </c>
      <c r="E199" s="1">
        <f>IFERROR(VLOOKUP(A199,'Base MLB'!A:C,3,0)," ")</f>
        <v>0.16500000000000001</v>
      </c>
      <c r="F199" s="1">
        <f t="shared" si="15"/>
        <v>7.9997670213120028E-2</v>
      </c>
      <c r="G199" s="1">
        <f t="shared" si="16"/>
        <v>9.5000000000000001E-2</v>
      </c>
      <c r="H199" s="1">
        <f t="shared" si="17"/>
        <v>9.5000000000000001E-2</v>
      </c>
      <c r="I199" s="2">
        <f>'Planilha CP Meli'!G201</f>
        <v>3605.48</v>
      </c>
      <c r="J199" s="2">
        <f>IFERROR(INDEX('Base com preços'!$C:$O,MATCH(B199,'Base com preços'!$A:$A,0),MATCH(G199,'Base com preços'!$C$1:$O$1,0)),IFERROR(INDEX('Boa forma'!$C:$O,MATCH(A199,'Boa forma'!$A:$A,0),MATCH(G199,'Boa forma'!$C$1:$O$1,0)),""))</f>
        <v>3497.3125219663448</v>
      </c>
      <c r="K199" s="2">
        <f t="shared" si="18"/>
        <v>-108.16747803365524</v>
      </c>
      <c r="L199" t="str">
        <f t="shared" si="19"/>
        <v>Sim</v>
      </c>
    </row>
    <row r="200" spans="1:12" x14ac:dyDescent="0.25">
      <c r="A200" t="str">
        <f>'Planilha CP Meli'!B176</f>
        <v>MLB4635675176</v>
      </c>
      <c r="B200" t="str">
        <f>'Planilha CP Meli'!C176</f>
        <v>PA35618</v>
      </c>
      <c r="C200">
        <f>'Planilha CP Meli'!E176</f>
        <v>81.53</v>
      </c>
      <c r="D200" t="str">
        <f>IFERROR(VLOOKUP(A200,'Base MLB'!A:B,2,0)," ")</f>
        <v>Clássico</v>
      </c>
      <c r="E200" s="1">
        <f>IFERROR(VLOOKUP(A200,'Base MLB'!A:C,3,0)," ")</f>
        <v>0.115</v>
      </c>
      <c r="F200" s="1">
        <f t="shared" si="15"/>
        <v>6.0234643970625175E-2</v>
      </c>
      <c r="G200" s="1">
        <f t="shared" si="16"/>
        <v>6.5000000000000002E-2</v>
      </c>
      <c r="H200" s="1">
        <f t="shared" si="17"/>
        <v>6.5000000000000002E-2</v>
      </c>
      <c r="I200" s="2">
        <f>'Planilha CP Meli'!G176</f>
        <v>1353.54</v>
      </c>
      <c r="J200" s="2">
        <f>IFERROR(INDEX('Base com preços'!$C:$O,MATCH(B200,'Base com preços'!$A:$A,0),MATCH(G200,'Base com preços'!$C$1:$O$1,0)),IFERROR(INDEX('Boa forma'!$C:$O,MATCH(A200,'Boa forma'!$A:$A,0),MATCH(G200,'Boa forma'!$C$1:$O$1,0)),""))</f>
        <v>1198.2789632303859</v>
      </c>
      <c r="K200" s="2">
        <f t="shared" si="18"/>
        <v>-155.26103676961407</v>
      </c>
      <c r="L200" t="str">
        <f t="shared" si="19"/>
        <v>Sim</v>
      </c>
    </row>
    <row r="201" spans="1:12" x14ac:dyDescent="0.25">
      <c r="A201" t="str">
        <f>'Planilha CP Meli'!B167</f>
        <v>MLB4501503920</v>
      </c>
      <c r="B201" t="str">
        <f>'Planilha CP Meli'!C167</f>
        <v>PA69849</v>
      </c>
      <c r="C201">
        <f>'Planilha CP Meli'!E167</f>
        <v>108.08</v>
      </c>
      <c r="D201" t="str">
        <f>IFERROR(VLOOKUP(A201,'Base MLB'!A:B,2,0)," ")</f>
        <v>Clássico</v>
      </c>
      <c r="E201" s="1">
        <f>IFERROR(VLOOKUP(A201,'Base MLB'!A:C,3,0)," ")</f>
        <v>0.115</v>
      </c>
      <c r="F201" s="1">
        <f t="shared" si="15"/>
        <v>0.08</v>
      </c>
      <c r="G201" s="1">
        <f t="shared" si="16"/>
        <v>4.4999999999999998E-2</v>
      </c>
      <c r="H201" s="1">
        <f t="shared" si="17"/>
        <v>4.4999999999999998E-2</v>
      </c>
      <c r="I201" s="2">
        <f>'Planilha CP Meli'!G167</f>
        <v>1351</v>
      </c>
      <c r="J201" s="2">
        <f>IFERROR(INDEX('Base com preços'!$C:$O,MATCH(B201,'Base com preços'!$A:$A,0),MATCH(G201,'Base com preços'!$C$1:$O$1,0)),IFERROR(INDEX('Boa forma'!$C:$O,MATCH(A201,'Boa forma'!$A:$A,0),MATCH(G201,'Boa forma'!$C$1:$O$1,0)),""))</f>
        <v>1501.2814772882166</v>
      </c>
      <c r="K201" s="2">
        <f t="shared" si="18"/>
        <v>150.28147728821659</v>
      </c>
      <c r="L201" t="str">
        <f t="shared" si="19"/>
        <v>Não</v>
      </c>
    </row>
    <row r="202" spans="1:12" x14ac:dyDescent="0.25">
      <c r="A202" t="str">
        <f>'Planilha CP Meli'!B204</f>
        <v>MLB5187113976</v>
      </c>
      <c r="B202" t="str">
        <f>'Planilha CP Meli'!C204</f>
        <v>PA94868</v>
      </c>
      <c r="C202">
        <f>'Planilha CP Meli'!E204</f>
        <v>131.52000000000001</v>
      </c>
      <c r="D202" t="str">
        <f>IFERROR(VLOOKUP(A202,'Base MLB'!A:B,2,0)," ")</f>
        <v>Clássico</v>
      </c>
      <c r="E202" s="1">
        <f>IFERROR(VLOOKUP(A202,'Base MLB'!A:C,3,0)," ")</f>
        <v>0.115</v>
      </c>
      <c r="F202" s="1">
        <f t="shared" si="15"/>
        <v>7.9997080398525613E-2</v>
      </c>
      <c r="G202" s="1">
        <f t="shared" si="16"/>
        <v>4.4999999999999998E-2</v>
      </c>
      <c r="H202" s="1">
        <f t="shared" si="17"/>
        <v>4.4999999999999998E-2</v>
      </c>
      <c r="I202" s="2">
        <f>'Planilha CP Meli'!G204</f>
        <v>1644.06</v>
      </c>
      <c r="J202" s="2">
        <f>IFERROR(INDEX('Base com preços'!$C:$O,MATCH(B202,'Base com preços'!$A:$A,0),MATCH(G202,'Base com preços'!$C$1:$O$1,0)),IFERROR(INDEX('Boa forma'!$C:$O,MATCH(A202,'Boa forma'!$A:$A,0),MATCH(G202,'Boa forma'!$C$1:$O$1,0)),""))</f>
        <v>1369.4626883729179</v>
      </c>
      <c r="K202" s="2">
        <f t="shared" si="18"/>
        <v>-274.59731162708204</v>
      </c>
      <c r="L202" t="str">
        <f t="shared" si="19"/>
        <v>Sim</v>
      </c>
    </row>
    <row r="203" spans="1:12" x14ac:dyDescent="0.25">
      <c r="A203" t="str">
        <f>'Planilha CP Meli'!B103</f>
        <v>MLB4069008265</v>
      </c>
      <c r="B203" t="str">
        <f>'Planilha CP Meli'!C103</f>
        <v>PA66754</v>
      </c>
      <c r="C203">
        <f>'Planilha CP Meli'!E103</f>
        <v>77.52</v>
      </c>
      <c r="D203" t="str">
        <f>IFERROR(VLOOKUP(A203,'Base MLB'!A:B,2,0)," ")</f>
        <v>Clássico</v>
      </c>
      <c r="E203" s="1">
        <f>IFERROR(VLOOKUP(A203,'Base MLB'!A:C,3,0)," ")</f>
        <v>0.115</v>
      </c>
      <c r="F203" s="1">
        <f t="shared" si="15"/>
        <v>4.3052076796196846E-2</v>
      </c>
      <c r="G203" s="1">
        <f t="shared" si="16"/>
        <v>8.5000000000000006E-2</v>
      </c>
      <c r="H203" s="1">
        <f t="shared" si="17"/>
        <v>8.5000000000000006E-2</v>
      </c>
      <c r="I203" s="2">
        <f>'Planilha CP Meli'!G103</f>
        <v>1800.61</v>
      </c>
      <c r="J203" s="2">
        <f>IFERROR(INDEX('Base com preços'!$C:$O,MATCH(B203,'Base com preços'!$A:$A,0),MATCH(G203,'Base com preços'!$C$1:$O$1,0)),IFERROR(INDEX('Boa forma'!$C:$O,MATCH(A203,'Boa forma'!$A:$A,0),MATCH(G203,'Boa forma'!$C$1:$O$1,0)),""))</f>
        <v>1694.1976412016354</v>
      </c>
      <c r="K203" s="2">
        <f t="shared" si="18"/>
        <v>-106.41235879836449</v>
      </c>
      <c r="L203" t="str">
        <f t="shared" si="19"/>
        <v>Sim</v>
      </c>
    </row>
    <row r="204" spans="1:12" x14ac:dyDescent="0.25">
      <c r="A204" t="str">
        <f>'Planilha CP Meli'!B206</f>
        <v>MLB5189259214</v>
      </c>
      <c r="B204" t="str">
        <f>'Planilha CP Meli'!C206</f>
        <v>PA65751</v>
      </c>
      <c r="C204">
        <f>'Planilha CP Meli'!E206</f>
        <v>44.45</v>
      </c>
      <c r="D204" t="str">
        <f>IFERROR(VLOOKUP(A204,'Base MLB'!A:B,2,0)," ")</f>
        <v>Premium</v>
      </c>
      <c r="E204" s="1">
        <f>IFERROR(VLOOKUP(A204,'Base MLB'!A:C,3,0)," ")</f>
        <v>0.16500000000000001</v>
      </c>
      <c r="F204" s="1">
        <f t="shared" si="15"/>
        <v>7.0000000000000007E-2</v>
      </c>
      <c r="G204" s="1">
        <f t="shared" si="16"/>
        <v>0.105</v>
      </c>
      <c r="H204" s="1">
        <f t="shared" si="17"/>
        <v>0.105</v>
      </c>
      <c r="I204" s="2">
        <f>'Planilha CP Meli'!G206</f>
        <v>635</v>
      </c>
      <c r="J204" s="2">
        <f>IFERROR(INDEX('Base com preços'!$C:$O,MATCH(B204,'Base com preços'!$A:$A,0),MATCH(G204,'Base com preços'!$C$1:$O$1,0)),IFERROR(INDEX('Boa forma'!$C:$O,MATCH(A204,'Boa forma'!$A:$A,0),MATCH(G204,'Boa forma'!$C$1:$O$1,0)),""))</f>
        <v>675.69590849549172</v>
      </c>
      <c r="K204" s="2">
        <f t="shared" si="18"/>
        <v>40.695908495491722</v>
      </c>
      <c r="L204" t="str">
        <f t="shared" si="19"/>
        <v>Não</v>
      </c>
    </row>
    <row r="205" spans="1:12" x14ac:dyDescent="0.25">
      <c r="A205" t="str">
        <f>'Planilha CP Meli'!B207</f>
        <v>MLB5189287728</v>
      </c>
      <c r="B205" t="str">
        <f>'Planilha CP Meli'!C207</f>
        <v>PA94883</v>
      </c>
      <c r="C205">
        <f>'Planilha CP Meli'!E207</f>
        <v>78.53</v>
      </c>
      <c r="D205" t="str">
        <f>IFERROR(VLOOKUP(A205,'Base MLB'!A:B,2,0)," ")</f>
        <v>Premium</v>
      </c>
      <c r="E205" s="1">
        <f>IFERROR(VLOOKUP(A205,'Base MLB'!A:C,3,0)," ")</f>
        <v>0.16500000000000001</v>
      </c>
      <c r="F205" s="1">
        <f t="shared" si="15"/>
        <v>7.9994703012152515E-2</v>
      </c>
      <c r="G205" s="1">
        <f t="shared" si="16"/>
        <v>9.5000000000000001E-2</v>
      </c>
      <c r="H205" s="1">
        <f t="shared" si="17"/>
        <v>9.5000000000000001E-2</v>
      </c>
      <c r="I205" s="2">
        <f>'Planilha CP Meli'!G207</f>
        <v>981.69</v>
      </c>
      <c r="J205" s="2">
        <f>IFERROR(INDEX('Base com preços'!$C:$O,MATCH(B205,'Base com preços'!$A:$A,0),MATCH(G205,'Base com preços'!$C$1:$O$1,0)),IFERROR(INDEX('Boa forma'!$C:$O,MATCH(A205,'Boa forma'!$A:$A,0),MATCH(G205,'Boa forma'!$C$1:$O$1,0)),""))</f>
        <v>952.24237716804373</v>
      </c>
      <c r="K205" s="2">
        <f t="shared" si="18"/>
        <v>-29.447622831956323</v>
      </c>
      <c r="L205" t="str">
        <f t="shared" si="19"/>
        <v>Sim</v>
      </c>
    </row>
    <row r="206" spans="1:12" x14ac:dyDescent="0.25">
      <c r="A206" t="str">
        <f>'Planilha CP Meli'!B208</f>
        <v>MLB5189292726</v>
      </c>
      <c r="B206" t="str">
        <f>'Planilha CP Meli'!C208</f>
        <v>PA94825</v>
      </c>
      <c r="C206">
        <f>'Planilha CP Meli'!E208</f>
        <v>88.83</v>
      </c>
      <c r="D206" t="str">
        <f>IFERROR(VLOOKUP(A206,'Base MLB'!A:B,2,0)," ")</f>
        <v>Premium</v>
      </c>
      <c r="E206" s="1">
        <f>IFERROR(VLOOKUP(A206,'Base MLB'!A:C,3,0)," ")</f>
        <v>0.16500000000000001</v>
      </c>
      <c r="F206" s="1">
        <f t="shared" si="15"/>
        <v>7.9999639762964023E-2</v>
      </c>
      <c r="G206" s="1">
        <f t="shared" si="16"/>
        <v>9.5000000000000001E-2</v>
      </c>
      <c r="H206" s="1">
        <f t="shared" si="17"/>
        <v>9.5000000000000001E-2</v>
      </c>
      <c r="I206" s="2">
        <f>'Planilha CP Meli'!G208</f>
        <v>1110.3800000000001</v>
      </c>
      <c r="J206" s="2">
        <f>IFERROR(INDEX('Base com preços'!$C:$O,MATCH(B206,'Base com preços'!$A:$A,0),MATCH(G206,'Base com preços'!$C$1:$O$1,0)),IFERROR(INDEX('Boa forma'!$C:$O,MATCH(A206,'Boa forma'!$A:$A,0),MATCH(G206,'Boa forma'!$C$1:$O$1,0)),""))</f>
        <v>1077.0691981853424</v>
      </c>
      <c r="K206" s="2">
        <f t="shared" si="18"/>
        <v>-33.31080181465768</v>
      </c>
      <c r="L206" t="str">
        <f t="shared" si="19"/>
        <v>Sim</v>
      </c>
    </row>
    <row r="207" spans="1:12" x14ac:dyDescent="0.25">
      <c r="A207" t="str">
        <f>'Planilha CP Meli'!B209</f>
        <v>MLB5189293310</v>
      </c>
      <c r="B207" t="str">
        <f>'Planilha CP Meli'!C209</f>
        <v>PA94841</v>
      </c>
      <c r="C207">
        <f>'Planilha CP Meli'!E209</f>
        <v>90.47</v>
      </c>
      <c r="D207" t="str">
        <f>IFERROR(VLOOKUP(A207,'Base MLB'!A:B,2,0)," ")</f>
        <v>Premium</v>
      </c>
      <c r="E207" s="1">
        <f>IFERROR(VLOOKUP(A207,'Base MLB'!A:C,3,0)," ")</f>
        <v>0.16500000000000001</v>
      </c>
      <c r="F207" s="1">
        <f t="shared" si="15"/>
        <v>7.9996816750963817E-2</v>
      </c>
      <c r="G207" s="1">
        <f t="shared" si="16"/>
        <v>9.5000000000000001E-2</v>
      </c>
      <c r="H207" s="1">
        <f t="shared" si="17"/>
        <v>9.5000000000000001E-2</v>
      </c>
      <c r="I207" s="2">
        <f>'Planilha CP Meli'!G209</f>
        <v>1130.92</v>
      </c>
      <c r="J207" s="2">
        <f>IFERROR(INDEX('Base com preços'!$C:$O,MATCH(B207,'Base com preços'!$A:$A,0),MATCH(G207,'Base com preços'!$C$1:$O$1,0)),IFERROR(INDEX('Boa forma'!$C:$O,MATCH(A207,'Boa forma'!$A:$A,0),MATCH(G207,'Boa forma'!$C$1:$O$1,0)),""))</f>
        <v>1096.9886675080363</v>
      </c>
      <c r="K207" s="2">
        <f t="shared" si="18"/>
        <v>-33.931332491963758</v>
      </c>
      <c r="L207" t="str">
        <f t="shared" si="19"/>
        <v>Sim</v>
      </c>
    </row>
    <row r="208" spans="1:12" x14ac:dyDescent="0.25">
      <c r="A208" t="str">
        <f>'Planilha CP Meli'!B210</f>
        <v>MLB5189295972</v>
      </c>
      <c r="B208" t="str">
        <f>'Planilha CP Meli'!C210</f>
        <v>PA94884</v>
      </c>
      <c r="C208">
        <f>'Planilha CP Meli'!E210</f>
        <v>85.92</v>
      </c>
      <c r="D208" t="str">
        <f>IFERROR(VLOOKUP(A208,'Base MLB'!A:B,2,0)," ")</f>
        <v>Clássico</v>
      </c>
      <c r="E208" s="1">
        <f>IFERROR(VLOOKUP(A208,'Base MLB'!A:C,3,0)," ")</f>
        <v>0.115</v>
      </c>
      <c r="F208" s="1">
        <f t="shared" si="15"/>
        <v>7.9996275778595041E-2</v>
      </c>
      <c r="G208" s="1">
        <f t="shared" si="16"/>
        <v>4.4999999999999998E-2</v>
      </c>
      <c r="H208" s="1">
        <f t="shared" si="17"/>
        <v>4.4999999999999998E-2</v>
      </c>
      <c r="I208" s="2">
        <f>'Planilha CP Meli'!G210</f>
        <v>1074.05</v>
      </c>
      <c r="J208" s="2">
        <f>IFERROR(INDEX('Base com preços'!$C:$O,MATCH(B208,'Base com preços'!$A:$A,0),MATCH(G208,'Base com preços'!$C$1:$O$1,0)),IFERROR(INDEX('Boa forma'!$C:$O,MATCH(A208,'Boa forma'!$A:$A,0),MATCH(G208,'Boa forma'!$C$1:$O$1,0)),""))</f>
        <v>894.65601832950665</v>
      </c>
      <c r="K208" s="2">
        <f t="shared" si="18"/>
        <v>-179.3939816704933</v>
      </c>
      <c r="L208" t="str">
        <f t="shared" si="19"/>
        <v>Sim</v>
      </c>
    </row>
    <row r="209" spans="1:12" x14ac:dyDescent="0.25">
      <c r="A209" t="str">
        <f>'Planilha CP Meli'!B112</f>
        <v>MLB4130410220</v>
      </c>
      <c r="B209" t="str">
        <f>'Planilha CP Meli'!C112</f>
        <v>PA85369</v>
      </c>
      <c r="C209">
        <f>'Planilha CP Meli'!E112</f>
        <v>235.48</v>
      </c>
      <c r="D209" t="str">
        <f>IFERROR(VLOOKUP(A209,'Base MLB'!A:B,2,0)," ")</f>
        <v>Clássico</v>
      </c>
      <c r="E209" s="1">
        <f>IFERROR(VLOOKUP(A209,'Base MLB'!A:C,3,0)," ")</f>
        <v>0.115</v>
      </c>
      <c r="F209" s="1">
        <f t="shared" si="15"/>
        <v>5.460823668825672E-2</v>
      </c>
      <c r="G209" s="1">
        <f t="shared" si="16"/>
        <v>7.4999999999999997E-2</v>
      </c>
      <c r="H209" s="1">
        <f t="shared" si="17"/>
        <v>7.4999999999999997E-2</v>
      </c>
      <c r="I209" s="2">
        <f>'Planilha CP Meli'!G112</f>
        <v>4312.17</v>
      </c>
      <c r="J209" s="2">
        <f>IFERROR(INDEX('Base com preços'!$C:$O,MATCH(B209,'Base com preços'!$A:$A,0),MATCH(G209,'Base com preços'!$C$1:$O$1,0)),IFERROR(INDEX('Boa forma'!$C:$O,MATCH(A209,'Boa forma'!$A:$A,0),MATCH(G209,'Boa forma'!$C$1:$O$1,0)),""))</f>
        <v>3935.612983206624</v>
      </c>
      <c r="K209" s="2">
        <f t="shared" si="18"/>
        <v>-376.55701679337608</v>
      </c>
      <c r="L209" t="str">
        <f t="shared" si="19"/>
        <v>Sim</v>
      </c>
    </row>
    <row r="210" spans="1:12" x14ac:dyDescent="0.25">
      <c r="A210" t="str">
        <f>'Planilha CP Meli'!B228</f>
        <v>MLB5433004172</v>
      </c>
      <c r="B210" t="str">
        <f>'Planilha CP Meli'!C228</f>
        <v>PA66886</v>
      </c>
      <c r="C210">
        <f>'Planilha CP Meli'!E228</f>
        <v>217.52</v>
      </c>
      <c r="D210" t="str">
        <f>IFERROR(VLOOKUP(A210,'Base MLB'!A:B,2,0)," ")</f>
        <v>Clássico</v>
      </c>
      <c r="E210" s="1">
        <f>IFERROR(VLOOKUP(A210,'Base MLB'!A:C,3,0)," ")</f>
        <v>0.115</v>
      </c>
      <c r="F210" s="1">
        <f t="shared" si="15"/>
        <v>4.4631663612842071E-2</v>
      </c>
      <c r="G210" s="1">
        <f t="shared" si="16"/>
        <v>8.5000000000000006E-2</v>
      </c>
      <c r="H210" s="1">
        <f t="shared" si="17"/>
        <v>8.5000000000000006E-2</v>
      </c>
      <c r="I210" s="2">
        <f>'Planilha CP Meli'!G228</f>
        <v>4873.67</v>
      </c>
      <c r="J210" s="2">
        <f>IFERROR(INDEX('Base com preços'!$C:$O,MATCH(B210,'Base com preços'!$A:$A,0),MATCH(G210,'Base com preços'!$C$1:$O$1,0)),IFERROR(INDEX('Boa forma'!$C:$O,MATCH(A210,'Boa forma'!$A:$A,0),MATCH(G210,'Boa forma'!$C$1:$O$1,0)),""))</f>
        <v>4585.6375408700133</v>
      </c>
      <c r="K210" s="2">
        <f t="shared" si="18"/>
        <v>-288.03245912998682</v>
      </c>
      <c r="L210" t="str">
        <f t="shared" si="19"/>
        <v>Sim</v>
      </c>
    </row>
    <row r="211" spans="1:12" x14ac:dyDescent="0.25">
      <c r="A211" t="str">
        <f>'Planilha CP Meli'!B213</f>
        <v>MLB5286057002</v>
      </c>
      <c r="B211" t="str">
        <f>'Planilha CP Meli'!C213</f>
        <v>PA69950</v>
      </c>
      <c r="C211">
        <f>'Planilha CP Meli'!E213</f>
        <v>212.62</v>
      </c>
      <c r="D211" t="str">
        <f>IFERROR(VLOOKUP(A211,'Base MLB'!A:B,2,0)," ")</f>
        <v>Clássico</v>
      </c>
      <c r="E211" s="1">
        <f>IFERROR(VLOOKUP(A211,'Base MLB'!A:C,3,0)," ")</f>
        <v>0.115</v>
      </c>
      <c r="F211" s="1">
        <f t="shared" si="15"/>
        <v>0.08</v>
      </c>
      <c r="G211" s="1">
        <f t="shared" si="16"/>
        <v>4.4999999999999998E-2</v>
      </c>
      <c r="H211" s="1">
        <f t="shared" si="17"/>
        <v>4.4999999999999998E-2</v>
      </c>
      <c r="I211" s="2">
        <f>'Planilha CP Meli'!G213</f>
        <v>2657.75</v>
      </c>
      <c r="J211" s="2">
        <f>IFERROR(INDEX('Base com preços'!$C:$O,MATCH(B211,'Base com preços'!$A:$A,0),MATCH(G211,'Base com preços'!$C$1:$O$1,0)),IFERROR(INDEX('Boa forma'!$C:$O,MATCH(A211,'Boa forma'!$A:$A,0),MATCH(G211,'Boa forma'!$C$1:$O$1,0)),""))</f>
        <v>2213.8406356247065</v>
      </c>
      <c r="K211" s="2">
        <f t="shared" si="18"/>
        <v>-443.90936437529353</v>
      </c>
      <c r="L211" t="str">
        <f t="shared" si="19"/>
        <v>Sim</v>
      </c>
    </row>
    <row r="212" spans="1:12" x14ac:dyDescent="0.25">
      <c r="A212" t="str">
        <f>'Planilha CP Meli'!B214</f>
        <v>MLB5294171436</v>
      </c>
      <c r="B212" t="str">
        <f>'Planilha CP Meli'!C214</f>
        <v>PA59925</v>
      </c>
      <c r="C212">
        <f>'Planilha CP Meli'!E214</f>
        <v>38.299999999999997</v>
      </c>
      <c r="D212" t="str">
        <f>IFERROR(VLOOKUP(A212,'Base MLB'!A:B,2,0)," ")</f>
        <v>Clássico</v>
      </c>
      <c r="E212" s="1">
        <f>IFERROR(VLOOKUP(A212,'Base MLB'!A:C,3,0)," ")</f>
        <v>0.115</v>
      </c>
      <c r="F212" s="1">
        <f t="shared" si="15"/>
        <v>6.9987574007747966E-2</v>
      </c>
      <c r="G212" s="1">
        <f t="shared" si="16"/>
        <v>5.5E-2</v>
      </c>
      <c r="H212" s="1">
        <f t="shared" si="17"/>
        <v>5.5E-2</v>
      </c>
      <c r="I212" s="2">
        <f>'Planilha CP Meli'!G214</f>
        <v>547.24</v>
      </c>
      <c r="J212" s="2">
        <f>IFERROR(INDEX('Base com preços'!$C:$O,MATCH(B212,'Base com preços'!$A:$A,0),MATCH(G212,'Base com preços'!$C$1:$O$1,0)),IFERROR(INDEX('Boa forma'!$C:$O,MATCH(A212,'Boa forma'!$A:$A,0),MATCH(G212,'Boa forma'!$C$1:$O$1,0)),""))</f>
        <v>494.76672449859223</v>
      </c>
      <c r="K212" s="2">
        <f t="shared" si="18"/>
        <v>-52.473275501407784</v>
      </c>
      <c r="L212" t="str">
        <f t="shared" si="19"/>
        <v>Sim</v>
      </c>
    </row>
    <row r="213" spans="1:12" x14ac:dyDescent="0.25">
      <c r="A213" t="str">
        <f>'Planilha CP Meli'!B150</f>
        <v>MLB4373956568</v>
      </c>
      <c r="B213" t="str">
        <f>'Planilha CP Meli'!C150</f>
        <v>PA51667</v>
      </c>
      <c r="C213">
        <f>'Planilha CP Meli'!E150</f>
        <v>40.93</v>
      </c>
      <c r="D213" t="str">
        <f>IFERROR(VLOOKUP(A213,'Base MLB'!A:B,2,0)," ")</f>
        <v>Clássico</v>
      </c>
      <c r="E213" s="1">
        <f>IFERROR(VLOOKUP(A213,'Base MLB'!A:C,3,0)," ")</f>
        <v>0.115</v>
      </c>
      <c r="F213" s="1">
        <f t="shared" si="15"/>
        <v>6.9986149821315596E-2</v>
      </c>
      <c r="G213" s="1">
        <f t="shared" si="16"/>
        <v>5.5E-2</v>
      </c>
      <c r="H213" s="1">
        <f t="shared" si="17"/>
        <v>5.5E-2</v>
      </c>
      <c r="I213" s="2">
        <f>'Planilha CP Meli'!G150</f>
        <v>584.83000000000004</v>
      </c>
      <c r="J213" s="2">
        <f>IFERROR(INDEX('Base com preços'!$C:$O,MATCH(B213,'Base com preços'!$A:$A,0),MATCH(G213,'Base com preços'!$C$1:$O$1,0)),IFERROR(INDEX('Boa forma'!$C:$O,MATCH(A213,'Boa forma'!$A:$A,0),MATCH(G213,'Boa forma'!$C$1:$O$1,0)),""))</f>
        <v>502.22201631880125</v>
      </c>
      <c r="K213" s="2">
        <f t="shared" si="18"/>
        <v>-82.607983681198789</v>
      </c>
      <c r="L213" t="str">
        <f t="shared" si="19"/>
        <v>Sim</v>
      </c>
    </row>
    <row r="214" spans="1:12" x14ac:dyDescent="0.25">
      <c r="A214" t="str">
        <f>'Planilha CP Meli'!B68</f>
        <v>MLB3618054039</v>
      </c>
      <c r="B214" t="str">
        <f>'Planilha CP Meli'!C68</f>
        <v>PA66721</v>
      </c>
      <c r="C214">
        <f>'Planilha CP Meli'!E68</f>
        <v>83.77</v>
      </c>
      <c r="D214" t="str">
        <f>IFERROR(VLOOKUP(A214,'Base MLB'!A:B,2,0)," ")</f>
        <v>Clássico</v>
      </c>
      <c r="E214" s="1">
        <f>IFERROR(VLOOKUP(A214,'Base MLB'!A:C,3,0)," ")</f>
        <v>0.115</v>
      </c>
      <c r="F214" s="1">
        <f t="shared" si="15"/>
        <v>6.1051956475792757E-2</v>
      </c>
      <c r="G214" s="1">
        <f t="shared" si="16"/>
        <v>6.5000000000000002E-2</v>
      </c>
      <c r="H214" s="1">
        <f t="shared" si="17"/>
        <v>6.5000000000000002E-2</v>
      </c>
      <c r="I214" s="2">
        <f>'Planilha CP Meli'!G68</f>
        <v>1372.11</v>
      </c>
      <c r="J214" s="2">
        <f>IFERROR(INDEX('Base com preços'!$C:$O,MATCH(B214,'Base com preços'!$A:$A,0),MATCH(G214,'Base com preços'!$C$1:$O$1,0)),IFERROR(INDEX('Boa forma'!$C:$O,MATCH(A214,'Boa forma'!$A:$A,0),MATCH(G214,'Boa forma'!$C$1:$O$1,0)),""))</f>
        <v>1214.7271980568391</v>
      </c>
      <c r="K214" s="2">
        <f t="shared" si="18"/>
        <v>-157.38280194316076</v>
      </c>
      <c r="L214" t="str">
        <f t="shared" si="19"/>
        <v>Sim</v>
      </c>
    </row>
    <row r="215" spans="1:12" x14ac:dyDescent="0.25">
      <c r="A215" t="str">
        <f>'Planilha CP Meli'!B217</f>
        <v>MLB5294273876</v>
      </c>
      <c r="B215" t="str">
        <f>'Planilha CP Meli'!C217</f>
        <v>PA69845</v>
      </c>
      <c r="C215">
        <f>'Planilha CP Meli'!E217</f>
        <v>79.58</v>
      </c>
      <c r="D215" t="str">
        <f>IFERROR(VLOOKUP(A215,'Base MLB'!A:B,2,0)," ")</f>
        <v>Premium</v>
      </c>
      <c r="E215" s="1">
        <f>IFERROR(VLOOKUP(A215,'Base MLB'!A:C,3,0)," ")</f>
        <v>0.16500000000000001</v>
      </c>
      <c r="F215" s="1">
        <f t="shared" si="15"/>
        <v>7.9991958586721618E-2</v>
      </c>
      <c r="G215" s="1">
        <f t="shared" si="16"/>
        <v>9.5000000000000001E-2</v>
      </c>
      <c r="H215" s="1">
        <f t="shared" si="17"/>
        <v>9.5000000000000001E-2</v>
      </c>
      <c r="I215" s="2">
        <f>'Planilha CP Meli'!G217</f>
        <v>994.85</v>
      </c>
      <c r="J215" s="2">
        <f>IFERROR(INDEX('Base com preços'!$C:$O,MATCH(B215,'Base com preços'!$A:$A,0),MATCH(G215,'Base com preços'!$C$1:$O$1,0)),IFERROR(INDEX('Boa forma'!$C:$O,MATCH(A215,'Boa forma'!$A:$A,0),MATCH(G215,'Boa forma'!$C$1:$O$1,0)),""))</f>
        <v>965.00307000700559</v>
      </c>
      <c r="K215" s="2">
        <f t="shared" si="18"/>
        <v>-29.846929992994433</v>
      </c>
      <c r="L215" t="str">
        <f t="shared" si="19"/>
        <v>Sim</v>
      </c>
    </row>
    <row r="216" spans="1:12" x14ac:dyDescent="0.25">
      <c r="A216" t="str">
        <f>'Planilha CP Meli'!B218</f>
        <v>MLB5337105180</v>
      </c>
      <c r="B216" t="str">
        <f>'Planilha CP Meli'!C218</f>
        <v>PA69858</v>
      </c>
      <c r="C216">
        <f>'Planilha CP Meli'!E218</f>
        <v>137.56</v>
      </c>
      <c r="D216" t="str">
        <f>IFERROR(VLOOKUP(A216,'Base MLB'!A:B,2,0)," ")</f>
        <v>Clássico</v>
      </c>
      <c r="E216" s="1">
        <f>IFERROR(VLOOKUP(A216,'Base MLB'!A:C,3,0)," ")</f>
        <v>0.115</v>
      </c>
      <c r="F216" s="1">
        <f t="shared" si="15"/>
        <v>6.2011450209619977E-2</v>
      </c>
      <c r="G216" s="1">
        <f t="shared" si="16"/>
        <v>6.5000000000000002E-2</v>
      </c>
      <c r="H216" s="1">
        <f t="shared" si="17"/>
        <v>6.5000000000000002E-2</v>
      </c>
      <c r="I216" s="2">
        <f>'Planilha CP Meli'!G218</f>
        <v>2218.3000000000002</v>
      </c>
      <c r="J216" s="2">
        <f>IFERROR(INDEX('Base com preços'!$C:$O,MATCH(B216,'Base com preços'!$A:$A,0),MATCH(G216,'Base com preços'!$C$1:$O$1,0)),IFERROR(INDEX('Boa forma'!$C:$O,MATCH(A216,'Boa forma'!$A:$A,0),MATCH(G216,'Boa forma'!$C$1:$O$1,0)),""))</f>
        <v>1963.854536390696</v>
      </c>
      <c r="K216" s="2">
        <f t="shared" si="18"/>
        <v>-254.44546360930417</v>
      </c>
      <c r="L216" t="str">
        <f t="shared" si="19"/>
        <v>Sim</v>
      </c>
    </row>
    <row r="217" spans="1:12" x14ac:dyDescent="0.25">
      <c r="A217" t="str">
        <f>'Planilha CP Meli'!B131</f>
        <v>MLB4266080051</v>
      </c>
      <c r="B217" t="str">
        <f>'Planilha CP Meli'!C131</f>
        <v>PA62583</v>
      </c>
      <c r="C217">
        <f>'Planilha CP Meli'!E131</f>
        <v>88.3</v>
      </c>
      <c r="D217" t="str">
        <f>IFERROR(VLOOKUP(A217,'Base MLB'!A:B,2,0)," ")</f>
        <v>Clássico</v>
      </c>
      <c r="E217" s="1">
        <f>IFERROR(VLOOKUP(A217,'Base MLB'!A:C,3,0)," ")</f>
        <v>0.115</v>
      </c>
      <c r="F217" s="1">
        <f t="shared" si="15"/>
        <v>5.7306404298953818E-2</v>
      </c>
      <c r="G217" s="1">
        <f t="shared" si="16"/>
        <v>6.5000000000000002E-2</v>
      </c>
      <c r="H217" s="1">
        <f t="shared" si="17"/>
        <v>6.5000000000000002E-2</v>
      </c>
      <c r="I217" s="2">
        <f>'Planilha CP Meli'!G131</f>
        <v>1540.84</v>
      </c>
      <c r="J217" s="2">
        <f>IFERROR(INDEX('Base com preços'!$C:$O,MATCH(B217,'Base com preços'!$A:$A,0),MATCH(G217,'Base com preços'!$C$1:$O$1,0)),IFERROR(INDEX('Boa forma'!$C:$O,MATCH(A217,'Boa forma'!$A:$A,0),MATCH(G217,'Boa forma'!$C$1:$O$1,0)),""))</f>
        <v>1364.0934091862275</v>
      </c>
      <c r="K217" s="2">
        <f t="shared" si="18"/>
        <v>-176.7465908137724</v>
      </c>
      <c r="L217" t="str">
        <f t="shared" si="19"/>
        <v>Sim</v>
      </c>
    </row>
    <row r="218" spans="1:12" x14ac:dyDescent="0.25">
      <c r="A218" t="str">
        <f>'Planilha CP Meli'!B219</f>
        <v>MLB5344533220</v>
      </c>
      <c r="B218" t="str">
        <f>'Planilha CP Meli'!C219</f>
        <v>PA66729</v>
      </c>
      <c r="C218">
        <f>'Planilha CP Meli'!E219</f>
        <v>94.93</v>
      </c>
      <c r="D218" t="str">
        <f>IFERROR(VLOOKUP(A218,'Base MLB'!A:B,2,0)," ")</f>
        <v>Clássico</v>
      </c>
      <c r="E218" s="1">
        <f>IFERROR(VLOOKUP(A218,'Base MLB'!A:C,3,0)," ")</f>
        <v>0.115</v>
      </c>
      <c r="F218" s="1">
        <f t="shared" si="15"/>
        <v>5.6690872608269841E-2</v>
      </c>
      <c r="G218" s="1">
        <f t="shared" si="16"/>
        <v>6.5000000000000002E-2</v>
      </c>
      <c r="H218" s="1">
        <f t="shared" si="17"/>
        <v>6.5000000000000002E-2</v>
      </c>
      <c r="I218" s="2">
        <f>'Planilha CP Meli'!G219</f>
        <v>1674.52</v>
      </c>
      <c r="J218" s="2">
        <f>IFERROR(INDEX('Base com preços'!$C:$O,MATCH(B218,'Base com preços'!$A:$A,0),MATCH(G218,'Base com preços'!$C$1:$O$1,0)),IFERROR(INDEX('Boa forma'!$C:$O,MATCH(A218,'Boa forma'!$A:$A,0),MATCH(G218,'Boa forma'!$C$1:$O$1,0)),""))</f>
        <v>1482.4471173975542</v>
      </c>
      <c r="K218" s="2">
        <f t="shared" si="18"/>
        <v>-192.07288260244582</v>
      </c>
      <c r="L218" t="str">
        <f t="shared" si="19"/>
        <v>Sim</v>
      </c>
    </row>
    <row r="219" spans="1:12" x14ac:dyDescent="0.25">
      <c r="A219" t="str">
        <f>'Planilha CP Meli'!B221</f>
        <v>MLB5382985182</v>
      </c>
      <c r="B219" t="str">
        <f>'Planilha CP Meli'!C221</f>
        <v>PA94887</v>
      </c>
      <c r="C219">
        <f>'Planilha CP Meli'!E221</f>
        <v>122.07</v>
      </c>
      <c r="D219" t="str">
        <f>IFERROR(VLOOKUP(A219,'Base MLB'!A:B,2,0)," ")</f>
        <v>Clássico</v>
      </c>
      <c r="E219" s="1">
        <f>IFERROR(VLOOKUP(A219,'Base MLB'!A:C,3,0)," ")</f>
        <v>0.115</v>
      </c>
      <c r="F219" s="1">
        <f t="shared" si="15"/>
        <v>7.9993971126940538E-2</v>
      </c>
      <c r="G219" s="1">
        <f t="shared" si="16"/>
        <v>4.4999999999999998E-2</v>
      </c>
      <c r="H219" s="1">
        <f t="shared" si="17"/>
        <v>4.4999999999999998E-2</v>
      </c>
      <c r="I219" s="2">
        <f>'Planilha CP Meli'!G221</f>
        <v>1525.99</v>
      </c>
      <c r="J219" s="2">
        <f>IFERROR(INDEX('Base com preços'!$C:$O,MATCH(B219,'Base com preços'!$A:$A,0),MATCH(G219,'Base com preços'!$C$1:$O$1,0)),IFERROR(INDEX('Boa forma'!$C:$O,MATCH(A219,'Boa forma'!$A:$A,0),MATCH(G219,'Boa forma'!$C$1:$O$1,0)),""))</f>
        <v>1271.1148660535166</v>
      </c>
      <c r="K219" s="2">
        <f t="shared" si="18"/>
        <v>-254.8751339464834</v>
      </c>
      <c r="L219" t="str">
        <f t="shared" si="19"/>
        <v>Sim</v>
      </c>
    </row>
    <row r="220" spans="1:12" x14ac:dyDescent="0.25">
      <c r="A220" t="str">
        <f>'Planilha CP Meli'!B222</f>
        <v>MLB5383543042</v>
      </c>
      <c r="B220" t="str">
        <f>'Planilha CP Meli'!C222</f>
        <v>PA94872</v>
      </c>
      <c r="C220">
        <f>'Planilha CP Meli'!E222</f>
        <v>195.23</v>
      </c>
      <c r="D220" t="str">
        <f>IFERROR(VLOOKUP(A220,'Base MLB'!A:B,2,0)," ")</f>
        <v>Clássico</v>
      </c>
      <c r="E220" s="1">
        <f>IFERROR(VLOOKUP(A220,'Base MLB'!A:C,3,0)," ")</f>
        <v>0.115</v>
      </c>
      <c r="F220" s="1">
        <f t="shared" si="15"/>
        <v>7.9996558054153274E-2</v>
      </c>
      <c r="G220" s="1">
        <f t="shared" si="16"/>
        <v>4.4999999999999998E-2</v>
      </c>
      <c r="H220" s="1">
        <f t="shared" si="17"/>
        <v>4.4999999999999998E-2</v>
      </c>
      <c r="I220" s="2">
        <f>'Planilha CP Meli'!G222</f>
        <v>2440.48</v>
      </c>
      <c r="J220" s="2">
        <f>IFERROR(INDEX('Base com preços'!$C:$O,MATCH(B220,'Base com preços'!$A:$A,0),MATCH(G220,'Base com preços'!$C$1:$O$1,0)),IFERROR(INDEX('Boa forma'!$C:$O,MATCH(A220,'Boa forma'!$A:$A,0),MATCH(G220,'Boa forma'!$C$1:$O$1,0)),""))</f>
        <v>2032.8598724136853</v>
      </c>
      <c r="K220" s="2">
        <f t="shared" si="18"/>
        <v>-407.62012758631477</v>
      </c>
      <c r="L220" t="str">
        <f t="shared" si="19"/>
        <v>Sim</v>
      </c>
    </row>
    <row r="221" spans="1:12" x14ac:dyDescent="0.25">
      <c r="A221" t="str">
        <f>'Planilha CP Meli'!B223</f>
        <v>MLB5383857290</v>
      </c>
      <c r="B221" t="str">
        <f>'Planilha CP Meli'!C223</f>
        <v>PA66718</v>
      </c>
      <c r="C221">
        <f>'Planilha CP Meli'!E223</f>
        <v>222.69</v>
      </c>
      <c r="D221" t="str">
        <f>IFERROR(VLOOKUP(A221,'Base MLB'!A:B,2,0)," ")</f>
        <v>Clássico</v>
      </c>
      <c r="E221" s="1">
        <f>IFERROR(VLOOKUP(A221,'Base MLB'!A:C,3,0)," ")</f>
        <v>0.115</v>
      </c>
      <c r="F221" s="1">
        <f t="shared" si="15"/>
        <v>6.7934716290420985E-2</v>
      </c>
      <c r="G221" s="1">
        <f t="shared" si="16"/>
        <v>5.5E-2</v>
      </c>
      <c r="H221" s="1">
        <f t="shared" si="17"/>
        <v>5.5E-2</v>
      </c>
      <c r="I221" s="2">
        <f>'Planilha CP Meli'!G223</f>
        <v>3278</v>
      </c>
      <c r="J221" s="2">
        <f>IFERROR(INDEX('Base com preços'!$C:$O,MATCH(B221,'Base com preços'!$A:$A,0),MATCH(G221,'Base com preços'!$C$1:$O$1,0)),IFERROR(INDEX('Boa forma'!$C:$O,MATCH(A221,'Boa forma'!$A:$A,0),MATCH(G221,'Boa forma'!$C$1:$O$1,0)),""))</f>
        <v>2911.0688611479832</v>
      </c>
      <c r="K221" s="2">
        <f t="shared" si="18"/>
        <v>-366.93113885201683</v>
      </c>
      <c r="L221" t="str">
        <f t="shared" si="19"/>
        <v>Sim</v>
      </c>
    </row>
    <row r="222" spans="1:12" x14ac:dyDescent="0.25">
      <c r="A222" t="str">
        <f>'Planilha CP Meli'!B224</f>
        <v>MLB5384701450</v>
      </c>
      <c r="B222" t="str">
        <f>'Planilha CP Meli'!C224</f>
        <v>PA94879</v>
      </c>
      <c r="C222">
        <f>'Planilha CP Meli'!E224</f>
        <v>182.38</v>
      </c>
      <c r="D222" t="str">
        <f>IFERROR(VLOOKUP(A222,'Base MLB'!A:B,2,0)," ")</f>
        <v>Clássico</v>
      </c>
      <c r="E222" s="1">
        <f>IFERROR(VLOOKUP(A222,'Base MLB'!A:C,3,0)," ")</f>
        <v>0.115</v>
      </c>
      <c r="F222" s="1">
        <f t="shared" si="15"/>
        <v>7.9996841883640951E-2</v>
      </c>
      <c r="G222" s="1">
        <f t="shared" si="16"/>
        <v>4.4999999999999998E-2</v>
      </c>
      <c r="H222" s="1">
        <f t="shared" si="17"/>
        <v>4.4999999999999998E-2</v>
      </c>
      <c r="I222" s="2">
        <f>'Planilha CP Meli'!G224</f>
        <v>2279.84</v>
      </c>
      <c r="J222" s="2">
        <f>IFERROR(INDEX('Base com preços'!$C:$O,MATCH(B222,'Base com preços'!$A:$A,0),MATCH(G222,'Base com preços'!$C$1:$O$1,0)),IFERROR(INDEX('Boa forma'!$C:$O,MATCH(A222,'Boa forma'!$A:$A,0),MATCH(G222,'Boa forma'!$C$1:$O$1,0)),""))</f>
        <v>1899.0476272139661</v>
      </c>
      <c r="K222" s="2">
        <f t="shared" si="18"/>
        <v>-380.79237278603409</v>
      </c>
      <c r="L222" t="str">
        <f t="shared" si="19"/>
        <v>Sim</v>
      </c>
    </row>
    <row r="223" spans="1:12" x14ac:dyDescent="0.25">
      <c r="A223" t="str">
        <f>'Planilha CP Meli'!B225</f>
        <v>MLB5399660054</v>
      </c>
      <c r="B223" t="str">
        <f>'Planilha CP Meli'!C225</f>
        <v>PA52128</v>
      </c>
      <c r="C223">
        <f>'Planilha CP Meli'!E225</f>
        <v>30.8</v>
      </c>
      <c r="D223" t="str">
        <f>IFERROR(VLOOKUP(A223,'Base MLB'!A:B,2,0)," ")</f>
        <v>Clássico</v>
      </c>
      <c r="E223" s="1">
        <f>IFERROR(VLOOKUP(A223,'Base MLB'!A:C,3,0)," ")</f>
        <v>0.115</v>
      </c>
      <c r="F223" s="1">
        <f t="shared" si="15"/>
        <v>7.0000000000000007E-2</v>
      </c>
      <c r="G223" s="1">
        <f t="shared" si="16"/>
        <v>5.5E-2</v>
      </c>
      <c r="H223" s="1">
        <f t="shared" si="17"/>
        <v>5.5E-2</v>
      </c>
      <c r="I223" s="2">
        <f>'Planilha CP Meli'!G225</f>
        <v>440</v>
      </c>
      <c r="J223" s="2">
        <f>IFERROR(INDEX('Base com preços'!$C:$O,MATCH(B223,'Base com preços'!$A:$A,0),MATCH(G223,'Base com preços'!$C$1:$O$1,0)),IFERROR(INDEX('Boa forma'!$C:$O,MATCH(A223,'Boa forma'!$A:$A,0),MATCH(G223,'Boa forma'!$C$1:$O$1,0)),""))</f>
        <v>440.55642312643857</v>
      </c>
      <c r="K223" s="2">
        <f t="shared" si="18"/>
        <v>0.55642312643857395</v>
      </c>
      <c r="L223" t="str">
        <f t="shared" si="19"/>
        <v>Sim</v>
      </c>
    </row>
    <row r="224" spans="1:12" x14ac:dyDescent="0.25">
      <c r="A224" t="str">
        <f>'Planilha CP Meli'!B96</f>
        <v>MLB4060837947</v>
      </c>
      <c r="B224" t="str">
        <f>'Planilha CP Meli'!C96</f>
        <v>PA63735</v>
      </c>
      <c r="C224">
        <f>'Planilha CP Meli'!E96</f>
        <v>83.87</v>
      </c>
      <c r="D224" t="str">
        <f>IFERROR(VLOOKUP(A224,'Base MLB'!A:B,2,0)," ")</f>
        <v>Premium</v>
      </c>
      <c r="E224" s="1">
        <f>IFERROR(VLOOKUP(A224,'Base MLB'!A:C,3,0)," ")</f>
        <v>0.16500000000000001</v>
      </c>
      <c r="F224" s="1">
        <f t="shared" si="15"/>
        <v>7.9411068503526958E-2</v>
      </c>
      <c r="G224" s="1">
        <f t="shared" si="16"/>
        <v>9.5000000000000001E-2</v>
      </c>
      <c r="H224" s="1">
        <f t="shared" si="17"/>
        <v>9.5000000000000001E-2</v>
      </c>
      <c r="I224" s="2">
        <f>'Planilha CP Meli'!G96</f>
        <v>1056.1500000000001</v>
      </c>
      <c r="J224" s="2">
        <f>IFERROR(INDEX('Base com preços'!$C:$O,MATCH(B224,'Base com preços'!$A:$A,0),MATCH(G224,'Base com preços'!$C$1:$O$1,0)),IFERROR(INDEX('Boa forma'!$C:$O,MATCH(A224,'Boa forma'!$A:$A,0),MATCH(G224,'Boa forma'!$C$1:$O$1,0)),""))</f>
        <v>1024.469566700993</v>
      </c>
      <c r="K224" s="2">
        <f t="shared" si="18"/>
        <v>-31.680433299007063</v>
      </c>
      <c r="L224" t="str">
        <f t="shared" si="19"/>
        <v>Sim</v>
      </c>
    </row>
    <row r="225" spans="1:12" x14ac:dyDescent="0.25">
      <c r="A225" t="str">
        <f>'Planilha CP Meli'!B227</f>
        <v>MLB5418204886</v>
      </c>
      <c r="B225" t="str">
        <f>'Planilha CP Meli'!C227</f>
        <v>PA66802</v>
      </c>
      <c r="C225">
        <f>'Planilha CP Meli'!E227</f>
        <v>292.74</v>
      </c>
      <c r="D225" t="str">
        <f>IFERROR(VLOOKUP(A225,'Base MLB'!A:B,2,0)," ")</f>
        <v>Clássico</v>
      </c>
      <c r="E225" s="1">
        <f>IFERROR(VLOOKUP(A225,'Base MLB'!A:C,3,0)," ")</f>
        <v>0.115</v>
      </c>
      <c r="F225" s="1">
        <f t="shared" si="15"/>
        <v>7.9997813819394165E-2</v>
      </c>
      <c r="G225" s="1">
        <f t="shared" si="16"/>
        <v>4.4999999999999998E-2</v>
      </c>
      <c r="H225" s="1">
        <f t="shared" si="17"/>
        <v>4.4999999999999998E-2</v>
      </c>
      <c r="I225" s="2">
        <f>'Planilha CP Meli'!G227</f>
        <v>3659.35</v>
      </c>
      <c r="J225" s="2">
        <f>IFERROR(INDEX('Base com preços'!$C:$O,MATCH(B225,'Base com preços'!$A:$A,0),MATCH(G225,'Base com preços'!$C$1:$O$1,0)),IFERROR(INDEX('Boa forma'!$C:$O,MATCH(A225,'Boa forma'!$A:$A,0),MATCH(G225,'Boa forma'!$C$1:$O$1,0)),""))</f>
        <v>3218.5067923806732</v>
      </c>
      <c r="K225" s="2">
        <f t="shared" si="18"/>
        <v>-440.84320761932668</v>
      </c>
      <c r="L225" t="str">
        <f t="shared" si="19"/>
        <v>Sim</v>
      </c>
    </row>
    <row r="226" spans="1:12" x14ac:dyDescent="0.25">
      <c r="A226" t="str">
        <f>'Planilha CP Meli'!B130</f>
        <v>MLB4264624677</v>
      </c>
      <c r="B226" t="str">
        <f>'Planilha CP Meli'!C130</f>
        <v>PA56274</v>
      </c>
      <c r="C226">
        <f>'Planilha CP Meli'!E130</f>
        <v>92.52</v>
      </c>
      <c r="D226" t="str">
        <f>IFERROR(VLOOKUP(A226,'Base MLB'!A:B,2,0)," ")</f>
        <v>Clássico</v>
      </c>
      <c r="E226" s="1">
        <f>IFERROR(VLOOKUP(A226,'Base MLB'!A:C,3,0)," ")</f>
        <v>0.115</v>
      </c>
      <c r="F226" s="1">
        <f t="shared" si="15"/>
        <v>6.4671261411136438E-2</v>
      </c>
      <c r="G226" s="1">
        <f t="shared" si="16"/>
        <v>6.5000000000000002E-2</v>
      </c>
      <c r="H226" s="1">
        <f t="shared" si="17"/>
        <v>6.5000000000000002E-2</v>
      </c>
      <c r="I226" s="2">
        <f>'Planilha CP Meli'!G130</f>
        <v>1430.62</v>
      </c>
      <c r="J226" s="2">
        <f>IFERROR(INDEX('Base com preços'!$C:$O,MATCH(B226,'Base com preços'!$A:$A,0),MATCH(G226,'Base com preços'!$C$1:$O$1,0)),IFERROR(INDEX('Boa forma'!$C:$O,MATCH(A226,'Boa forma'!$A:$A,0),MATCH(G226,'Boa forma'!$C$1:$O$1,0)),""))</f>
        <v>1266.5267682816061</v>
      </c>
      <c r="K226" s="2">
        <f t="shared" si="18"/>
        <v>-164.09323171839378</v>
      </c>
      <c r="L226" t="str">
        <f t="shared" si="19"/>
        <v>Sim</v>
      </c>
    </row>
    <row r="227" spans="1:12" x14ac:dyDescent="0.25">
      <c r="A227" t="str">
        <f>'Planilha CP Meli'!B118</f>
        <v>MLB4218390202</v>
      </c>
      <c r="B227" t="str">
        <f>'Planilha CP Meli'!C118</f>
        <v>PA66712</v>
      </c>
      <c r="C227">
        <f>'Planilha CP Meli'!E118</f>
        <v>89.36</v>
      </c>
      <c r="D227" t="str">
        <f>IFERROR(VLOOKUP(A227,'Base MLB'!A:B,2,0)," ")</f>
        <v>Clássico</v>
      </c>
      <c r="E227" s="1">
        <f>IFERROR(VLOOKUP(A227,'Base MLB'!A:C,3,0)," ")</f>
        <v>0.115</v>
      </c>
      <c r="F227" s="1">
        <f t="shared" si="15"/>
        <v>0.08</v>
      </c>
      <c r="G227" s="1">
        <f t="shared" si="16"/>
        <v>4.4999999999999998E-2</v>
      </c>
      <c r="H227" s="1">
        <f t="shared" si="17"/>
        <v>4.4999999999999998E-2</v>
      </c>
      <c r="I227" s="2">
        <f>'Planilha CP Meli'!G118</f>
        <v>1117</v>
      </c>
      <c r="J227" s="2">
        <f>IFERROR(INDEX('Base com preços'!$C:$O,MATCH(B227,'Base com preços'!$A:$A,0),MATCH(G227,'Base com preços'!$C$1:$O$1,0)),IFERROR(INDEX('Boa forma'!$C:$O,MATCH(A227,'Boa forma'!$A:$A,0),MATCH(G227,'Boa forma'!$C$1:$O$1,0)),""))</f>
        <v>1241.4995065226954</v>
      </c>
      <c r="K227" s="2">
        <f t="shared" si="18"/>
        <v>124.49950652269536</v>
      </c>
      <c r="L227" t="str">
        <f t="shared" si="19"/>
        <v>Não</v>
      </c>
    </row>
    <row r="228" spans="1:12" x14ac:dyDescent="0.25">
      <c r="A228" t="str">
        <f>'Planilha CP Meli'!B156</f>
        <v>MLB4443041318</v>
      </c>
      <c r="B228" t="str">
        <f>'Planilha CP Meli'!C156</f>
        <v>PA66410</v>
      </c>
      <c r="C228">
        <f>'Planilha CP Meli'!E156</f>
        <v>97.61</v>
      </c>
      <c r="D228" t="str">
        <f>IFERROR(VLOOKUP(A228,'Base MLB'!A:B,2,0)," ")</f>
        <v>Clássico</v>
      </c>
      <c r="E228" s="1">
        <f>IFERROR(VLOOKUP(A228,'Base MLB'!A:C,3,0)," ")</f>
        <v>0.115</v>
      </c>
      <c r="F228" s="1">
        <f t="shared" si="15"/>
        <v>5.5058860691662485E-2</v>
      </c>
      <c r="G228" s="1">
        <f t="shared" si="16"/>
        <v>6.5000000000000002E-2</v>
      </c>
      <c r="H228" s="1">
        <f t="shared" si="17"/>
        <v>6.5000000000000002E-2</v>
      </c>
      <c r="I228" s="2">
        <f>'Planilha CP Meli'!G156</f>
        <v>1772.83</v>
      </c>
      <c r="J228" s="2">
        <f>IFERROR(INDEX('Base com preços'!$C:$O,MATCH(B228,'Base com preços'!$A:$A,0),MATCH(G228,'Base com preços'!$C$1:$O$1,0)),IFERROR(INDEX('Boa forma'!$C:$O,MATCH(A228,'Boa forma'!$A:$A,0),MATCH(G228,'Boa forma'!$C$1:$O$1,0)),""))</f>
        <v>1569.4774998961832</v>
      </c>
      <c r="K228" s="2">
        <f t="shared" si="18"/>
        <v>-203.35250010381674</v>
      </c>
      <c r="L228" t="str">
        <f t="shared" si="19"/>
        <v>Sim</v>
      </c>
    </row>
    <row r="229" spans="1:12" x14ac:dyDescent="0.25">
      <c r="A229" t="str">
        <f>'Planilha CP Meli'!B67</f>
        <v>MLB3617991437</v>
      </c>
      <c r="B229" t="str">
        <f>'Planilha CP Meli'!C67</f>
        <v>PA65756</v>
      </c>
      <c r="C229">
        <f>'Planilha CP Meli'!E67</f>
        <v>90.59</v>
      </c>
      <c r="D229" t="str">
        <f>IFERROR(VLOOKUP(A229,'Base MLB'!A:B,2,0)," ")</f>
        <v>Clássico</v>
      </c>
      <c r="E229" s="1">
        <f>IFERROR(VLOOKUP(A229,'Base MLB'!A:C,3,0)," ")</f>
        <v>0.115</v>
      </c>
      <c r="F229" s="1">
        <f t="shared" si="15"/>
        <v>6.6557928688458348E-2</v>
      </c>
      <c r="G229" s="1">
        <f t="shared" si="16"/>
        <v>5.5E-2</v>
      </c>
      <c r="H229" s="1">
        <f t="shared" si="17"/>
        <v>5.5E-2</v>
      </c>
      <c r="I229" s="2">
        <f>'Planilha CP Meli'!G67</f>
        <v>1361.07</v>
      </c>
      <c r="J229" s="2">
        <f>IFERROR(INDEX('Base com preços'!$C:$O,MATCH(B229,'Base com preços'!$A:$A,0),MATCH(G229,'Base com preços'!$C$1:$O$1,0)),IFERROR(INDEX('Boa forma'!$C:$O,MATCH(A229,'Boa forma'!$A:$A,0),MATCH(G229,'Boa forma'!$C$1:$O$1,0)),""))</f>
        <v>1168.8079174917639</v>
      </c>
      <c r="K229" s="2">
        <f t="shared" si="18"/>
        <v>-192.26208250823606</v>
      </c>
      <c r="L229" t="str">
        <f t="shared" si="19"/>
        <v>Sim</v>
      </c>
    </row>
    <row r="230" spans="1:12" x14ac:dyDescent="0.25">
      <c r="A230" t="str">
        <f>'Planilha CP Meli'!B37</f>
        <v>MLB3556277387</v>
      </c>
      <c r="B230" t="str">
        <f>'Planilha CP Meli'!C37</f>
        <v>PA33096</v>
      </c>
      <c r="C230">
        <f>'Planilha CP Meli'!E37</f>
        <v>112.95</v>
      </c>
      <c r="D230" t="str">
        <f>IFERROR(VLOOKUP(A230,'Base MLB'!A:B,2,0)," ")</f>
        <v>Premium</v>
      </c>
      <c r="E230" s="1">
        <f>IFERROR(VLOOKUP(A230,'Base MLB'!A:C,3,0)," ")</f>
        <v>0.16500000000000001</v>
      </c>
      <c r="F230" s="1">
        <f t="shared" si="15"/>
        <v>7.7030095955152741E-2</v>
      </c>
      <c r="G230" s="1">
        <f t="shared" si="16"/>
        <v>9.5000000000000001E-2</v>
      </c>
      <c r="H230" s="1">
        <f t="shared" si="17"/>
        <v>9.5000000000000001E-2</v>
      </c>
      <c r="I230" s="2">
        <f>'Planilha CP Meli'!G37</f>
        <v>1466.31</v>
      </c>
      <c r="J230" s="2">
        <f>IFERROR(INDEX('Base com preços'!$C:$O,MATCH(B230,'Base com preços'!$A:$A,0),MATCH(G230,'Base com preços'!$C$1:$O$1,0)),IFERROR(INDEX('Boa forma'!$C:$O,MATCH(A230,'Boa forma'!$A:$A,0),MATCH(G230,'Boa forma'!$C$1:$O$1,0)),""))</f>
        <v>1422.3237824856942</v>
      </c>
      <c r="K230" s="2">
        <f t="shared" si="18"/>
        <v>-43.986217514305736</v>
      </c>
      <c r="L230" t="str">
        <f t="shared" si="19"/>
        <v>Sim</v>
      </c>
    </row>
    <row r="231" spans="1:12" x14ac:dyDescent="0.25">
      <c r="A231" t="str">
        <f>'Planilha CP Meli'!B233</f>
        <v>MLB5459760650</v>
      </c>
      <c r="B231" t="str">
        <f>'Planilha CP Meli'!C233</f>
        <v>PA94826</v>
      </c>
      <c r="C231">
        <f>'Planilha CP Meli'!E233</f>
        <v>73.599999999999994</v>
      </c>
      <c r="D231" t="str">
        <f>IFERROR(VLOOKUP(A231,'Base MLB'!A:B,2,0)," ")</f>
        <v>Premium</v>
      </c>
      <c r="E231" s="1">
        <f>IFERROR(VLOOKUP(A231,'Base MLB'!A:C,3,0)," ")</f>
        <v>0.16500000000000001</v>
      </c>
      <c r="F231" s="1">
        <f t="shared" si="15"/>
        <v>7.9999999999999988E-2</v>
      </c>
      <c r="G231" s="1">
        <f t="shared" si="16"/>
        <v>9.5000000000000001E-2</v>
      </c>
      <c r="H231" s="1">
        <f t="shared" si="17"/>
        <v>9.5000000000000001E-2</v>
      </c>
      <c r="I231" s="2">
        <f>'Planilha CP Meli'!G233</f>
        <v>920</v>
      </c>
      <c r="J231" s="2">
        <f>IFERROR(INDEX('Base com preços'!$C:$O,MATCH(B231,'Base com preços'!$A:$A,0),MATCH(G231,'Base com preços'!$C$1:$O$1,0)),IFERROR(INDEX('Boa forma'!$C:$O,MATCH(A231,'Boa forma'!$A:$A,0),MATCH(G231,'Boa forma'!$C$1:$O$1,0)),""))</f>
        <v>1170.3278999899144</v>
      </c>
      <c r="K231" s="2">
        <f t="shared" si="18"/>
        <v>250.32789998991439</v>
      </c>
      <c r="L231" t="str">
        <f t="shared" si="19"/>
        <v>Não</v>
      </c>
    </row>
    <row r="232" spans="1:12" x14ac:dyDescent="0.25">
      <c r="A232" t="str">
        <f>'Planilha CP Meli'!B234</f>
        <v>MLB5509431728</v>
      </c>
      <c r="B232" t="str">
        <f>'Planilha CP Meli'!C234</f>
        <v>PA94832</v>
      </c>
      <c r="C232">
        <f>'Planilha CP Meli'!E234</f>
        <v>214.49</v>
      </c>
      <c r="D232" t="str">
        <f>IFERROR(VLOOKUP(A232,'Base MLB'!A:B,2,0)," ")</f>
        <v>Premium</v>
      </c>
      <c r="E232" s="1">
        <f>IFERROR(VLOOKUP(A232,'Base MLB'!A:C,3,0)," ")</f>
        <v>0.16500000000000001</v>
      </c>
      <c r="F232" s="1">
        <f t="shared" si="15"/>
        <v>7.9999552429190574E-2</v>
      </c>
      <c r="G232" s="1">
        <f t="shared" si="16"/>
        <v>9.5000000000000001E-2</v>
      </c>
      <c r="H232" s="1">
        <f t="shared" si="17"/>
        <v>9.5000000000000001E-2</v>
      </c>
      <c r="I232" s="2">
        <f>'Planilha CP Meli'!G234</f>
        <v>2681.14</v>
      </c>
      <c r="J232" s="2">
        <f>IFERROR(INDEX('Base com preços'!$C:$O,MATCH(B232,'Base com preços'!$A:$A,0),MATCH(G232,'Base com preços'!$C$1:$O$1,0)),IFERROR(INDEX('Boa forma'!$C:$O,MATCH(A232,'Boa forma'!$A:$A,0),MATCH(G232,'Boa forma'!$C$1:$O$1,0)),""))</f>
        <v>2600.7070435869141</v>
      </c>
      <c r="K232" s="2">
        <f t="shared" si="18"/>
        <v>-80.432956413085776</v>
      </c>
      <c r="L232" t="str">
        <f t="shared" si="19"/>
        <v>Sim</v>
      </c>
    </row>
    <row r="233" spans="1:12" x14ac:dyDescent="0.25">
      <c r="A233" t="str">
        <f>'Planilha CP Meli'!B235</f>
        <v>MLB5759673428</v>
      </c>
      <c r="B233" t="str">
        <f>'Planilha CP Meli'!C235</f>
        <v>PA67579</v>
      </c>
      <c r="C233">
        <f>'Planilha CP Meli'!E235</f>
        <v>269.01</v>
      </c>
      <c r="D233" t="str">
        <f>IFERROR(VLOOKUP(A233,'Base MLB'!A:B,2,0)," ")</f>
        <v>Clássico</v>
      </c>
      <c r="E233" s="1">
        <f>IFERROR(VLOOKUP(A233,'Base MLB'!A:C,3,0)," ")</f>
        <v>0.115</v>
      </c>
      <c r="F233" s="1">
        <f t="shared" si="15"/>
        <v>6.1101003699993862E-2</v>
      </c>
      <c r="G233" s="1">
        <f t="shared" si="16"/>
        <v>6.5000000000000002E-2</v>
      </c>
      <c r="H233" s="1">
        <f t="shared" si="17"/>
        <v>6.5000000000000002E-2</v>
      </c>
      <c r="I233" s="2">
        <f>'Planilha CP Meli'!G235</f>
        <v>4402.71</v>
      </c>
      <c r="J233" s="2">
        <f>IFERROR(INDEX('Base com preços'!$C:$O,MATCH(B233,'Base com preços'!$A:$A,0),MATCH(G233,'Base com preços'!$C$1:$O$1,0)),IFERROR(INDEX('Boa forma'!$C:$O,MATCH(A233,'Boa forma'!$A:$A,0),MATCH(G233,'Boa forma'!$C$1:$O$1,0)),""))</f>
        <v>3897.6988147929787</v>
      </c>
      <c r="K233" s="2">
        <f t="shared" si="18"/>
        <v>-505.0111852070213</v>
      </c>
      <c r="L233" t="str">
        <f t="shared" si="19"/>
        <v>Sim</v>
      </c>
    </row>
    <row r="234" spans="1:12" x14ac:dyDescent="0.25">
      <c r="A234" t="str">
        <f>'Planilha CP Meli'!B236</f>
        <v>MLB5827784420</v>
      </c>
      <c r="B234" t="str">
        <f>'Planilha CP Meli'!C236</f>
        <v>PA66715</v>
      </c>
      <c r="C234">
        <f>'Planilha CP Meli'!E236</f>
        <v>161.84</v>
      </c>
      <c r="D234" t="str">
        <f>IFERROR(VLOOKUP(A234,'Base MLB'!A:B,2,0)," ")</f>
        <v>Premium</v>
      </c>
      <c r="E234" s="1">
        <f>IFERROR(VLOOKUP(A234,'Base MLB'!A:C,3,0)," ")</f>
        <v>0.16500000000000001</v>
      </c>
      <c r="F234" s="1">
        <f t="shared" si="15"/>
        <v>0.08</v>
      </c>
      <c r="G234" s="1">
        <f t="shared" si="16"/>
        <v>9.5000000000000001E-2</v>
      </c>
      <c r="H234" s="1">
        <f t="shared" si="17"/>
        <v>9.5000000000000001E-2</v>
      </c>
      <c r="I234" s="2">
        <f>'Planilha CP Meli'!G236</f>
        <v>2023</v>
      </c>
      <c r="J234" s="2">
        <f>IFERROR(INDEX('Base com preços'!$C:$O,MATCH(B234,'Base com preços'!$A:$A,0),MATCH(G234,'Base com preços'!$C$1:$O$1,0)),IFERROR(INDEX('Boa forma'!$C:$O,MATCH(A234,'Boa forma'!$A:$A,0),MATCH(G234,'Boa forma'!$C$1:$O$1,0)),""))</f>
        <v>2248.6898481033872</v>
      </c>
      <c r="K234" s="2">
        <f t="shared" si="18"/>
        <v>225.68984810338725</v>
      </c>
      <c r="L234" t="str">
        <f t="shared" si="19"/>
        <v>Não</v>
      </c>
    </row>
    <row r="235" spans="1:12" x14ac:dyDescent="0.25">
      <c r="A235" t="str">
        <f>'Planilha CP Meli'!B237</f>
        <v>MLB5828819464</v>
      </c>
      <c r="B235" t="str">
        <f>'Planilha CP Meli'!C237</f>
        <v>PA66413</v>
      </c>
      <c r="C235">
        <f>'Planilha CP Meli'!E237</f>
        <v>184.33</v>
      </c>
      <c r="D235" t="str">
        <f>IFERROR(VLOOKUP(A235,'Base MLB'!A:B,2,0)," ")</f>
        <v>Clássico</v>
      </c>
      <c r="E235" s="1">
        <f>IFERROR(VLOOKUP(A235,'Base MLB'!A:C,3,0)," ")</f>
        <v>0.115</v>
      </c>
      <c r="F235" s="1">
        <f t="shared" si="15"/>
        <v>7.0474122275450482E-2</v>
      </c>
      <c r="G235" s="1">
        <f t="shared" si="16"/>
        <v>5.5E-2</v>
      </c>
      <c r="H235" s="1">
        <f t="shared" si="17"/>
        <v>5.5E-2</v>
      </c>
      <c r="I235" s="2">
        <f>'Planilha CP Meli'!G237</f>
        <v>2615.5700000000002</v>
      </c>
      <c r="J235" s="2">
        <f>IFERROR(INDEX('Base com preços'!$C:$O,MATCH(B235,'Base com preços'!$A:$A,0),MATCH(G235,'Base com preços'!$C$1:$O$1,0)),IFERROR(INDEX('Boa forma'!$C:$O,MATCH(A235,'Boa forma'!$A:$A,0),MATCH(G235,'Boa forma'!$C$1:$O$1,0)),""))</f>
        <v>2246.0809361565048</v>
      </c>
      <c r="K235" s="2">
        <f t="shared" si="18"/>
        <v>-369.48906384349539</v>
      </c>
      <c r="L235" t="str">
        <f t="shared" si="19"/>
        <v>Sim</v>
      </c>
    </row>
    <row r="236" spans="1:12" x14ac:dyDescent="0.25">
      <c r="A236" t="str">
        <f>'Planilha CP Meli'!B238</f>
        <v>MLB5828859016</v>
      </c>
      <c r="B236" t="str">
        <f>'Planilha CP Meli'!C238</f>
        <v>PA67578</v>
      </c>
      <c r="C236">
        <f>'Planilha CP Meli'!E238</f>
        <v>254</v>
      </c>
      <c r="D236" t="str">
        <f>IFERROR(VLOOKUP(A236,'Base MLB'!A:B,2,0)," ")</f>
        <v>Premium</v>
      </c>
      <c r="E236" s="1">
        <f>IFERROR(VLOOKUP(A236,'Base MLB'!A:C,3,0)," ")</f>
        <v>0.16500000000000001</v>
      </c>
      <c r="F236" s="1">
        <f t="shared" si="15"/>
        <v>6.6666666666666666E-2</v>
      </c>
      <c r="G236" s="1">
        <f t="shared" si="16"/>
        <v>0.105</v>
      </c>
      <c r="H236" s="1">
        <f t="shared" si="17"/>
        <v>0.105</v>
      </c>
      <c r="I236" s="2">
        <f>'Planilha CP Meli'!G238</f>
        <v>3810</v>
      </c>
      <c r="J236" s="2">
        <f>IFERROR(INDEX('Base com preços'!$C:$O,MATCH(B236,'Base com preços'!$A:$A,0),MATCH(G236,'Base com preços'!$C$1:$O$1,0)),IFERROR(INDEX('Boa forma'!$C:$O,MATCH(A236,'Boa forma'!$A:$A,0),MATCH(G236,'Boa forma'!$C$1:$O$1,0)),""))</f>
        <v>3659.3593201711515</v>
      </c>
      <c r="K236" s="2">
        <f t="shared" si="18"/>
        <v>-150.64067982884853</v>
      </c>
      <c r="L236" t="str">
        <f t="shared" si="19"/>
        <v>Sim</v>
      </c>
    </row>
    <row r="237" spans="1:12" x14ac:dyDescent="0.25">
      <c r="A237" t="str">
        <f>'Planilha CP Meli'!B239</f>
        <v>MLB5828879392</v>
      </c>
      <c r="B237" t="str">
        <f>'Planilha CP Meli'!C239</f>
        <v>PA66322</v>
      </c>
      <c r="C237">
        <f>'Planilha CP Meli'!E239</f>
        <v>83.75</v>
      </c>
      <c r="D237" t="str">
        <f>IFERROR(VLOOKUP(A237,'Base MLB'!A:B,2,0)," ")</f>
        <v>Clássico</v>
      </c>
      <c r="E237" s="1">
        <f>IFERROR(VLOOKUP(A237,'Base MLB'!A:C,3,0)," ")</f>
        <v>0.115</v>
      </c>
      <c r="F237" s="1">
        <f t="shared" si="15"/>
        <v>4.8485234436963405E-2</v>
      </c>
      <c r="G237" s="1">
        <f t="shared" si="16"/>
        <v>7.4999999999999997E-2</v>
      </c>
      <c r="H237" s="1">
        <f t="shared" si="17"/>
        <v>7.4999999999999997E-2</v>
      </c>
      <c r="I237" s="2">
        <f>'Planilha CP Meli'!G239</f>
        <v>1727.33</v>
      </c>
      <c r="J237" s="2">
        <f>IFERROR(INDEX('Base com preços'!$C:$O,MATCH(B237,'Base com preços'!$A:$A,0),MATCH(G237,'Base com preços'!$C$1:$O$1,0)),IFERROR(INDEX('Boa forma'!$C:$O,MATCH(A237,'Boa forma'!$A:$A,0),MATCH(G237,'Boa forma'!$C$1:$O$1,0)),""))</f>
        <v>1576.4921680825144</v>
      </c>
      <c r="K237" s="2">
        <f t="shared" si="18"/>
        <v>-150.83783191748557</v>
      </c>
      <c r="L237" t="str">
        <f t="shared" si="19"/>
        <v>Sim</v>
      </c>
    </row>
    <row r="238" spans="1:12" x14ac:dyDescent="0.25">
      <c r="A238" t="str">
        <f>'Planilha CP Meli'!B240</f>
        <v>MLB5828969980</v>
      </c>
      <c r="B238" t="str">
        <f>'Planilha CP Meli'!C240</f>
        <v>PA66747</v>
      </c>
      <c r="C238">
        <f>'Planilha CP Meli'!E240</f>
        <v>242.16</v>
      </c>
      <c r="D238" t="str">
        <f>IFERROR(VLOOKUP(A238,'Base MLB'!A:B,2,0)," ")</f>
        <v>Premium</v>
      </c>
      <c r="E238" s="1">
        <f>IFERROR(VLOOKUP(A238,'Base MLB'!A:C,3,0)," ")</f>
        <v>0.16500000000000001</v>
      </c>
      <c r="F238" s="1">
        <f t="shared" si="15"/>
        <v>0.08</v>
      </c>
      <c r="G238" s="1">
        <f t="shared" si="16"/>
        <v>9.5000000000000001E-2</v>
      </c>
      <c r="H238" s="1">
        <f t="shared" si="17"/>
        <v>9.5000000000000001E-2</v>
      </c>
      <c r="I238" s="2">
        <f>'Planilha CP Meli'!G240</f>
        <v>3027</v>
      </c>
      <c r="J238" s="2">
        <f>IFERROR(INDEX('Base com preços'!$C:$O,MATCH(B238,'Base com preços'!$A:$A,0),MATCH(G238,'Base com preços'!$C$1:$O$1,0)),IFERROR(INDEX('Boa forma'!$C:$O,MATCH(A238,'Boa forma'!$A:$A,0),MATCH(G238,'Boa forma'!$C$1:$O$1,0)),""))</f>
        <v>3600.1208925948472</v>
      </c>
      <c r="K238" s="2">
        <f t="shared" si="18"/>
        <v>573.12089259484719</v>
      </c>
      <c r="L238" t="str">
        <f t="shared" si="19"/>
        <v>Não</v>
      </c>
    </row>
    <row r="239" spans="1:12" x14ac:dyDescent="0.25">
      <c r="A239" t="str">
        <f>'Planilha CP Meli'!B241</f>
        <v>MLB5829433338</v>
      </c>
      <c r="B239" t="str">
        <f>'Planilha CP Meli'!C241</f>
        <v>PA66322</v>
      </c>
      <c r="C239">
        <f>'Planilha CP Meli'!E241</f>
        <v>115.35</v>
      </c>
      <c r="D239" t="str">
        <f>IFERROR(VLOOKUP(A239,'Base MLB'!A:B,2,0)," ")</f>
        <v>Premium</v>
      </c>
      <c r="E239" s="1">
        <f>IFERROR(VLOOKUP(A239,'Base MLB'!A:C,3,0)," ")</f>
        <v>0.16500000000000001</v>
      </c>
      <c r="F239" s="1">
        <f t="shared" si="15"/>
        <v>6.677897808190629E-2</v>
      </c>
      <c r="G239" s="1">
        <f t="shared" si="16"/>
        <v>0.105</v>
      </c>
      <c r="H239" s="1">
        <f t="shared" si="17"/>
        <v>0.105</v>
      </c>
      <c r="I239" s="2">
        <f>'Planilha CP Meli'!G241</f>
        <v>1727.34</v>
      </c>
      <c r="J239" s="2">
        <f>IFERROR(INDEX('Base com preços'!$C:$O,MATCH(B239,'Base com preços'!$A:$A,0),MATCH(G239,'Base com preços'!$C$1:$O$1,0)),IFERROR(INDEX('Boa forma'!$C:$O,MATCH(A239,'Boa forma'!$A:$A,0),MATCH(G239,'Boa forma'!$C$1:$O$1,0)),""))</f>
        <v>1727.3351661356414</v>
      </c>
      <c r="K239" s="2">
        <f t="shared" si="18"/>
        <v>-4.8338643584884267E-3</v>
      </c>
      <c r="L239" t="str">
        <f t="shared" si="19"/>
        <v>Sim</v>
      </c>
    </row>
    <row r="240" spans="1:12" x14ac:dyDescent="0.25">
      <c r="A240" t="str">
        <f>'Planilha CP Meli'!B242</f>
        <v>MLB5829499888</v>
      </c>
      <c r="B240" t="str">
        <f>'Planilha CP Meli'!C242</f>
        <v>PA62583</v>
      </c>
      <c r="C240">
        <f>'Planilha CP Meli'!E242</f>
        <v>117.3</v>
      </c>
      <c r="D240" t="str">
        <f>IFERROR(VLOOKUP(A240,'Base MLB'!A:B,2,0)," ")</f>
        <v>Premium</v>
      </c>
      <c r="E240" s="1">
        <f>IFERROR(VLOOKUP(A240,'Base MLB'!A:C,3,0)," ")</f>
        <v>0.16500000000000001</v>
      </c>
      <c r="F240" s="1">
        <f t="shared" si="15"/>
        <v>7.6127307183094933E-2</v>
      </c>
      <c r="G240" s="1">
        <f t="shared" si="16"/>
        <v>9.5000000000000001E-2</v>
      </c>
      <c r="H240" s="1">
        <f t="shared" si="17"/>
        <v>9.5000000000000001E-2</v>
      </c>
      <c r="I240" s="2">
        <f>'Planilha CP Meli'!G242</f>
        <v>1540.84</v>
      </c>
      <c r="J240" s="2">
        <f>IFERROR(INDEX('Base com preços'!$C:$O,MATCH(B240,'Base com preços'!$A:$A,0),MATCH(G240,'Base com preços'!$C$1:$O$1,0)),IFERROR(INDEX('Boa forma'!$C:$O,MATCH(A240,'Boa forma'!$A:$A,0),MATCH(G240,'Boa forma'!$C$1:$O$1,0)),""))</f>
        <v>1494.613524434521</v>
      </c>
      <c r="K240" s="2">
        <f t="shared" si="18"/>
        <v>-46.22647556547895</v>
      </c>
      <c r="L240" t="str">
        <f t="shared" si="19"/>
        <v>Sim</v>
      </c>
    </row>
    <row r="241" spans="1:12" x14ac:dyDescent="0.25">
      <c r="A241" t="str">
        <f>'Planilha CP Meli'!B243</f>
        <v>MLB5829578638</v>
      </c>
      <c r="B241" t="str">
        <f>'Planilha CP Meli'!C243</f>
        <v>PA67578</v>
      </c>
      <c r="C241">
        <f>'Planilha CP Meli'!E243</f>
        <v>243.75</v>
      </c>
      <c r="D241" t="str">
        <f>IFERROR(VLOOKUP(A241,'Base MLB'!A:B,2,0)," ")</f>
        <v>Clássico</v>
      </c>
      <c r="E241" s="1">
        <f>IFERROR(VLOOKUP(A241,'Base MLB'!A:C,3,0)," ")</f>
        <v>0.115</v>
      </c>
      <c r="F241" s="1">
        <f t="shared" si="15"/>
        <v>6.6610190334348993E-2</v>
      </c>
      <c r="G241" s="1">
        <f t="shared" si="16"/>
        <v>5.5E-2</v>
      </c>
      <c r="H241" s="1">
        <f t="shared" si="17"/>
        <v>5.5E-2</v>
      </c>
      <c r="I241" s="2">
        <f>'Planilha CP Meli'!G243</f>
        <v>3659.35</v>
      </c>
      <c r="J241" s="2">
        <f>IFERROR(INDEX('Base com preços'!$C:$O,MATCH(B241,'Base com preços'!$A:$A,0),MATCH(G241,'Base com preços'!$C$1:$O$1,0)),IFERROR(INDEX('Boa forma'!$C:$O,MATCH(A241,'Boa forma'!$A:$A,0),MATCH(G241,'Boa forma'!$C$1:$O$1,0)),""))</f>
        <v>3142.4163604933879</v>
      </c>
      <c r="K241" s="2">
        <f t="shared" si="18"/>
        <v>-516.93363950661205</v>
      </c>
      <c r="L241" t="str">
        <f t="shared" si="19"/>
        <v>Sim</v>
      </c>
    </row>
    <row r="242" spans="1:12" x14ac:dyDescent="0.25">
      <c r="A242" t="str">
        <f>'Planilha CP Meli'!B113</f>
        <v>MLB4130660210</v>
      </c>
      <c r="B242" t="str">
        <f>'Planilha CP Meli'!C113</f>
        <v>PA66730</v>
      </c>
      <c r="C242">
        <f>'Planilha CP Meli'!E113</f>
        <v>156.24</v>
      </c>
      <c r="D242" t="str">
        <f>IFERROR(VLOOKUP(A242,'Base MLB'!A:B,2,0)," ")</f>
        <v>Clássico</v>
      </c>
      <c r="E242" s="1">
        <f>IFERROR(VLOOKUP(A242,'Base MLB'!A:C,3,0)," ")</f>
        <v>0.115</v>
      </c>
      <c r="F242" s="1">
        <f t="shared" si="15"/>
        <v>0.08</v>
      </c>
      <c r="G242" s="1">
        <f t="shared" si="16"/>
        <v>4.4999999999999998E-2</v>
      </c>
      <c r="H242" s="1">
        <f t="shared" si="17"/>
        <v>4.4999999999999998E-2</v>
      </c>
      <c r="I242" s="2">
        <f>'Planilha CP Meli'!G113</f>
        <v>1953</v>
      </c>
      <c r="J242" s="2">
        <f>IFERROR(INDEX('Base com preços'!$C:$O,MATCH(B242,'Base com preços'!$A:$A,0),MATCH(G242,'Base com preços'!$C$1:$O$1,0)),IFERROR(INDEX('Boa forma'!$C:$O,MATCH(A242,'Boa forma'!$A:$A,0),MATCH(G242,'Boa forma'!$C$1:$O$1,0)),""))</f>
        <v>2108.969317141019</v>
      </c>
      <c r="K242" s="2">
        <f t="shared" si="18"/>
        <v>155.96931714101902</v>
      </c>
      <c r="L242" t="str">
        <f t="shared" si="19"/>
        <v>Não</v>
      </c>
    </row>
    <row r="243" spans="1:12" x14ac:dyDescent="0.25">
      <c r="A243" t="str">
        <f>'Planilha CP Meli'!B245</f>
        <v>MLB5830475252</v>
      </c>
      <c r="B243" t="str">
        <f>'Planilha CP Meli'!C245</f>
        <v>PA66743</v>
      </c>
      <c r="C243">
        <f>'Planilha CP Meli'!E245</f>
        <v>109.57</v>
      </c>
      <c r="D243" t="str">
        <f>IFERROR(VLOOKUP(A243,'Base MLB'!A:B,2,0)," ")</f>
        <v>Clássico</v>
      </c>
      <c r="E243" s="1">
        <f>IFERROR(VLOOKUP(A243,'Base MLB'!A:C,3,0)," ")</f>
        <v>0.115</v>
      </c>
      <c r="F243" s="1">
        <f t="shared" si="15"/>
        <v>4.9779203314676161E-2</v>
      </c>
      <c r="G243" s="1">
        <f t="shared" si="16"/>
        <v>7.4999999999999997E-2</v>
      </c>
      <c r="H243" s="1">
        <f t="shared" si="17"/>
        <v>7.4999999999999997E-2</v>
      </c>
      <c r="I243" s="2">
        <f>'Planilha CP Meli'!G245</f>
        <v>2201.12</v>
      </c>
      <c r="J243" s="2">
        <f>IFERROR(INDEX('Base com preços'!$C:$O,MATCH(B243,'Base com preços'!$A:$A,0),MATCH(G243,'Base com preços'!$C$1:$O$1,0)),IFERROR(INDEX('Boa forma'!$C:$O,MATCH(A243,'Boa forma'!$A:$A,0),MATCH(G243,'Boa forma'!$C$1:$O$1,0)),""))</f>
        <v>2008.9105664128404</v>
      </c>
      <c r="K243" s="2">
        <f t="shared" si="18"/>
        <v>-192.20943358715954</v>
      </c>
      <c r="L243" t="str">
        <f t="shared" si="19"/>
        <v>Sim</v>
      </c>
    </row>
    <row r="244" spans="1:12" x14ac:dyDescent="0.25">
      <c r="A244" t="str">
        <f>'Planilha CP Meli'!B246</f>
        <v>MLB5830702212</v>
      </c>
      <c r="B244" t="str">
        <f>'Planilha CP Meli'!C246</f>
        <v>PA56273</v>
      </c>
      <c r="C244">
        <f>'Planilha CP Meli'!E246</f>
        <v>72.45</v>
      </c>
      <c r="D244" t="str">
        <f>IFERROR(VLOOKUP(A244,'Base MLB'!A:B,2,0)," ")</f>
        <v>Clássico</v>
      </c>
      <c r="E244" s="1">
        <f>IFERROR(VLOOKUP(A244,'Base MLB'!A:C,3,0)," ")</f>
        <v>0.115</v>
      </c>
      <c r="F244" s="1">
        <f t="shared" si="15"/>
        <v>6.5662470431496242E-2</v>
      </c>
      <c r="G244" s="1">
        <f t="shared" si="16"/>
        <v>5.5E-2</v>
      </c>
      <c r="H244" s="1">
        <f t="shared" si="17"/>
        <v>5.5E-2</v>
      </c>
      <c r="I244" s="2">
        <f>'Planilha CP Meli'!G246</f>
        <v>1103.3699999999999</v>
      </c>
      <c r="J244" s="2">
        <f>IFERROR(INDEX('Base com preços'!$C:$O,MATCH(B244,'Base com preços'!$A:$A,0),MATCH(G244,'Base com preços'!$C$1:$O$1,0)),IFERROR(INDEX('Boa forma'!$C:$O,MATCH(A244,'Boa forma'!$A:$A,0),MATCH(G244,'Boa forma'!$C$1:$O$1,0)),""))</f>
        <v>947.49780783264134</v>
      </c>
      <c r="K244" s="2">
        <f t="shared" si="18"/>
        <v>-155.87219216735855</v>
      </c>
      <c r="L244" t="str">
        <f t="shared" si="19"/>
        <v>Sim</v>
      </c>
    </row>
    <row r="245" spans="1:12" x14ac:dyDescent="0.25">
      <c r="A245" t="str">
        <f>'Planilha CP Meli'!B98</f>
        <v>MLB4063028548</v>
      </c>
      <c r="B245" t="str">
        <f>'Planilha CP Meli'!C98</f>
        <v>PA85366</v>
      </c>
      <c r="C245">
        <f>'Planilha CP Meli'!E98</f>
        <v>107.82</v>
      </c>
      <c r="D245" t="str">
        <f>IFERROR(VLOOKUP(A245,'Base MLB'!A:B,2,0)," ")</f>
        <v>Premium</v>
      </c>
      <c r="E245" s="1">
        <f>IFERROR(VLOOKUP(A245,'Base MLB'!A:C,3,0)," ")</f>
        <v>0.16500000000000001</v>
      </c>
      <c r="F245" s="1">
        <f t="shared" si="15"/>
        <v>4.6639386100753522E-2</v>
      </c>
      <c r="G245" s="1">
        <f t="shared" si="16"/>
        <v>0.125</v>
      </c>
      <c r="H245" s="1">
        <f t="shared" si="17"/>
        <v>0.125</v>
      </c>
      <c r="I245" s="2">
        <f>'Planilha CP Meli'!G98</f>
        <v>2311.7800000000002</v>
      </c>
      <c r="J245" s="2">
        <f>IFERROR(INDEX('Base com preços'!$C:$O,MATCH(B245,'Base com preços'!$A:$A,0),MATCH(G245,'Base com preços'!$C$1:$O$1,0)),IFERROR(INDEX('Boa forma'!$C:$O,MATCH(A245,'Boa forma'!$A:$A,0),MATCH(G245,'Boa forma'!$C$1:$O$1,0)),""))</f>
        <v>2109.9071321013403</v>
      </c>
      <c r="K245" s="2">
        <f t="shared" si="18"/>
        <v>-201.87286789865993</v>
      </c>
      <c r="L245" t="str">
        <f t="shared" si="19"/>
        <v>Sim</v>
      </c>
    </row>
    <row r="246" spans="1:12" x14ac:dyDescent="0.25">
      <c r="A246" t="str">
        <f>'Planilha CP Meli'!B105</f>
        <v>MLB4111546529</v>
      </c>
      <c r="B246" t="str">
        <f>'Planilha CP Meli'!C105</f>
        <v>PA33099</v>
      </c>
      <c r="C246">
        <f>'Planilha CP Meli'!E105</f>
        <v>116.37</v>
      </c>
      <c r="D246" t="str">
        <f>IFERROR(VLOOKUP(A246,'Base MLB'!A:B,2,0)," ")</f>
        <v>Clássico</v>
      </c>
      <c r="E246" s="1">
        <f>IFERROR(VLOOKUP(A246,'Base MLB'!A:C,3,0)," ")</f>
        <v>0.115</v>
      </c>
      <c r="F246" s="1">
        <f t="shared" si="15"/>
        <v>5.6568278597678358E-2</v>
      </c>
      <c r="G246" s="1">
        <f t="shared" si="16"/>
        <v>6.5000000000000002E-2</v>
      </c>
      <c r="H246" s="1">
        <f t="shared" si="17"/>
        <v>6.5000000000000002E-2</v>
      </c>
      <c r="I246" s="2">
        <f>'Planilha CP Meli'!G105</f>
        <v>2057.16</v>
      </c>
      <c r="J246" s="2">
        <f>IFERROR(INDEX('Base com preços'!$C:$O,MATCH(B246,'Base com preços'!$A:$A,0),MATCH(G246,'Base com preços'!$C$1:$O$1,0)),IFERROR(INDEX('Boa forma'!$C:$O,MATCH(A246,'Boa forma'!$A:$A,0),MATCH(G246,'Boa forma'!$C$1:$O$1,0)),""))</f>
        <v>1821.1868736518734</v>
      </c>
      <c r="K246" s="2">
        <f t="shared" si="18"/>
        <v>-235.97312634812647</v>
      </c>
      <c r="L246" t="str">
        <f t="shared" si="19"/>
        <v>Sim</v>
      </c>
    </row>
    <row r="247" spans="1:12" x14ac:dyDescent="0.25">
      <c r="A247" t="str">
        <f>'Planilha CP Meli'!B249</f>
        <v>MLB5831891288</v>
      </c>
      <c r="B247" t="str">
        <f>'Planilha CP Meli'!C249</f>
        <v>PA69857</v>
      </c>
      <c r="C247">
        <f>'Planilha CP Meli'!E249</f>
        <v>135.83000000000001</v>
      </c>
      <c r="D247" t="str">
        <f>IFERROR(VLOOKUP(A247,'Base MLB'!A:B,2,0)," ")</f>
        <v>Clássico</v>
      </c>
      <c r="E247" s="1">
        <f>IFERROR(VLOOKUP(A247,'Base MLB'!A:C,3,0)," ")</f>
        <v>0.115</v>
      </c>
      <c r="F247" s="1">
        <f t="shared" si="15"/>
        <v>6.5441633463256238E-2</v>
      </c>
      <c r="G247" s="1">
        <f t="shared" si="16"/>
        <v>5.5E-2</v>
      </c>
      <c r="H247" s="1">
        <f t="shared" si="17"/>
        <v>5.5E-2</v>
      </c>
      <c r="I247" s="2">
        <f>'Planilha CP Meli'!G249</f>
        <v>2075.59</v>
      </c>
      <c r="J247" s="2">
        <f>IFERROR(INDEX('Base com preços'!$C:$O,MATCH(B247,'Base com preços'!$A:$A,0),MATCH(G247,'Base com preços'!$C$1:$O$1,0)),IFERROR(INDEX('Boa forma'!$C:$O,MATCH(A247,'Boa forma'!$A:$A,0),MATCH(G247,'Boa forma'!$C$1:$O$1,0)),""))</f>
        <v>1782.3829947705894</v>
      </c>
      <c r="K247" s="2">
        <f t="shared" si="18"/>
        <v>-293.2070052294107</v>
      </c>
      <c r="L247" t="str">
        <f t="shared" si="19"/>
        <v>Sim</v>
      </c>
    </row>
    <row r="248" spans="1:12" x14ac:dyDescent="0.25">
      <c r="A248" t="str">
        <f>'Planilha CP Meli'!B250</f>
        <v>MLB5873522132</v>
      </c>
      <c r="B248" t="str">
        <f>'Planilha CP Meli'!C250</f>
        <v>PA52103</v>
      </c>
      <c r="C248">
        <f>'Planilha CP Meli'!E250</f>
        <v>71.37</v>
      </c>
      <c r="D248" t="str">
        <f>IFERROR(VLOOKUP(A248,'Base MLB'!A:B,2,0)," ")</f>
        <v>Clássico</v>
      </c>
      <c r="E248" s="1">
        <f>IFERROR(VLOOKUP(A248,'Base MLB'!A:C,3,0)," ")</f>
        <v>0.115</v>
      </c>
      <c r="F248" s="1">
        <f t="shared" si="15"/>
        <v>6.00656455142232E-2</v>
      </c>
      <c r="G248" s="1">
        <f t="shared" si="16"/>
        <v>6.5000000000000002E-2</v>
      </c>
      <c r="H248" s="1">
        <f t="shared" si="17"/>
        <v>6.5000000000000002E-2</v>
      </c>
      <c r="I248" s="2">
        <f>'Planilha CP Meli'!G250</f>
        <v>1188.2</v>
      </c>
      <c r="J248" s="2">
        <f>IFERROR(INDEX('Base com preços'!$C:$O,MATCH(B248,'Base com preços'!$A:$A,0),MATCH(G248,'Base com preços'!$C$1:$O$1,0)),IFERROR(INDEX('Boa forma'!$C:$O,MATCH(A248,'Boa forma'!$A:$A,0),MATCH(G248,'Boa forma'!$C$1:$O$1,0)),""))</f>
        <v>1051.9068002452652</v>
      </c>
      <c r="K248" s="2">
        <f t="shared" si="18"/>
        <v>-136.29319975473481</v>
      </c>
      <c r="L248" t="str">
        <f t="shared" si="19"/>
        <v>Sim</v>
      </c>
    </row>
    <row r="249" spans="1:12" x14ac:dyDescent="0.25">
      <c r="A249" t="str">
        <f>'Planilha CP Meli'!B251</f>
        <v>MLB5875093080</v>
      </c>
      <c r="B249" t="str">
        <f>'Planilha CP Meli'!C251</f>
        <v>PA85354</v>
      </c>
      <c r="C249">
        <f>'Planilha CP Meli'!E251</f>
        <v>267.48</v>
      </c>
      <c r="D249" t="str">
        <f>IFERROR(VLOOKUP(A249,'Base MLB'!A:B,2,0)," ")</f>
        <v>Premium</v>
      </c>
      <c r="E249" s="1">
        <f>IFERROR(VLOOKUP(A249,'Base MLB'!A:C,3,0)," ")</f>
        <v>0.16500000000000001</v>
      </c>
      <c r="F249" s="1">
        <f t="shared" si="15"/>
        <v>7.9999521462410877E-2</v>
      </c>
      <c r="G249" s="1">
        <f t="shared" si="16"/>
        <v>9.5000000000000001E-2</v>
      </c>
      <c r="H249" s="1">
        <f t="shared" si="17"/>
        <v>9.5000000000000001E-2</v>
      </c>
      <c r="I249" s="2">
        <f>'Planilha CP Meli'!G251</f>
        <v>3343.52</v>
      </c>
      <c r="J249" s="2">
        <f>IFERROR(INDEX('Base com preços'!$C:$O,MATCH(B249,'Base com preços'!$A:$A,0),MATCH(G249,'Base com preços'!$C$1:$O$1,0)),IFERROR(INDEX('Boa forma'!$C:$O,MATCH(A249,'Boa forma'!$A:$A,0),MATCH(G249,'Boa forma'!$C$1:$O$1,0)),""))</f>
        <v>3243.2107081360323</v>
      </c>
      <c r="K249" s="2">
        <f t="shared" si="18"/>
        <v>-100.3092918639677</v>
      </c>
      <c r="L249" t="str">
        <f t="shared" si="19"/>
        <v>Sim</v>
      </c>
    </row>
    <row r="250" spans="1:12" x14ac:dyDescent="0.25">
      <c r="A250" t="str">
        <f>'Planilha CP Meli'!B252</f>
        <v>MLB5904735008</v>
      </c>
      <c r="B250" t="str">
        <f>'Planilha CP Meli'!C252</f>
        <v>PA94864</v>
      </c>
      <c r="C250">
        <f>'Planilha CP Meli'!E252</f>
        <v>157.82</v>
      </c>
      <c r="D250" t="str">
        <f>IFERROR(VLOOKUP(A250,'Base MLB'!A:B,2,0)," ")</f>
        <v>Clássico</v>
      </c>
      <c r="E250" s="1">
        <f>IFERROR(VLOOKUP(A250,'Base MLB'!A:C,3,0)," ")</f>
        <v>0.115</v>
      </c>
      <c r="F250" s="1">
        <f t="shared" si="15"/>
        <v>7.9995133992609754E-2</v>
      </c>
      <c r="G250" s="1">
        <f t="shared" si="16"/>
        <v>4.4999999999999998E-2</v>
      </c>
      <c r="H250" s="1">
        <f t="shared" si="17"/>
        <v>4.4999999999999998E-2</v>
      </c>
      <c r="I250" s="2">
        <f>'Planilha CP Meli'!G252</f>
        <v>1972.87</v>
      </c>
      <c r="J250" s="2">
        <f>IFERROR(INDEX('Base com preços'!$C:$O,MATCH(B250,'Base com preços'!$A:$A,0),MATCH(G250,'Base com preços'!$C$1:$O$1,0)),IFERROR(INDEX('Boa forma'!$C:$O,MATCH(A250,'Boa forma'!$A:$A,0),MATCH(G250,'Boa forma'!$C$1:$O$1,0)),""))</f>
        <v>1643.3540323611035</v>
      </c>
      <c r="K250" s="2">
        <f t="shared" si="18"/>
        <v>-329.51596763889643</v>
      </c>
      <c r="L250" t="str">
        <f t="shared" si="19"/>
        <v>Sim</v>
      </c>
    </row>
    <row r="251" spans="1:12" x14ac:dyDescent="0.25">
      <c r="A251" t="str">
        <f>'Planilha CP Meli'!B253</f>
        <v>MLB5904901678</v>
      </c>
      <c r="B251" t="str">
        <f>'Planilha CP Meli'!C253</f>
        <v>PA51521</v>
      </c>
      <c r="C251">
        <f>'Planilha CP Meli'!E253</f>
        <v>45.82</v>
      </c>
      <c r="D251" t="str">
        <f>IFERROR(VLOOKUP(A251,'Base MLB'!A:B,2,0)," ")</f>
        <v>Clássico</v>
      </c>
      <c r="E251" s="1">
        <f>IFERROR(VLOOKUP(A251,'Base MLB'!A:C,3,0)," ")</f>
        <v>0.115</v>
      </c>
      <c r="F251" s="1">
        <f t="shared" si="15"/>
        <v>6.999159856411824E-2</v>
      </c>
      <c r="G251" s="1">
        <f t="shared" si="16"/>
        <v>5.5E-2</v>
      </c>
      <c r="H251" s="1">
        <f t="shared" si="17"/>
        <v>5.5E-2</v>
      </c>
      <c r="I251" s="2">
        <f>'Planilha CP Meli'!G253</f>
        <v>654.65</v>
      </c>
      <c r="J251" s="2">
        <f>IFERROR(INDEX('Base com preços'!$C:$O,MATCH(B251,'Base com preços'!$A:$A,0),MATCH(G251,'Base com preços'!$C$1:$O$1,0)),IFERROR(INDEX('Boa forma'!$C:$O,MATCH(A251,'Boa forma'!$A:$A,0),MATCH(G251,'Boa forma'!$C$1:$O$1,0)),""))</f>
        <v>562.17706920908063</v>
      </c>
      <c r="K251" s="2">
        <f t="shared" si="18"/>
        <v>-92.472930790919349</v>
      </c>
      <c r="L251" t="str">
        <f t="shared" si="19"/>
        <v>Sim</v>
      </c>
    </row>
    <row r="252" spans="1:12" x14ac:dyDescent="0.25">
      <c r="A252">
        <f>'Planilha CP Meli'!B254</f>
        <v>0</v>
      </c>
      <c r="B252">
        <f>'Planilha CP Meli'!C254</f>
        <v>0</v>
      </c>
      <c r="C252">
        <f>'Planilha CP Meli'!E254</f>
        <v>0</v>
      </c>
      <c r="D252" t="str">
        <f>IFERROR(VLOOKUP(A252,'Base MLB'!A:B,2,0)," ")</f>
        <v xml:space="preserve"> </v>
      </c>
      <c r="E252" s="1" t="str">
        <f>IFERROR(VLOOKUP(A252,'Base MLB'!A:C,3,0)," ")</f>
        <v xml:space="preserve"> </v>
      </c>
      <c r="F252" s="1" t="str">
        <f t="shared" si="15"/>
        <v xml:space="preserve"> </v>
      </c>
      <c r="G252" s="1" t="str">
        <f t="shared" si="16"/>
        <v/>
      </c>
      <c r="H252" s="1" t="str">
        <f t="shared" si="17"/>
        <v/>
      </c>
      <c r="I252" s="2">
        <f>'Planilha CP Meli'!G254</f>
        <v>0</v>
      </c>
      <c r="J252" s="2" t="str">
        <f>IFERROR(INDEX('Base com preços'!$C:$O,MATCH(B252,'Base com preços'!$A:$A,0),MATCH(G252,'Base com preços'!$C$1:$O$1,0)),IFERROR(INDEX('Boa forma'!$C:$O,MATCH(A252,'Boa forma'!$A:$A,0),MATCH(G252,'Boa forma'!$C$1:$O$1,0)),""))</f>
        <v/>
      </c>
      <c r="K252" s="2" t="str">
        <f t="shared" si="18"/>
        <v xml:space="preserve"> </v>
      </c>
      <c r="L252" t="str">
        <f t="shared" si="19"/>
        <v>Não</v>
      </c>
    </row>
    <row r="253" spans="1:12" x14ac:dyDescent="0.25">
      <c r="A253">
        <f>'Planilha CP Meli'!B255</f>
        <v>0</v>
      </c>
      <c r="B253">
        <f>'Planilha CP Meli'!C255</f>
        <v>0</v>
      </c>
      <c r="C253">
        <f>'Planilha CP Meli'!E255</f>
        <v>0</v>
      </c>
      <c r="D253" t="str">
        <f>IFERROR(VLOOKUP(A253,'Base MLB'!A:B,2,0)," ")</f>
        <v xml:space="preserve"> </v>
      </c>
      <c r="E253" s="1" t="str">
        <f>IFERROR(VLOOKUP(A253,'Base MLB'!A:C,3,0)," ")</f>
        <v xml:space="preserve"> </v>
      </c>
      <c r="F253" s="1" t="str">
        <f t="shared" si="15"/>
        <v xml:space="preserve"> </v>
      </c>
      <c r="G253" s="1" t="str">
        <f t="shared" si="16"/>
        <v/>
      </c>
      <c r="H253" s="1" t="str">
        <f t="shared" si="17"/>
        <v/>
      </c>
      <c r="I253" s="2">
        <f>'Planilha CP Meli'!G255</f>
        <v>0</v>
      </c>
      <c r="J253" s="2" t="str">
        <f>IFERROR(INDEX('Base com preços'!$C:$O,MATCH(B253,'Base com preços'!$A:$A,0),MATCH(G253,'Base com preços'!$C$1:$O$1,0)),IFERROR(INDEX('Boa forma'!$C:$O,MATCH(A253,'Boa forma'!$A:$A,0),MATCH(G253,'Boa forma'!$C$1:$O$1,0)),""))</f>
        <v/>
      </c>
      <c r="K253" s="2" t="str">
        <f t="shared" si="18"/>
        <v xml:space="preserve"> </v>
      </c>
      <c r="L253" t="str">
        <f t="shared" si="19"/>
        <v>Não</v>
      </c>
    </row>
    <row r="254" spans="1:12" x14ac:dyDescent="0.25">
      <c r="A254">
        <f>'Planilha CP Meli'!B256</f>
        <v>0</v>
      </c>
      <c r="B254">
        <f>'Planilha CP Meli'!C256</f>
        <v>0</v>
      </c>
      <c r="C254">
        <f>'Planilha CP Meli'!E256</f>
        <v>0</v>
      </c>
      <c r="D254" t="str">
        <f>IFERROR(VLOOKUP(A254,'Base MLB'!A:B,2,0)," ")</f>
        <v xml:space="preserve"> </v>
      </c>
      <c r="E254" s="1" t="str">
        <f>IFERROR(VLOOKUP(A254,'Base MLB'!A:C,3,0)," ")</f>
        <v xml:space="preserve"> </v>
      </c>
      <c r="F254" s="1" t="str">
        <f t="shared" si="15"/>
        <v xml:space="preserve"> </v>
      </c>
      <c r="G254" s="1" t="str">
        <f t="shared" si="16"/>
        <v/>
      </c>
      <c r="H254" s="1" t="str">
        <f t="shared" si="17"/>
        <v/>
      </c>
      <c r="I254" s="2">
        <f>'Planilha CP Meli'!G256</f>
        <v>0</v>
      </c>
      <c r="J254" s="2" t="str">
        <f>IFERROR(INDEX('Base com preços'!$C:$O,MATCH(B254,'Base com preços'!$A:$A,0),MATCH(G254,'Base com preços'!$C$1:$O$1,0)),IFERROR(INDEX('Boa forma'!$C:$O,MATCH(A254,'Boa forma'!$A:$A,0),MATCH(G254,'Boa forma'!$C$1:$O$1,0)),""))</f>
        <v/>
      </c>
      <c r="K254" s="2" t="str">
        <f t="shared" si="18"/>
        <v xml:space="preserve"> </v>
      </c>
      <c r="L254" t="str">
        <f t="shared" si="19"/>
        <v>Não</v>
      </c>
    </row>
    <row r="255" spans="1:12" x14ac:dyDescent="0.25">
      <c r="A255">
        <f>'Planilha CP Meli'!B257</f>
        <v>0</v>
      </c>
      <c r="B255">
        <f>'Planilha CP Meli'!C257</f>
        <v>0</v>
      </c>
      <c r="C255">
        <f>'Planilha CP Meli'!E257</f>
        <v>0</v>
      </c>
      <c r="D255" t="str">
        <f>IFERROR(VLOOKUP(A255,'Base MLB'!A:B,2,0)," ")</f>
        <v xml:space="preserve"> </v>
      </c>
      <c r="E255" s="1" t="str">
        <f>IFERROR(VLOOKUP(A255,'Base MLB'!A:C,3,0)," ")</f>
        <v xml:space="preserve"> </v>
      </c>
      <c r="F255" s="1" t="str">
        <f t="shared" si="15"/>
        <v xml:space="preserve"> </v>
      </c>
      <c r="G255" s="1" t="str">
        <f t="shared" si="16"/>
        <v/>
      </c>
      <c r="H255" s="1" t="str">
        <f t="shared" si="17"/>
        <v/>
      </c>
      <c r="I255" s="2">
        <f>'Planilha CP Meli'!G257</f>
        <v>0</v>
      </c>
      <c r="J255" s="2" t="str">
        <f>IFERROR(INDEX('Base com preços'!$C:$O,MATCH(B255,'Base com preços'!$A:$A,0),MATCH(G255,'Base com preços'!$C$1:$O$1,0)),IFERROR(INDEX('Boa forma'!$C:$O,MATCH(A255,'Boa forma'!$A:$A,0),MATCH(G255,'Boa forma'!$C$1:$O$1,0)),""))</f>
        <v/>
      </c>
      <c r="K255" s="2" t="str">
        <f t="shared" si="18"/>
        <v xml:space="preserve"> </v>
      </c>
      <c r="L255" t="str">
        <f t="shared" si="19"/>
        <v>Não</v>
      </c>
    </row>
    <row r="256" spans="1:12" x14ac:dyDescent="0.25">
      <c r="A256">
        <f>'Planilha CP Meli'!B258</f>
        <v>0</v>
      </c>
      <c r="B256">
        <f>'Planilha CP Meli'!C258</f>
        <v>0</v>
      </c>
      <c r="C256">
        <f>'Planilha CP Meli'!E258</f>
        <v>0</v>
      </c>
      <c r="D256" t="str">
        <f>IFERROR(VLOOKUP(A256,'Base MLB'!A:B,2,0)," ")</f>
        <v xml:space="preserve"> </v>
      </c>
      <c r="E256" s="1" t="str">
        <f>IFERROR(VLOOKUP(A256,'Base MLB'!A:C,3,0)," ")</f>
        <v xml:space="preserve"> </v>
      </c>
      <c r="F256" s="1" t="str">
        <f t="shared" si="15"/>
        <v xml:space="preserve"> </v>
      </c>
      <c r="G256" s="1" t="str">
        <f t="shared" si="16"/>
        <v/>
      </c>
      <c r="H256" s="1" t="str">
        <f t="shared" si="17"/>
        <v/>
      </c>
      <c r="I256" s="2">
        <f>'Planilha CP Meli'!G258</f>
        <v>0</v>
      </c>
      <c r="J256" s="2" t="str">
        <f>IFERROR(INDEX('Base com preços'!$C:$O,MATCH(B256,'Base com preços'!$A:$A,0),MATCH(G256,'Base com preços'!$C$1:$O$1,0)),IFERROR(INDEX('Boa forma'!$C:$O,MATCH(A256,'Boa forma'!$A:$A,0),MATCH(G256,'Boa forma'!$C$1:$O$1,0)),""))</f>
        <v/>
      </c>
      <c r="K256" s="2" t="str">
        <f t="shared" si="18"/>
        <v xml:space="preserve"> </v>
      </c>
      <c r="L256" t="str">
        <f t="shared" si="19"/>
        <v>Não</v>
      </c>
    </row>
    <row r="257" spans="1:12" x14ac:dyDescent="0.25">
      <c r="A257">
        <f>'Planilha CP Meli'!B259</f>
        <v>0</v>
      </c>
      <c r="B257">
        <f>'Planilha CP Meli'!C259</f>
        <v>0</v>
      </c>
      <c r="C257">
        <f>'Planilha CP Meli'!E259</f>
        <v>0</v>
      </c>
      <c r="D257" t="str">
        <f>IFERROR(VLOOKUP(A257,'Base MLB'!A:B,2,0)," ")</f>
        <v xml:space="preserve"> </v>
      </c>
      <c r="E257" s="1" t="str">
        <f>IFERROR(VLOOKUP(A257,'Base MLB'!A:C,3,0)," ")</f>
        <v xml:space="preserve"> </v>
      </c>
      <c r="F257" s="1" t="str">
        <f t="shared" si="15"/>
        <v xml:space="preserve"> </v>
      </c>
      <c r="G257" s="1" t="str">
        <f t="shared" si="16"/>
        <v/>
      </c>
      <c r="H257" s="1" t="str">
        <f t="shared" si="17"/>
        <v/>
      </c>
      <c r="I257" s="2">
        <f>'Planilha CP Meli'!G259</f>
        <v>0</v>
      </c>
      <c r="J257" s="2" t="str">
        <f>IFERROR(INDEX('Base com preços'!$C:$O,MATCH(B257,'Base com preços'!$A:$A,0),MATCH(G257,'Base com preços'!$C$1:$O$1,0)),IFERROR(INDEX('Boa forma'!$C:$O,MATCH(A257,'Boa forma'!$A:$A,0),MATCH(G257,'Boa forma'!$C$1:$O$1,0)),""))</f>
        <v/>
      </c>
      <c r="K257" s="2" t="str">
        <f t="shared" si="18"/>
        <v xml:space="preserve"> </v>
      </c>
      <c r="L257" t="str">
        <f t="shared" si="19"/>
        <v>Não</v>
      </c>
    </row>
    <row r="258" spans="1:12" x14ac:dyDescent="0.25">
      <c r="A258">
        <f>'Planilha CP Meli'!B260</f>
        <v>0</v>
      </c>
      <c r="B258">
        <f>'Planilha CP Meli'!C260</f>
        <v>0</v>
      </c>
      <c r="C258">
        <f>'Planilha CP Meli'!E260</f>
        <v>0</v>
      </c>
      <c r="D258" t="str">
        <f>IFERROR(VLOOKUP(A258,'Base MLB'!A:B,2,0)," ")</f>
        <v xml:space="preserve"> </v>
      </c>
      <c r="E258" s="1" t="str">
        <f>IFERROR(VLOOKUP(A258,'Base MLB'!A:C,3,0)," ")</f>
        <v xml:space="preserve"> </v>
      </c>
      <c r="F258" s="1" t="str">
        <f t="shared" si="15"/>
        <v xml:space="preserve"> </v>
      </c>
      <c r="G258" s="1" t="str">
        <f t="shared" si="16"/>
        <v/>
      </c>
      <c r="H258" s="1" t="str">
        <f t="shared" si="17"/>
        <v/>
      </c>
      <c r="I258" s="2">
        <f>'Planilha CP Meli'!G260</f>
        <v>0</v>
      </c>
      <c r="J258" s="2" t="str">
        <f>IFERROR(INDEX('Base com preços'!$C:$O,MATCH(B258,'Base com preços'!$A:$A,0),MATCH(G258,'Base com preços'!$C$1:$O$1,0)),IFERROR(INDEX('Boa forma'!$C:$O,MATCH(A258,'Boa forma'!$A:$A,0),MATCH(G258,'Boa forma'!$C$1:$O$1,0)),""))</f>
        <v/>
      </c>
      <c r="K258" s="2" t="str">
        <f t="shared" si="18"/>
        <v xml:space="preserve"> </v>
      </c>
      <c r="L258" t="str">
        <f t="shared" si="19"/>
        <v>Não</v>
      </c>
    </row>
    <row r="259" spans="1:12" x14ac:dyDescent="0.25">
      <c r="A259">
        <f>'Planilha CP Meli'!B261</f>
        <v>0</v>
      </c>
      <c r="B259">
        <f>'Planilha CP Meli'!C261</f>
        <v>0</v>
      </c>
      <c r="C259">
        <f>'Planilha CP Meli'!E261</f>
        <v>0</v>
      </c>
      <c r="D259" t="str">
        <f>IFERROR(VLOOKUP(A259,'Base MLB'!A:B,2,0)," ")</f>
        <v xml:space="preserve"> </v>
      </c>
      <c r="E259" s="1" t="str">
        <f>IFERROR(VLOOKUP(A259,'Base MLB'!A:C,3,0)," ")</f>
        <v xml:space="preserve"> </v>
      </c>
      <c r="F259" s="1" t="str">
        <f t="shared" ref="F259:F300" si="20">IFERROR(C259/I259," ")</f>
        <v xml:space="preserve"> </v>
      </c>
      <c r="G259" s="1" t="str">
        <f t="shared" ref="G259:G300" si="21">IFERROR(MAX((ROUNDUP((E259-F259)*100,0)+0.5)/100,4.5%),"")</f>
        <v/>
      </c>
      <c r="H259" s="1" t="str">
        <f t="shared" ref="H259:H300" si="22">IFERROR((ROUNDUP((E259-F259)*100,0)+0.5)/100,"")</f>
        <v/>
      </c>
      <c r="I259" s="2">
        <f>'Planilha CP Meli'!G261</f>
        <v>0</v>
      </c>
      <c r="J259" s="2" t="str">
        <f>IFERROR(INDEX('Base com preços'!$C:$O,MATCH(B259,'Base com preços'!$A:$A,0),MATCH(G259,'Base com preços'!$C$1:$O$1,0)),IFERROR(INDEX('Boa forma'!$C:$O,MATCH(A259,'Boa forma'!$A:$A,0),MATCH(G259,'Boa forma'!$C$1:$O$1,0)),""))</f>
        <v/>
      </c>
      <c r="K259" s="2" t="str">
        <f t="shared" ref="K259:K300" si="23">IFERROR(J259-I259," ")</f>
        <v xml:space="preserve"> </v>
      </c>
      <c r="L259" t="str">
        <f t="shared" si="19"/>
        <v>Não</v>
      </c>
    </row>
    <row r="260" spans="1:12" x14ac:dyDescent="0.25">
      <c r="A260">
        <f>'Planilha CP Meli'!B262</f>
        <v>0</v>
      </c>
      <c r="B260">
        <f>'Planilha CP Meli'!C262</f>
        <v>0</v>
      </c>
      <c r="C260">
        <f>'Planilha CP Meli'!E262</f>
        <v>0</v>
      </c>
      <c r="D260" t="str">
        <f>IFERROR(VLOOKUP(A260,'Base MLB'!A:B,2,0)," ")</f>
        <v xml:space="preserve"> </v>
      </c>
      <c r="E260" s="1" t="str">
        <f>IFERROR(VLOOKUP(A260,'Base MLB'!A:C,3,0)," ")</f>
        <v xml:space="preserve"> </v>
      </c>
      <c r="F260" s="1" t="str">
        <f t="shared" si="20"/>
        <v xml:space="preserve"> </v>
      </c>
      <c r="G260" s="1" t="str">
        <f t="shared" si="21"/>
        <v/>
      </c>
      <c r="H260" s="1" t="str">
        <f t="shared" si="22"/>
        <v/>
      </c>
      <c r="I260" s="2">
        <f>'Planilha CP Meli'!G262</f>
        <v>0</v>
      </c>
      <c r="J260" s="2" t="str">
        <f>IFERROR(INDEX('Base com preços'!$C:$O,MATCH(B260,'Base com preços'!$A:$A,0),MATCH(G260,'Base com preços'!$C$1:$O$1,0)),IFERROR(INDEX('Boa forma'!$C:$O,MATCH(A260,'Boa forma'!$A:$A,0),MATCH(G260,'Boa forma'!$C$1:$O$1,0)),""))</f>
        <v/>
      </c>
      <c r="K260" s="2" t="str">
        <f t="shared" si="23"/>
        <v xml:space="preserve"> </v>
      </c>
      <c r="L260" t="str">
        <f t="shared" ref="L260:L300" si="24">IFERROR(IF(K260&lt;0,"Sim",IF(I260&gt;=J260*0.95,"Sim","Não")),"Não")</f>
        <v>Não</v>
      </c>
    </row>
    <row r="261" spans="1:12" x14ac:dyDescent="0.25">
      <c r="A261">
        <f>'Planilha CP Meli'!B263</f>
        <v>0</v>
      </c>
      <c r="B261">
        <f>'Planilha CP Meli'!C263</f>
        <v>0</v>
      </c>
      <c r="C261">
        <f>'Planilha CP Meli'!E263</f>
        <v>0</v>
      </c>
      <c r="D261" t="str">
        <f>IFERROR(VLOOKUP(A261,'Base MLB'!A:B,2,0)," ")</f>
        <v xml:space="preserve"> </v>
      </c>
      <c r="E261" s="1" t="str">
        <f>IFERROR(VLOOKUP(A261,'Base MLB'!A:C,3,0)," ")</f>
        <v xml:space="preserve"> </v>
      </c>
      <c r="F261" s="1" t="str">
        <f t="shared" si="20"/>
        <v xml:space="preserve"> </v>
      </c>
      <c r="G261" s="1" t="str">
        <f t="shared" si="21"/>
        <v/>
      </c>
      <c r="H261" s="1" t="str">
        <f t="shared" si="22"/>
        <v/>
      </c>
      <c r="I261" s="2">
        <f>'Planilha CP Meli'!G263</f>
        <v>0</v>
      </c>
      <c r="J261" s="2" t="str">
        <f>IFERROR(INDEX('Base com preços'!$C:$O,MATCH(B261,'Base com preços'!$A:$A,0),MATCH(G261,'Base com preços'!$C$1:$O$1,0)),IFERROR(INDEX('Boa forma'!$C:$O,MATCH(A261,'Boa forma'!$A:$A,0),MATCH(G261,'Boa forma'!$C$1:$O$1,0)),""))</f>
        <v/>
      </c>
      <c r="K261" s="2" t="str">
        <f t="shared" si="23"/>
        <v xml:space="preserve"> </v>
      </c>
      <c r="L261" t="str">
        <f t="shared" si="24"/>
        <v>Não</v>
      </c>
    </row>
    <row r="262" spans="1:12" x14ac:dyDescent="0.25">
      <c r="A262">
        <f>'Planilha CP Meli'!B264</f>
        <v>0</v>
      </c>
      <c r="B262">
        <f>'Planilha CP Meli'!C264</f>
        <v>0</v>
      </c>
      <c r="C262">
        <f>'Planilha CP Meli'!E264</f>
        <v>0</v>
      </c>
      <c r="D262" t="str">
        <f>IFERROR(VLOOKUP(A262,'Base MLB'!A:B,2,0)," ")</f>
        <v xml:space="preserve"> </v>
      </c>
      <c r="E262" s="1" t="str">
        <f>IFERROR(VLOOKUP(A262,'Base MLB'!A:C,3,0)," ")</f>
        <v xml:space="preserve"> </v>
      </c>
      <c r="F262" s="1" t="str">
        <f t="shared" si="20"/>
        <v xml:space="preserve"> </v>
      </c>
      <c r="G262" s="1" t="str">
        <f t="shared" si="21"/>
        <v/>
      </c>
      <c r="H262" s="1" t="str">
        <f t="shared" si="22"/>
        <v/>
      </c>
      <c r="I262" s="2">
        <f>'Planilha CP Meli'!G264</f>
        <v>0</v>
      </c>
      <c r="J262" s="2" t="str">
        <f>IFERROR(INDEX('Base com preços'!$C:$O,MATCH(B262,'Base com preços'!$A:$A,0),MATCH(G262,'Base com preços'!$C$1:$O$1,0)),IFERROR(INDEX('Boa forma'!$C:$O,MATCH(A262,'Boa forma'!$A:$A,0),MATCH(G262,'Boa forma'!$C$1:$O$1,0)),""))</f>
        <v/>
      </c>
      <c r="K262" s="2" t="str">
        <f t="shared" si="23"/>
        <v xml:space="preserve"> </v>
      </c>
      <c r="L262" t="str">
        <f t="shared" si="24"/>
        <v>Não</v>
      </c>
    </row>
    <row r="263" spans="1:12" x14ac:dyDescent="0.25">
      <c r="A263">
        <f>'Planilha CP Meli'!B265</f>
        <v>0</v>
      </c>
      <c r="B263">
        <f>'Planilha CP Meli'!C265</f>
        <v>0</v>
      </c>
      <c r="C263">
        <f>'Planilha CP Meli'!E265</f>
        <v>0</v>
      </c>
      <c r="D263" t="str">
        <f>IFERROR(VLOOKUP(A263,'Base MLB'!A:B,2,0)," ")</f>
        <v xml:space="preserve"> </v>
      </c>
      <c r="E263" s="1" t="str">
        <f>IFERROR(VLOOKUP(A263,'Base MLB'!A:C,3,0)," ")</f>
        <v xml:space="preserve"> </v>
      </c>
      <c r="F263" s="1" t="str">
        <f t="shared" si="20"/>
        <v xml:space="preserve"> </v>
      </c>
      <c r="G263" s="1" t="str">
        <f t="shared" si="21"/>
        <v/>
      </c>
      <c r="H263" s="1" t="str">
        <f t="shared" si="22"/>
        <v/>
      </c>
      <c r="I263" s="2">
        <f>'Planilha CP Meli'!G265</f>
        <v>0</v>
      </c>
      <c r="J263" s="2" t="str">
        <f>IFERROR(INDEX('Base com preços'!$C:$O,MATCH(B263,'Base com preços'!$A:$A,0),MATCH(G263,'Base com preços'!$C$1:$O$1,0)),IFERROR(INDEX('Boa forma'!$C:$O,MATCH(A263,'Boa forma'!$A:$A,0),MATCH(G263,'Boa forma'!$C$1:$O$1,0)),""))</f>
        <v/>
      </c>
      <c r="K263" s="2" t="str">
        <f t="shared" si="23"/>
        <v xml:space="preserve"> </v>
      </c>
      <c r="L263" t="str">
        <f t="shared" si="24"/>
        <v>Não</v>
      </c>
    </row>
    <row r="264" spans="1:12" x14ac:dyDescent="0.25">
      <c r="A264">
        <f>'Planilha CP Meli'!B266</f>
        <v>0</v>
      </c>
      <c r="B264">
        <f>'Planilha CP Meli'!C266</f>
        <v>0</v>
      </c>
      <c r="C264">
        <f>'Planilha CP Meli'!E266</f>
        <v>0</v>
      </c>
      <c r="D264" t="str">
        <f>IFERROR(VLOOKUP(A264,'Base MLB'!A:B,2,0)," ")</f>
        <v xml:space="preserve"> </v>
      </c>
      <c r="E264" s="1" t="str">
        <f>IFERROR(VLOOKUP(A264,'Base MLB'!A:C,3,0)," ")</f>
        <v xml:space="preserve"> </v>
      </c>
      <c r="F264" s="1" t="str">
        <f t="shared" si="20"/>
        <v xml:space="preserve"> </v>
      </c>
      <c r="G264" s="1" t="str">
        <f t="shared" si="21"/>
        <v/>
      </c>
      <c r="H264" s="1" t="str">
        <f t="shared" si="22"/>
        <v/>
      </c>
      <c r="I264" s="2">
        <f>'Planilha CP Meli'!G266</f>
        <v>0</v>
      </c>
      <c r="J264" s="2" t="str">
        <f>IFERROR(INDEX('Base com preços'!$C:$O,MATCH(B264,'Base com preços'!$A:$A,0),MATCH(G264,'Base com preços'!$C$1:$O$1,0)),IFERROR(INDEX('Boa forma'!$C:$O,MATCH(A264,'Boa forma'!$A:$A,0),MATCH(G264,'Boa forma'!$C$1:$O$1,0)),""))</f>
        <v/>
      </c>
      <c r="K264" s="2" t="str">
        <f t="shared" si="23"/>
        <v xml:space="preserve"> </v>
      </c>
      <c r="L264" t="str">
        <f t="shared" si="24"/>
        <v>Não</v>
      </c>
    </row>
    <row r="265" spans="1:12" x14ac:dyDescent="0.25">
      <c r="A265">
        <f>'Planilha CP Meli'!B267</f>
        <v>0</v>
      </c>
      <c r="B265">
        <f>'Planilha CP Meli'!C267</f>
        <v>0</v>
      </c>
      <c r="C265">
        <f>'Planilha CP Meli'!E267</f>
        <v>0</v>
      </c>
      <c r="D265" t="str">
        <f>IFERROR(VLOOKUP(A265,'Base MLB'!A:B,2,0)," ")</f>
        <v xml:space="preserve"> </v>
      </c>
      <c r="E265" s="1" t="str">
        <f>IFERROR(VLOOKUP(A265,'Base MLB'!A:C,3,0)," ")</f>
        <v xml:space="preserve"> </v>
      </c>
      <c r="F265" s="1" t="str">
        <f t="shared" si="20"/>
        <v xml:space="preserve"> </v>
      </c>
      <c r="G265" s="1" t="str">
        <f t="shared" si="21"/>
        <v/>
      </c>
      <c r="H265" s="1" t="str">
        <f t="shared" si="22"/>
        <v/>
      </c>
      <c r="I265" s="2">
        <f>'Planilha CP Meli'!G267</f>
        <v>0</v>
      </c>
      <c r="J265" s="2" t="str">
        <f>IFERROR(INDEX('Base com preços'!$C:$O,MATCH(B265,'Base com preços'!$A:$A,0),MATCH(G265,'Base com preços'!$C$1:$O$1,0)),IFERROR(INDEX('Boa forma'!$C:$O,MATCH(A265,'Boa forma'!$A:$A,0),MATCH(G265,'Boa forma'!$C$1:$O$1,0)),""))</f>
        <v/>
      </c>
      <c r="K265" s="2" t="str">
        <f t="shared" si="23"/>
        <v xml:space="preserve"> </v>
      </c>
      <c r="L265" t="str">
        <f t="shared" si="24"/>
        <v>Não</v>
      </c>
    </row>
    <row r="266" spans="1:12" x14ac:dyDescent="0.25">
      <c r="A266">
        <f>'Planilha CP Meli'!B268</f>
        <v>0</v>
      </c>
      <c r="B266">
        <f>'Planilha CP Meli'!C268</f>
        <v>0</v>
      </c>
      <c r="C266">
        <f>'Planilha CP Meli'!E268</f>
        <v>0</v>
      </c>
      <c r="D266" t="str">
        <f>IFERROR(VLOOKUP(A266,'Base MLB'!A:B,2,0)," ")</f>
        <v xml:space="preserve"> </v>
      </c>
      <c r="E266" s="1" t="str">
        <f>IFERROR(VLOOKUP(A266,'Base MLB'!A:C,3,0)," ")</f>
        <v xml:space="preserve"> </v>
      </c>
      <c r="F266" s="1" t="str">
        <f t="shared" si="20"/>
        <v xml:space="preserve"> </v>
      </c>
      <c r="G266" s="1" t="str">
        <f t="shared" si="21"/>
        <v/>
      </c>
      <c r="H266" s="1" t="str">
        <f t="shared" si="22"/>
        <v/>
      </c>
      <c r="I266" s="2">
        <f>'Planilha CP Meli'!G268</f>
        <v>0</v>
      </c>
      <c r="J266" s="2" t="str">
        <f>IFERROR(INDEX('Base com preços'!$C:$O,MATCH(B266,'Base com preços'!$A:$A,0),MATCH(G266,'Base com preços'!$C$1:$O$1,0)),IFERROR(INDEX('Boa forma'!$C:$O,MATCH(A266,'Boa forma'!$A:$A,0),MATCH(G266,'Boa forma'!$C$1:$O$1,0)),""))</f>
        <v/>
      </c>
      <c r="K266" s="2" t="str">
        <f t="shared" si="23"/>
        <v xml:space="preserve"> </v>
      </c>
      <c r="L266" t="str">
        <f t="shared" si="24"/>
        <v>Não</v>
      </c>
    </row>
    <row r="267" spans="1:12" x14ac:dyDescent="0.25">
      <c r="A267">
        <f>'Planilha CP Meli'!B269</f>
        <v>0</v>
      </c>
      <c r="B267">
        <f>'Planilha CP Meli'!C269</f>
        <v>0</v>
      </c>
      <c r="C267">
        <f>'Planilha CP Meli'!E269</f>
        <v>0</v>
      </c>
      <c r="D267" t="str">
        <f>IFERROR(VLOOKUP(A267,'Base MLB'!A:B,2,0)," ")</f>
        <v xml:space="preserve"> </v>
      </c>
      <c r="E267" s="1" t="str">
        <f>IFERROR(VLOOKUP(A267,'Base MLB'!A:C,3,0)," ")</f>
        <v xml:space="preserve"> </v>
      </c>
      <c r="F267" s="1" t="str">
        <f t="shared" si="20"/>
        <v xml:space="preserve"> </v>
      </c>
      <c r="G267" s="1" t="str">
        <f t="shared" si="21"/>
        <v/>
      </c>
      <c r="H267" s="1" t="str">
        <f t="shared" si="22"/>
        <v/>
      </c>
      <c r="I267" s="2">
        <f>'Planilha CP Meli'!G269</f>
        <v>0</v>
      </c>
      <c r="J267" s="2" t="str">
        <f>IFERROR(INDEX('Base com preços'!$C:$O,MATCH(B267,'Base com preços'!$A:$A,0),MATCH(G267,'Base com preços'!$C$1:$O$1,0)),IFERROR(INDEX('Boa forma'!$C:$O,MATCH(A267,'Boa forma'!$A:$A,0),MATCH(G267,'Boa forma'!$C$1:$O$1,0)),""))</f>
        <v/>
      </c>
      <c r="K267" s="2" t="str">
        <f t="shared" si="23"/>
        <v xml:space="preserve"> </v>
      </c>
      <c r="L267" t="str">
        <f t="shared" si="24"/>
        <v>Não</v>
      </c>
    </row>
    <row r="268" spans="1:12" x14ac:dyDescent="0.25">
      <c r="A268">
        <f>'Planilha CP Meli'!B270</f>
        <v>0</v>
      </c>
      <c r="B268">
        <f>'Planilha CP Meli'!C270</f>
        <v>0</v>
      </c>
      <c r="C268">
        <f>'Planilha CP Meli'!E270</f>
        <v>0</v>
      </c>
      <c r="D268" t="str">
        <f>IFERROR(VLOOKUP(A268,'Base MLB'!A:B,2,0)," ")</f>
        <v xml:space="preserve"> </v>
      </c>
      <c r="E268" s="1" t="str">
        <f>IFERROR(VLOOKUP(A268,'Base MLB'!A:C,3,0)," ")</f>
        <v xml:space="preserve"> </v>
      </c>
      <c r="F268" s="1" t="str">
        <f t="shared" si="20"/>
        <v xml:space="preserve"> </v>
      </c>
      <c r="G268" s="1" t="str">
        <f t="shared" si="21"/>
        <v/>
      </c>
      <c r="H268" s="1" t="str">
        <f t="shared" si="22"/>
        <v/>
      </c>
      <c r="I268" s="2">
        <f>'Planilha CP Meli'!G270</f>
        <v>0</v>
      </c>
      <c r="J268" s="2" t="str">
        <f>IFERROR(INDEX('Base com preços'!$C:$O,MATCH(B268,'Base com preços'!$A:$A,0),MATCH(G268,'Base com preços'!$C$1:$O$1,0)),IFERROR(INDEX('Boa forma'!$C:$O,MATCH(A268,'Boa forma'!$A:$A,0),MATCH(G268,'Boa forma'!$C$1:$O$1,0)),""))</f>
        <v/>
      </c>
      <c r="K268" s="2" t="str">
        <f t="shared" si="23"/>
        <v xml:space="preserve"> </v>
      </c>
      <c r="L268" t="str">
        <f t="shared" si="24"/>
        <v>Não</v>
      </c>
    </row>
    <row r="269" spans="1:12" x14ac:dyDescent="0.25">
      <c r="A269">
        <f>'Planilha CP Meli'!B271</f>
        <v>0</v>
      </c>
      <c r="B269">
        <f>'Planilha CP Meli'!C271</f>
        <v>0</v>
      </c>
      <c r="C269">
        <f>'Planilha CP Meli'!E271</f>
        <v>0</v>
      </c>
      <c r="D269" t="str">
        <f>IFERROR(VLOOKUP(A269,'Base MLB'!A:B,2,0)," ")</f>
        <v xml:space="preserve"> </v>
      </c>
      <c r="E269" s="1" t="str">
        <f>IFERROR(VLOOKUP(A269,'Base MLB'!A:C,3,0)," ")</f>
        <v xml:space="preserve"> </v>
      </c>
      <c r="F269" s="1" t="str">
        <f t="shared" si="20"/>
        <v xml:space="preserve"> </v>
      </c>
      <c r="G269" s="1" t="str">
        <f t="shared" si="21"/>
        <v/>
      </c>
      <c r="H269" s="1" t="str">
        <f t="shared" si="22"/>
        <v/>
      </c>
      <c r="I269" s="2">
        <f>'Planilha CP Meli'!G271</f>
        <v>0</v>
      </c>
      <c r="J269" s="2" t="str">
        <f>IFERROR(INDEX('Base com preços'!$C:$O,MATCH(B269,'Base com preços'!$A:$A,0),MATCH(G269,'Base com preços'!$C$1:$O$1,0)),IFERROR(INDEX('Boa forma'!$C:$O,MATCH(A269,'Boa forma'!$A:$A,0),MATCH(G269,'Boa forma'!$C$1:$O$1,0)),""))</f>
        <v/>
      </c>
      <c r="K269" s="2" t="str">
        <f t="shared" si="23"/>
        <v xml:space="preserve"> </v>
      </c>
      <c r="L269" t="str">
        <f t="shared" si="24"/>
        <v>Não</v>
      </c>
    </row>
    <row r="270" spans="1:12" x14ac:dyDescent="0.25">
      <c r="A270">
        <f>'Planilha CP Meli'!B272</f>
        <v>0</v>
      </c>
      <c r="B270">
        <f>'Planilha CP Meli'!C272</f>
        <v>0</v>
      </c>
      <c r="C270">
        <f>'Planilha CP Meli'!E272</f>
        <v>0</v>
      </c>
      <c r="D270" t="str">
        <f>IFERROR(VLOOKUP(A270,'Base MLB'!A:B,2,0)," ")</f>
        <v xml:space="preserve"> </v>
      </c>
      <c r="E270" s="1" t="str">
        <f>IFERROR(VLOOKUP(A270,'Base MLB'!A:C,3,0)," ")</f>
        <v xml:space="preserve"> </v>
      </c>
      <c r="F270" s="1" t="str">
        <f t="shared" si="20"/>
        <v xml:space="preserve"> </v>
      </c>
      <c r="G270" s="1" t="str">
        <f t="shared" si="21"/>
        <v/>
      </c>
      <c r="H270" s="1" t="str">
        <f t="shared" si="22"/>
        <v/>
      </c>
      <c r="I270" s="2">
        <f>'Planilha CP Meli'!G272</f>
        <v>0</v>
      </c>
      <c r="J270" s="2" t="str">
        <f>IFERROR(INDEX('Base com preços'!$C:$O,MATCH(B270,'Base com preços'!$A:$A,0),MATCH(G270,'Base com preços'!$C$1:$O$1,0)),IFERROR(INDEX('Boa forma'!$C:$O,MATCH(A270,'Boa forma'!$A:$A,0),MATCH(G270,'Boa forma'!$C$1:$O$1,0)),""))</f>
        <v/>
      </c>
      <c r="K270" s="2" t="str">
        <f t="shared" si="23"/>
        <v xml:space="preserve"> </v>
      </c>
      <c r="L270" t="str">
        <f t="shared" si="24"/>
        <v>Não</v>
      </c>
    </row>
    <row r="271" spans="1:12" x14ac:dyDescent="0.25">
      <c r="A271">
        <f>'Planilha CP Meli'!B273</f>
        <v>0</v>
      </c>
      <c r="B271">
        <f>'Planilha CP Meli'!C273</f>
        <v>0</v>
      </c>
      <c r="C271">
        <f>'Planilha CP Meli'!E273</f>
        <v>0</v>
      </c>
      <c r="D271" t="str">
        <f>IFERROR(VLOOKUP(A271,'Base MLB'!A:B,2,0)," ")</f>
        <v xml:space="preserve"> </v>
      </c>
      <c r="E271" s="1" t="str">
        <f>IFERROR(VLOOKUP(A271,'Base MLB'!A:C,3,0)," ")</f>
        <v xml:space="preserve"> </v>
      </c>
      <c r="F271" s="1" t="str">
        <f t="shared" si="20"/>
        <v xml:space="preserve"> </v>
      </c>
      <c r="G271" s="1" t="str">
        <f t="shared" si="21"/>
        <v/>
      </c>
      <c r="H271" s="1" t="str">
        <f t="shared" si="22"/>
        <v/>
      </c>
      <c r="I271" s="2">
        <f>'Planilha CP Meli'!G273</f>
        <v>0</v>
      </c>
      <c r="J271" s="2" t="str">
        <f>IFERROR(INDEX('Base com preços'!$C:$O,MATCH(B271,'Base com preços'!$A:$A,0),MATCH(G271,'Base com preços'!$C$1:$O$1,0)),IFERROR(INDEX('Boa forma'!$C:$O,MATCH(A271,'Boa forma'!$A:$A,0),MATCH(G271,'Boa forma'!$C$1:$O$1,0)),""))</f>
        <v/>
      </c>
      <c r="K271" s="2" t="str">
        <f t="shared" si="23"/>
        <v xml:space="preserve"> </v>
      </c>
      <c r="L271" t="str">
        <f t="shared" si="24"/>
        <v>Não</v>
      </c>
    </row>
    <row r="272" spans="1:12" x14ac:dyDescent="0.25">
      <c r="A272">
        <f>'Planilha CP Meli'!B274</f>
        <v>0</v>
      </c>
      <c r="B272">
        <f>'Planilha CP Meli'!C274</f>
        <v>0</v>
      </c>
      <c r="C272">
        <f>'Planilha CP Meli'!E274</f>
        <v>0</v>
      </c>
      <c r="D272" t="str">
        <f>IFERROR(VLOOKUP(A272,'Base MLB'!A:B,2,0)," ")</f>
        <v xml:space="preserve"> </v>
      </c>
      <c r="E272" s="1" t="str">
        <f>IFERROR(VLOOKUP(A272,'Base MLB'!A:C,3,0)," ")</f>
        <v xml:space="preserve"> </v>
      </c>
      <c r="F272" s="1" t="str">
        <f t="shared" si="20"/>
        <v xml:space="preserve"> </v>
      </c>
      <c r="G272" s="1" t="str">
        <f t="shared" si="21"/>
        <v/>
      </c>
      <c r="H272" s="1" t="str">
        <f t="shared" si="22"/>
        <v/>
      </c>
      <c r="I272" s="2">
        <f>'Planilha CP Meli'!G274</f>
        <v>0</v>
      </c>
      <c r="J272" s="2" t="str">
        <f>IFERROR(INDEX('Base com preços'!$C:$O,MATCH(B272,'Base com preços'!$A:$A,0),MATCH(G272,'Base com preços'!$C$1:$O$1,0)),IFERROR(INDEX('Boa forma'!$C:$O,MATCH(A272,'Boa forma'!$A:$A,0),MATCH(G272,'Boa forma'!$C$1:$O$1,0)),""))</f>
        <v/>
      </c>
      <c r="K272" s="2" t="str">
        <f t="shared" si="23"/>
        <v xml:space="preserve"> </v>
      </c>
      <c r="L272" t="str">
        <f t="shared" si="24"/>
        <v>Não</v>
      </c>
    </row>
    <row r="273" spans="1:12" x14ac:dyDescent="0.25">
      <c r="A273">
        <f>'Planilha CP Meli'!B275</f>
        <v>0</v>
      </c>
      <c r="B273">
        <f>'Planilha CP Meli'!C275</f>
        <v>0</v>
      </c>
      <c r="C273">
        <f>'Planilha CP Meli'!E275</f>
        <v>0</v>
      </c>
      <c r="D273" t="str">
        <f>IFERROR(VLOOKUP(A273,'Base MLB'!A:B,2,0)," ")</f>
        <v xml:space="preserve"> </v>
      </c>
      <c r="E273" s="1" t="str">
        <f>IFERROR(VLOOKUP(A273,'Base MLB'!A:C,3,0)," ")</f>
        <v xml:space="preserve"> </v>
      </c>
      <c r="F273" s="1" t="str">
        <f t="shared" si="20"/>
        <v xml:space="preserve"> </v>
      </c>
      <c r="G273" s="1" t="str">
        <f t="shared" si="21"/>
        <v/>
      </c>
      <c r="H273" s="1" t="str">
        <f t="shared" si="22"/>
        <v/>
      </c>
      <c r="I273" s="2">
        <f>'Planilha CP Meli'!G275</f>
        <v>0</v>
      </c>
      <c r="J273" s="2" t="str">
        <f>IFERROR(INDEX('Base com preços'!$C:$O,MATCH(B273,'Base com preços'!$A:$A,0),MATCH(G273,'Base com preços'!$C$1:$O$1,0)),IFERROR(INDEX('Boa forma'!$C:$O,MATCH(A273,'Boa forma'!$A:$A,0),MATCH(G273,'Boa forma'!$C$1:$O$1,0)),""))</f>
        <v/>
      </c>
      <c r="K273" s="2" t="str">
        <f t="shared" si="23"/>
        <v xml:space="preserve"> </v>
      </c>
      <c r="L273" t="str">
        <f t="shared" si="24"/>
        <v>Não</v>
      </c>
    </row>
    <row r="274" spans="1:12" x14ac:dyDescent="0.25">
      <c r="A274">
        <f>'Planilha CP Meli'!B276</f>
        <v>0</v>
      </c>
      <c r="B274">
        <f>'Planilha CP Meli'!C276</f>
        <v>0</v>
      </c>
      <c r="C274">
        <f>'Planilha CP Meli'!E276</f>
        <v>0</v>
      </c>
      <c r="D274" t="str">
        <f>IFERROR(VLOOKUP(A274,'Base MLB'!A:B,2,0)," ")</f>
        <v xml:space="preserve"> </v>
      </c>
      <c r="E274" s="1" t="str">
        <f>IFERROR(VLOOKUP(A274,'Base MLB'!A:C,3,0)," ")</f>
        <v xml:space="preserve"> </v>
      </c>
      <c r="F274" s="1" t="str">
        <f t="shared" si="20"/>
        <v xml:space="preserve"> </v>
      </c>
      <c r="G274" s="1" t="str">
        <f t="shared" si="21"/>
        <v/>
      </c>
      <c r="H274" s="1" t="str">
        <f t="shared" si="22"/>
        <v/>
      </c>
      <c r="I274" s="2">
        <f>'Planilha CP Meli'!G276</f>
        <v>0</v>
      </c>
      <c r="J274" s="2" t="str">
        <f>IFERROR(INDEX('Base com preços'!$C:$O,MATCH(B274,'Base com preços'!$A:$A,0),MATCH(G274,'Base com preços'!$C$1:$O$1,0)),IFERROR(INDEX('Boa forma'!$C:$O,MATCH(A274,'Boa forma'!$A:$A,0),MATCH(G274,'Boa forma'!$C$1:$O$1,0)),""))</f>
        <v/>
      </c>
      <c r="K274" s="2" t="str">
        <f t="shared" si="23"/>
        <v xml:space="preserve"> </v>
      </c>
      <c r="L274" t="str">
        <f t="shared" si="24"/>
        <v>Não</v>
      </c>
    </row>
    <row r="275" spans="1:12" x14ac:dyDescent="0.25">
      <c r="A275">
        <f>'Planilha CP Meli'!B277</f>
        <v>0</v>
      </c>
      <c r="B275">
        <f>'Planilha CP Meli'!C277</f>
        <v>0</v>
      </c>
      <c r="C275">
        <f>'Planilha CP Meli'!E277</f>
        <v>0</v>
      </c>
      <c r="D275" t="str">
        <f>IFERROR(VLOOKUP(A275,'Base MLB'!A:B,2,0)," ")</f>
        <v xml:space="preserve"> </v>
      </c>
      <c r="E275" s="1" t="str">
        <f>IFERROR(VLOOKUP(A275,'Base MLB'!A:C,3,0)," ")</f>
        <v xml:space="preserve"> </v>
      </c>
      <c r="F275" s="1" t="str">
        <f t="shared" si="20"/>
        <v xml:space="preserve"> </v>
      </c>
      <c r="G275" s="1" t="str">
        <f t="shared" si="21"/>
        <v/>
      </c>
      <c r="H275" s="1" t="str">
        <f t="shared" si="22"/>
        <v/>
      </c>
      <c r="I275" s="2">
        <f>'Planilha CP Meli'!G277</f>
        <v>0</v>
      </c>
      <c r="J275" s="2" t="str">
        <f>IFERROR(INDEX('Base com preços'!$C:$O,MATCH(B275,'Base com preços'!$A:$A,0),MATCH(G275,'Base com preços'!$C$1:$O$1,0)),IFERROR(INDEX('Boa forma'!$C:$O,MATCH(A275,'Boa forma'!$A:$A,0),MATCH(G275,'Boa forma'!$C$1:$O$1,0)),""))</f>
        <v/>
      </c>
      <c r="K275" s="2" t="str">
        <f t="shared" si="23"/>
        <v xml:space="preserve"> </v>
      </c>
      <c r="L275" t="str">
        <f t="shared" si="24"/>
        <v>Não</v>
      </c>
    </row>
    <row r="276" spans="1:12" x14ac:dyDescent="0.25">
      <c r="A276">
        <f>'Planilha CP Meli'!B278</f>
        <v>0</v>
      </c>
      <c r="B276">
        <f>'Planilha CP Meli'!C278</f>
        <v>0</v>
      </c>
      <c r="C276">
        <f>'Planilha CP Meli'!E278</f>
        <v>0</v>
      </c>
      <c r="D276" t="str">
        <f>IFERROR(VLOOKUP(A276,'Base MLB'!A:B,2,0)," ")</f>
        <v xml:space="preserve"> </v>
      </c>
      <c r="E276" s="1" t="str">
        <f>IFERROR(VLOOKUP(A276,'Base MLB'!A:C,3,0)," ")</f>
        <v xml:space="preserve"> </v>
      </c>
      <c r="F276" s="1" t="str">
        <f t="shared" si="20"/>
        <v xml:space="preserve"> </v>
      </c>
      <c r="G276" s="1" t="str">
        <f t="shared" si="21"/>
        <v/>
      </c>
      <c r="H276" s="1" t="str">
        <f t="shared" si="22"/>
        <v/>
      </c>
      <c r="I276" s="2">
        <f>'Planilha CP Meli'!G278</f>
        <v>0</v>
      </c>
      <c r="J276" s="2" t="str">
        <f>IFERROR(INDEX('Base com preços'!$C:$O,MATCH(B276,'Base com preços'!$A:$A,0),MATCH(G276,'Base com preços'!$C$1:$O$1,0)),IFERROR(INDEX('Boa forma'!$C:$O,MATCH(A276,'Boa forma'!$A:$A,0),MATCH(G276,'Boa forma'!$C$1:$O$1,0)),""))</f>
        <v/>
      </c>
      <c r="K276" s="2" t="str">
        <f t="shared" si="23"/>
        <v xml:space="preserve"> </v>
      </c>
      <c r="L276" t="str">
        <f t="shared" si="24"/>
        <v>Não</v>
      </c>
    </row>
    <row r="277" spans="1:12" x14ac:dyDescent="0.25">
      <c r="A277">
        <f>'Planilha CP Meli'!B279</f>
        <v>0</v>
      </c>
      <c r="B277">
        <f>'Planilha CP Meli'!C279</f>
        <v>0</v>
      </c>
      <c r="C277">
        <f>'Planilha CP Meli'!E279</f>
        <v>0</v>
      </c>
      <c r="D277" t="str">
        <f>IFERROR(VLOOKUP(A277,'Base MLB'!A:B,2,0)," ")</f>
        <v xml:space="preserve"> </v>
      </c>
      <c r="E277" s="1" t="str">
        <f>IFERROR(VLOOKUP(A277,'Base MLB'!A:C,3,0)," ")</f>
        <v xml:space="preserve"> </v>
      </c>
      <c r="F277" s="1" t="str">
        <f t="shared" si="20"/>
        <v xml:space="preserve"> </v>
      </c>
      <c r="G277" s="1" t="str">
        <f t="shared" si="21"/>
        <v/>
      </c>
      <c r="H277" s="1" t="str">
        <f t="shared" si="22"/>
        <v/>
      </c>
      <c r="I277" s="2">
        <f>'Planilha CP Meli'!G279</f>
        <v>0</v>
      </c>
      <c r="J277" s="2" t="str">
        <f>IFERROR(INDEX('Base com preços'!$C:$O,MATCH(B277,'Base com preços'!$A:$A,0),MATCH(G277,'Base com preços'!$C$1:$O$1,0)),IFERROR(INDEX('Boa forma'!$C:$O,MATCH(A277,'Boa forma'!$A:$A,0),MATCH(G277,'Boa forma'!$C$1:$O$1,0)),""))</f>
        <v/>
      </c>
      <c r="K277" s="2" t="str">
        <f t="shared" si="23"/>
        <v xml:space="preserve"> </v>
      </c>
      <c r="L277" t="str">
        <f t="shared" si="24"/>
        <v>Não</v>
      </c>
    </row>
    <row r="278" spans="1:12" x14ac:dyDescent="0.25">
      <c r="A278">
        <f>'Planilha CP Meli'!B280</f>
        <v>0</v>
      </c>
      <c r="B278">
        <f>'Planilha CP Meli'!C280</f>
        <v>0</v>
      </c>
      <c r="C278">
        <f>'Planilha CP Meli'!E280</f>
        <v>0</v>
      </c>
      <c r="D278" t="str">
        <f>IFERROR(VLOOKUP(A278,'Base MLB'!A:B,2,0)," ")</f>
        <v xml:space="preserve"> </v>
      </c>
      <c r="E278" s="1" t="str">
        <f>IFERROR(VLOOKUP(A278,'Base MLB'!A:C,3,0)," ")</f>
        <v xml:space="preserve"> </v>
      </c>
      <c r="F278" s="1" t="str">
        <f t="shared" si="20"/>
        <v xml:space="preserve"> </v>
      </c>
      <c r="G278" s="1" t="str">
        <f t="shared" si="21"/>
        <v/>
      </c>
      <c r="H278" s="1" t="str">
        <f t="shared" si="22"/>
        <v/>
      </c>
      <c r="I278" s="2">
        <f>'Planilha CP Meli'!G280</f>
        <v>0</v>
      </c>
      <c r="J278" s="2" t="str">
        <f>IFERROR(INDEX('Base com preços'!$C:$O,MATCH(B278,'Base com preços'!$A:$A,0),MATCH(G278,'Base com preços'!$C$1:$O$1,0)),IFERROR(INDEX('Boa forma'!$C:$O,MATCH(A278,'Boa forma'!$A:$A,0),MATCH(G278,'Boa forma'!$C$1:$O$1,0)),""))</f>
        <v/>
      </c>
      <c r="K278" s="2" t="str">
        <f t="shared" si="23"/>
        <v xml:space="preserve"> </v>
      </c>
      <c r="L278" t="str">
        <f t="shared" si="24"/>
        <v>Não</v>
      </c>
    </row>
    <row r="279" spans="1:12" x14ac:dyDescent="0.25">
      <c r="A279">
        <f>'Planilha CP Meli'!B281</f>
        <v>0</v>
      </c>
      <c r="B279">
        <f>'Planilha CP Meli'!C281</f>
        <v>0</v>
      </c>
      <c r="C279">
        <f>'Planilha CP Meli'!E281</f>
        <v>0</v>
      </c>
      <c r="D279" t="str">
        <f>IFERROR(VLOOKUP(A279,'Base MLB'!A:B,2,0)," ")</f>
        <v xml:space="preserve"> </v>
      </c>
      <c r="E279" s="1" t="str">
        <f>IFERROR(VLOOKUP(A279,'Base MLB'!A:C,3,0)," ")</f>
        <v xml:space="preserve"> </v>
      </c>
      <c r="F279" s="1" t="str">
        <f t="shared" si="20"/>
        <v xml:space="preserve"> </v>
      </c>
      <c r="G279" s="1" t="str">
        <f t="shared" si="21"/>
        <v/>
      </c>
      <c r="H279" s="1" t="str">
        <f t="shared" si="22"/>
        <v/>
      </c>
      <c r="I279" s="2">
        <f>'Planilha CP Meli'!G281</f>
        <v>0</v>
      </c>
      <c r="J279" s="2" t="str">
        <f>IFERROR(INDEX('Base com preços'!$C:$O,MATCH(B279,'Base com preços'!$A:$A,0),MATCH(G279,'Base com preços'!$C$1:$O$1,0)),IFERROR(INDEX('Boa forma'!$C:$O,MATCH(A279,'Boa forma'!$A:$A,0),MATCH(G279,'Boa forma'!$C$1:$O$1,0)),""))</f>
        <v/>
      </c>
      <c r="K279" s="2" t="str">
        <f t="shared" si="23"/>
        <v xml:space="preserve"> </v>
      </c>
      <c r="L279" t="str">
        <f t="shared" si="24"/>
        <v>Não</v>
      </c>
    </row>
    <row r="280" spans="1:12" x14ac:dyDescent="0.25">
      <c r="A280">
        <f>'Planilha CP Meli'!B282</f>
        <v>0</v>
      </c>
      <c r="B280">
        <f>'Planilha CP Meli'!C282</f>
        <v>0</v>
      </c>
      <c r="C280">
        <f>'Planilha CP Meli'!E282</f>
        <v>0</v>
      </c>
      <c r="D280" t="str">
        <f>IFERROR(VLOOKUP(A280,'Base MLB'!A:B,2,0)," ")</f>
        <v xml:space="preserve"> </v>
      </c>
      <c r="E280" s="1" t="str">
        <f>IFERROR(VLOOKUP(A280,'Base MLB'!A:C,3,0)," ")</f>
        <v xml:space="preserve"> </v>
      </c>
      <c r="F280" s="1" t="str">
        <f t="shared" si="20"/>
        <v xml:space="preserve"> </v>
      </c>
      <c r="G280" s="1" t="str">
        <f t="shared" si="21"/>
        <v/>
      </c>
      <c r="H280" s="1" t="str">
        <f t="shared" si="22"/>
        <v/>
      </c>
      <c r="I280" s="2">
        <f>'Planilha CP Meli'!G282</f>
        <v>0</v>
      </c>
      <c r="J280" s="2" t="str">
        <f>IFERROR(INDEX('Base com preços'!$C:$O,MATCH(B280,'Base com preços'!$A:$A,0),MATCH(G280,'Base com preços'!$C$1:$O$1,0)),IFERROR(INDEX('Boa forma'!$C:$O,MATCH(A280,'Boa forma'!$A:$A,0),MATCH(G280,'Boa forma'!$C$1:$O$1,0)),""))</f>
        <v/>
      </c>
      <c r="K280" s="2" t="str">
        <f t="shared" si="23"/>
        <v xml:space="preserve"> </v>
      </c>
      <c r="L280" t="str">
        <f t="shared" si="24"/>
        <v>Não</v>
      </c>
    </row>
    <row r="281" spans="1:12" x14ac:dyDescent="0.25">
      <c r="A281">
        <f>'Planilha CP Meli'!B283</f>
        <v>0</v>
      </c>
      <c r="B281">
        <f>'Planilha CP Meli'!C283</f>
        <v>0</v>
      </c>
      <c r="C281">
        <f>'Planilha CP Meli'!E283</f>
        <v>0</v>
      </c>
      <c r="D281" t="str">
        <f>IFERROR(VLOOKUP(A281,'Base MLB'!A:B,2,0)," ")</f>
        <v xml:space="preserve"> </v>
      </c>
      <c r="E281" s="1" t="str">
        <f>IFERROR(VLOOKUP(A281,'Base MLB'!A:C,3,0)," ")</f>
        <v xml:space="preserve"> </v>
      </c>
      <c r="F281" s="1" t="str">
        <f t="shared" si="20"/>
        <v xml:space="preserve"> </v>
      </c>
      <c r="G281" s="1" t="str">
        <f t="shared" si="21"/>
        <v/>
      </c>
      <c r="H281" s="1" t="str">
        <f t="shared" si="22"/>
        <v/>
      </c>
      <c r="I281" s="2">
        <f>'Planilha CP Meli'!G283</f>
        <v>0</v>
      </c>
      <c r="J281" s="2" t="str">
        <f>IFERROR(INDEX('Base com preços'!$C:$O,MATCH(B281,'Base com preços'!$A:$A,0),MATCH(G281,'Base com preços'!$C$1:$O$1,0)),IFERROR(INDEX('Boa forma'!$C:$O,MATCH(A281,'Boa forma'!$A:$A,0),MATCH(G281,'Boa forma'!$C$1:$O$1,0)),""))</f>
        <v/>
      </c>
      <c r="K281" s="2" t="str">
        <f t="shared" si="23"/>
        <v xml:space="preserve"> </v>
      </c>
      <c r="L281" t="str">
        <f t="shared" si="24"/>
        <v>Não</v>
      </c>
    </row>
    <row r="282" spans="1:12" x14ac:dyDescent="0.25">
      <c r="A282">
        <f>'Planilha CP Meli'!B284</f>
        <v>0</v>
      </c>
      <c r="B282">
        <f>'Planilha CP Meli'!C284</f>
        <v>0</v>
      </c>
      <c r="C282">
        <f>'Planilha CP Meli'!E284</f>
        <v>0</v>
      </c>
      <c r="D282" t="str">
        <f>IFERROR(VLOOKUP(A282,'Base MLB'!A:B,2,0)," ")</f>
        <v xml:space="preserve"> </v>
      </c>
      <c r="E282" s="1" t="str">
        <f>IFERROR(VLOOKUP(A282,'Base MLB'!A:C,3,0)," ")</f>
        <v xml:space="preserve"> </v>
      </c>
      <c r="F282" s="1" t="str">
        <f t="shared" si="20"/>
        <v xml:space="preserve"> </v>
      </c>
      <c r="G282" s="1" t="str">
        <f t="shared" si="21"/>
        <v/>
      </c>
      <c r="H282" s="1" t="str">
        <f t="shared" si="22"/>
        <v/>
      </c>
      <c r="I282" s="2">
        <f>'Planilha CP Meli'!G284</f>
        <v>0</v>
      </c>
      <c r="J282" s="2" t="str">
        <f>IFERROR(INDEX('Base com preços'!$C:$O,MATCH(B282,'Base com preços'!$A:$A,0),MATCH(G282,'Base com preços'!$C$1:$O$1,0)),IFERROR(INDEX('Boa forma'!$C:$O,MATCH(A282,'Boa forma'!$A:$A,0),MATCH(G282,'Boa forma'!$C$1:$O$1,0)),""))</f>
        <v/>
      </c>
      <c r="K282" s="2" t="str">
        <f t="shared" si="23"/>
        <v xml:space="preserve"> </v>
      </c>
      <c r="L282" t="str">
        <f t="shared" si="24"/>
        <v>Não</v>
      </c>
    </row>
    <row r="283" spans="1:12" x14ac:dyDescent="0.25">
      <c r="A283">
        <f>'Planilha CP Meli'!B285</f>
        <v>0</v>
      </c>
      <c r="B283">
        <f>'Planilha CP Meli'!C285</f>
        <v>0</v>
      </c>
      <c r="C283">
        <f>'Planilha CP Meli'!E285</f>
        <v>0</v>
      </c>
      <c r="D283" t="str">
        <f>IFERROR(VLOOKUP(A283,'Base MLB'!A:B,2,0)," ")</f>
        <v xml:space="preserve"> </v>
      </c>
      <c r="E283" s="1" t="str">
        <f>IFERROR(VLOOKUP(A283,'Base MLB'!A:C,3,0)," ")</f>
        <v xml:space="preserve"> </v>
      </c>
      <c r="F283" s="1" t="str">
        <f t="shared" si="20"/>
        <v xml:space="preserve"> </v>
      </c>
      <c r="G283" s="1" t="str">
        <f t="shared" si="21"/>
        <v/>
      </c>
      <c r="H283" s="1" t="str">
        <f t="shared" si="22"/>
        <v/>
      </c>
      <c r="I283" s="2">
        <f>'Planilha CP Meli'!G285</f>
        <v>0</v>
      </c>
      <c r="J283" s="2" t="str">
        <f>IFERROR(INDEX('Base com preços'!$C:$O,MATCH(B283,'Base com preços'!$A:$A,0),MATCH(G283,'Base com preços'!$C$1:$O$1,0)),IFERROR(INDEX('Boa forma'!$C:$O,MATCH(A283,'Boa forma'!$A:$A,0),MATCH(G283,'Boa forma'!$C$1:$O$1,0)),""))</f>
        <v/>
      </c>
      <c r="K283" s="2" t="str">
        <f t="shared" si="23"/>
        <v xml:space="preserve"> </v>
      </c>
      <c r="L283" t="str">
        <f t="shared" si="24"/>
        <v>Não</v>
      </c>
    </row>
    <row r="284" spans="1:12" x14ac:dyDescent="0.25">
      <c r="A284">
        <f>'Planilha CP Meli'!B286</f>
        <v>0</v>
      </c>
      <c r="B284">
        <f>'Planilha CP Meli'!C286</f>
        <v>0</v>
      </c>
      <c r="C284">
        <f>'Planilha CP Meli'!E286</f>
        <v>0</v>
      </c>
      <c r="D284" t="str">
        <f>IFERROR(VLOOKUP(A284,'Base MLB'!A:B,2,0)," ")</f>
        <v xml:space="preserve"> </v>
      </c>
      <c r="E284" s="1" t="str">
        <f>IFERROR(VLOOKUP(A284,'Base MLB'!A:C,3,0)," ")</f>
        <v xml:space="preserve"> </v>
      </c>
      <c r="F284" s="1" t="str">
        <f t="shared" si="20"/>
        <v xml:space="preserve"> </v>
      </c>
      <c r="G284" s="1" t="str">
        <f t="shared" si="21"/>
        <v/>
      </c>
      <c r="H284" s="1" t="str">
        <f t="shared" si="22"/>
        <v/>
      </c>
      <c r="I284" s="2">
        <f>'Planilha CP Meli'!G286</f>
        <v>0</v>
      </c>
      <c r="J284" s="2" t="str">
        <f>IFERROR(INDEX('Base com preços'!$C:$O,MATCH(B284,'Base com preços'!$A:$A,0),MATCH(G284,'Base com preços'!$C$1:$O$1,0)),IFERROR(INDEX('Boa forma'!$C:$O,MATCH(A284,'Boa forma'!$A:$A,0),MATCH(G284,'Boa forma'!$C$1:$O$1,0)),""))</f>
        <v/>
      </c>
      <c r="K284" s="2" t="str">
        <f t="shared" si="23"/>
        <v xml:space="preserve"> </v>
      </c>
      <c r="L284" t="str">
        <f t="shared" si="24"/>
        <v>Não</v>
      </c>
    </row>
    <row r="285" spans="1:12" x14ac:dyDescent="0.25">
      <c r="A285">
        <f>'Planilha CP Meli'!B287</f>
        <v>0</v>
      </c>
      <c r="B285">
        <f>'Planilha CP Meli'!C287</f>
        <v>0</v>
      </c>
      <c r="C285">
        <f>'Planilha CP Meli'!E287</f>
        <v>0</v>
      </c>
      <c r="D285" t="str">
        <f>IFERROR(VLOOKUP(A285,'Base MLB'!A:B,2,0)," ")</f>
        <v xml:space="preserve"> </v>
      </c>
      <c r="E285" s="1" t="str">
        <f>IFERROR(VLOOKUP(A285,'Base MLB'!A:C,3,0)," ")</f>
        <v xml:space="preserve"> </v>
      </c>
      <c r="F285" s="1" t="str">
        <f t="shared" si="20"/>
        <v xml:space="preserve"> </v>
      </c>
      <c r="G285" s="1" t="str">
        <f t="shared" si="21"/>
        <v/>
      </c>
      <c r="H285" s="1" t="str">
        <f t="shared" si="22"/>
        <v/>
      </c>
      <c r="I285" s="2">
        <f>'Planilha CP Meli'!G287</f>
        <v>0</v>
      </c>
      <c r="J285" s="2" t="str">
        <f>IFERROR(INDEX('Base com preços'!$C:$O,MATCH(B285,'Base com preços'!$A:$A,0),MATCH(G285,'Base com preços'!$C$1:$O$1,0)),IFERROR(INDEX('Boa forma'!$C:$O,MATCH(A285,'Boa forma'!$A:$A,0),MATCH(G285,'Boa forma'!$C$1:$O$1,0)),""))</f>
        <v/>
      </c>
      <c r="K285" s="2" t="str">
        <f t="shared" si="23"/>
        <v xml:space="preserve"> </v>
      </c>
      <c r="L285" t="str">
        <f t="shared" si="24"/>
        <v>Não</v>
      </c>
    </row>
    <row r="286" spans="1:12" x14ac:dyDescent="0.25">
      <c r="A286">
        <f>'Planilha CP Meli'!B288</f>
        <v>0</v>
      </c>
      <c r="B286">
        <f>'Planilha CP Meli'!C288</f>
        <v>0</v>
      </c>
      <c r="C286">
        <f>'Planilha CP Meli'!E288</f>
        <v>0</v>
      </c>
      <c r="D286" t="str">
        <f>IFERROR(VLOOKUP(A286,'Base MLB'!A:B,2,0)," ")</f>
        <v xml:space="preserve"> </v>
      </c>
      <c r="E286" s="1" t="str">
        <f>IFERROR(VLOOKUP(A286,'Base MLB'!A:C,3,0)," ")</f>
        <v xml:space="preserve"> </v>
      </c>
      <c r="F286" s="1" t="str">
        <f t="shared" si="20"/>
        <v xml:space="preserve"> </v>
      </c>
      <c r="G286" s="1" t="str">
        <f t="shared" si="21"/>
        <v/>
      </c>
      <c r="H286" s="1" t="str">
        <f t="shared" si="22"/>
        <v/>
      </c>
      <c r="I286" s="2">
        <f>'Planilha CP Meli'!G288</f>
        <v>0</v>
      </c>
      <c r="J286" s="2" t="str">
        <f>IFERROR(INDEX('Base com preços'!$C:$O,MATCH(B286,'Base com preços'!$A:$A,0),MATCH(G286,'Base com preços'!$C$1:$O$1,0)),IFERROR(INDEX('Boa forma'!$C:$O,MATCH(A286,'Boa forma'!$A:$A,0),MATCH(G286,'Boa forma'!$C$1:$O$1,0)),""))</f>
        <v/>
      </c>
      <c r="K286" s="2" t="str">
        <f t="shared" si="23"/>
        <v xml:space="preserve"> </v>
      </c>
      <c r="L286" t="str">
        <f t="shared" si="24"/>
        <v>Não</v>
      </c>
    </row>
    <row r="287" spans="1:12" x14ac:dyDescent="0.25">
      <c r="A287">
        <f>'Planilha CP Meli'!B289</f>
        <v>0</v>
      </c>
      <c r="B287">
        <f>'Planilha CP Meli'!C289</f>
        <v>0</v>
      </c>
      <c r="C287">
        <f>'Planilha CP Meli'!E289</f>
        <v>0</v>
      </c>
      <c r="D287" t="str">
        <f>IFERROR(VLOOKUP(A287,'Base MLB'!A:B,2,0)," ")</f>
        <v xml:space="preserve"> </v>
      </c>
      <c r="E287" s="1" t="str">
        <f>IFERROR(VLOOKUP(A287,'Base MLB'!A:C,3,0)," ")</f>
        <v xml:space="preserve"> </v>
      </c>
      <c r="F287" s="1" t="str">
        <f t="shared" si="20"/>
        <v xml:space="preserve"> </v>
      </c>
      <c r="G287" s="1" t="str">
        <f t="shared" si="21"/>
        <v/>
      </c>
      <c r="H287" s="1" t="str">
        <f t="shared" si="22"/>
        <v/>
      </c>
      <c r="I287" s="2">
        <f>'Planilha CP Meli'!G289</f>
        <v>0</v>
      </c>
      <c r="J287" s="2" t="str">
        <f>IFERROR(INDEX('Base com preços'!$C:$O,MATCH(B287,'Base com preços'!$A:$A,0),MATCH(G287,'Base com preços'!$C$1:$O$1,0)),IFERROR(INDEX('Boa forma'!$C:$O,MATCH(A287,'Boa forma'!$A:$A,0),MATCH(G287,'Boa forma'!$C$1:$O$1,0)),""))</f>
        <v/>
      </c>
      <c r="K287" s="2" t="str">
        <f t="shared" si="23"/>
        <v xml:space="preserve"> </v>
      </c>
      <c r="L287" t="str">
        <f t="shared" si="24"/>
        <v>Não</v>
      </c>
    </row>
    <row r="288" spans="1:12" x14ac:dyDescent="0.25">
      <c r="A288">
        <f>'Planilha CP Meli'!B290</f>
        <v>0</v>
      </c>
      <c r="B288">
        <f>'Planilha CP Meli'!C290</f>
        <v>0</v>
      </c>
      <c r="C288">
        <f>'Planilha CP Meli'!E290</f>
        <v>0</v>
      </c>
      <c r="D288" t="str">
        <f>IFERROR(VLOOKUP(A288,'Base MLB'!A:B,2,0)," ")</f>
        <v xml:space="preserve"> </v>
      </c>
      <c r="E288" s="1" t="str">
        <f>IFERROR(VLOOKUP(A288,'Base MLB'!A:C,3,0)," ")</f>
        <v xml:space="preserve"> </v>
      </c>
      <c r="F288" s="1" t="str">
        <f t="shared" si="20"/>
        <v xml:space="preserve"> </v>
      </c>
      <c r="G288" s="1" t="str">
        <f t="shared" si="21"/>
        <v/>
      </c>
      <c r="H288" s="1" t="str">
        <f t="shared" si="22"/>
        <v/>
      </c>
      <c r="I288" s="2">
        <f>'Planilha CP Meli'!G290</f>
        <v>0</v>
      </c>
      <c r="J288" s="2" t="str">
        <f>IFERROR(INDEX('Base com preços'!$C:$O,MATCH(B288,'Base com preços'!$A:$A,0),MATCH(G288,'Base com preços'!$C$1:$O$1,0)),IFERROR(INDEX('Boa forma'!$C:$O,MATCH(A288,'Boa forma'!$A:$A,0),MATCH(G288,'Boa forma'!$C$1:$O$1,0)),""))</f>
        <v/>
      </c>
      <c r="K288" s="2" t="str">
        <f t="shared" si="23"/>
        <v xml:space="preserve"> </v>
      </c>
      <c r="L288" t="str">
        <f t="shared" si="24"/>
        <v>Não</v>
      </c>
    </row>
    <row r="289" spans="1:12" x14ac:dyDescent="0.25">
      <c r="A289">
        <f>'Planilha CP Meli'!B291</f>
        <v>0</v>
      </c>
      <c r="B289">
        <f>'Planilha CP Meli'!C291</f>
        <v>0</v>
      </c>
      <c r="C289">
        <f>'Planilha CP Meli'!E291</f>
        <v>0</v>
      </c>
      <c r="D289" t="str">
        <f>IFERROR(VLOOKUP(A289,'Base MLB'!A:B,2,0)," ")</f>
        <v xml:space="preserve"> </v>
      </c>
      <c r="E289" s="1" t="str">
        <f>IFERROR(VLOOKUP(A289,'Base MLB'!A:C,3,0)," ")</f>
        <v xml:space="preserve"> </v>
      </c>
      <c r="F289" s="1" t="str">
        <f t="shared" si="20"/>
        <v xml:space="preserve"> </v>
      </c>
      <c r="G289" s="1" t="str">
        <f t="shared" si="21"/>
        <v/>
      </c>
      <c r="H289" s="1" t="str">
        <f t="shared" si="22"/>
        <v/>
      </c>
      <c r="I289" s="2">
        <f>'Planilha CP Meli'!G291</f>
        <v>0</v>
      </c>
      <c r="J289" s="2" t="str">
        <f>IFERROR(INDEX('Base com preços'!$C:$O,MATCH(B289,'Base com preços'!$A:$A,0),MATCH(G289,'Base com preços'!$C$1:$O$1,0)),IFERROR(INDEX('Boa forma'!$C:$O,MATCH(A289,'Boa forma'!$A:$A,0),MATCH(G289,'Boa forma'!$C$1:$O$1,0)),""))</f>
        <v/>
      </c>
      <c r="K289" s="2" t="str">
        <f t="shared" si="23"/>
        <v xml:space="preserve"> </v>
      </c>
      <c r="L289" t="str">
        <f t="shared" si="24"/>
        <v>Não</v>
      </c>
    </row>
    <row r="290" spans="1:12" x14ac:dyDescent="0.25">
      <c r="A290">
        <f>'Planilha CP Meli'!B292</f>
        <v>0</v>
      </c>
      <c r="B290">
        <f>'Planilha CP Meli'!C292</f>
        <v>0</v>
      </c>
      <c r="C290">
        <f>'Planilha CP Meli'!E292</f>
        <v>0</v>
      </c>
      <c r="D290" t="str">
        <f>IFERROR(VLOOKUP(A290,'Base MLB'!A:B,2,0)," ")</f>
        <v xml:space="preserve"> </v>
      </c>
      <c r="E290" s="1" t="str">
        <f>IFERROR(VLOOKUP(A290,'Base MLB'!A:C,3,0)," ")</f>
        <v xml:space="preserve"> </v>
      </c>
      <c r="F290" s="1" t="str">
        <f t="shared" si="20"/>
        <v xml:space="preserve"> </v>
      </c>
      <c r="G290" s="1" t="str">
        <f t="shared" si="21"/>
        <v/>
      </c>
      <c r="H290" s="1" t="str">
        <f t="shared" si="22"/>
        <v/>
      </c>
      <c r="I290" s="2">
        <f>'Planilha CP Meli'!G292</f>
        <v>0</v>
      </c>
      <c r="J290" s="2" t="str">
        <f>IFERROR(INDEX('Base com preços'!$C:$O,MATCH(B290,'Base com preços'!$A:$A,0),MATCH(G290,'Base com preços'!$C$1:$O$1,0)),IFERROR(INDEX('Boa forma'!$C:$O,MATCH(A290,'Boa forma'!$A:$A,0),MATCH(G290,'Boa forma'!$C$1:$O$1,0)),""))</f>
        <v/>
      </c>
      <c r="K290" s="2" t="str">
        <f t="shared" si="23"/>
        <v xml:space="preserve"> </v>
      </c>
      <c r="L290" t="str">
        <f t="shared" si="24"/>
        <v>Não</v>
      </c>
    </row>
    <row r="291" spans="1:12" x14ac:dyDescent="0.25">
      <c r="A291">
        <f>'Planilha CP Meli'!B293</f>
        <v>0</v>
      </c>
      <c r="B291">
        <f>'Planilha CP Meli'!C293</f>
        <v>0</v>
      </c>
      <c r="C291">
        <f>'Planilha CP Meli'!E293</f>
        <v>0</v>
      </c>
      <c r="D291" t="str">
        <f>IFERROR(VLOOKUP(A291,'Base MLB'!A:B,2,0)," ")</f>
        <v xml:space="preserve"> </v>
      </c>
      <c r="E291" s="1" t="str">
        <f>IFERROR(VLOOKUP(A291,'Base MLB'!A:C,3,0)," ")</f>
        <v xml:space="preserve"> </v>
      </c>
      <c r="F291" s="1" t="str">
        <f t="shared" si="20"/>
        <v xml:space="preserve"> </v>
      </c>
      <c r="G291" s="1" t="str">
        <f t="shared" si="21"/>
        <v/>
      </c>
      <c r="H291" s="1" t="str">
        <f t="shared" si="22"/>
        <v/>
      </c>
      <c r="I291" s="2">
        <f>'Planilha CP Meli'!G293</f>
        <v>0</v>
      </c>
      <c r="J291" s="2" t="str">
        <f>IFERROR(INDEX('Base com preços'!$C:$O,MATCH(B291,'Base com preços'!$A:$A,0),MATCH(G291,'Base com preços'!$C$1:$O$1,0)),IFERROR(INDEX('Boa forma'!$C:$O,MATCH(A291,'Boa forma'!$A:$A,0),MATCH(G291,'Boa forma'!$C$1:$O$1,0)),""))</f>
        <v/>
      </c>
      <c r="K291" s="2" t="str">
        <f t="shared" si="23"/>
        <v xml:space="preserve"> </v>
      </c>
      <c r="L291" t="str">
        <f t="shared" si="24"/>
        <v>Não</v>
      </c>
    </row>
    <row r="292" spans="1:12" x14ac:dyDescent="0.25">
      <c r="A292">
        <f>'Planilha CP Meli'!B294</f>
        <v>0</v>
      </c>
      <c r="B292">
        <f>'Planilha CP Meli'!C294</f>
        <v>0</v>
      </c>
      <c r="C292">
        <f>'Planilha CP Meli'!E294</f>
        <v>0</v>
      </c>
      <c r="D292" t="str">
        <f>IFERROR(VLOOKUP(A292,'Base MLB'!A:B,2,0)," ")</f>
        <v xml:space="preserve"> </v>
      </c>
      <c r="E292" s="1" t="str">
        <f>IFERROR(VLOOKUP(A292,'Base MLB'!A:C,3,0)," ")</f>
        <v xml:space="preserve"> </v>
      </c>
      <c r="F292" s="1" t="str">
        <f t="shared" si="20"/>
        <v xml:space="preserve"> </v>
      </c>
      <c r="G292" s="1" t="str">
        <f t="shared" si="21"/>
        <v/>
      </c>
      <c r="H292" s="1" t="str">
        <f t="shared" si="22"/>
        <v/>
      </c>
      <c r="I292" s="2">
        <f>'Planilha CP Meli'!G294</f>
        <v>0</v>
      </c>
      <c r="J292" s="2" t="str">
        <f>IFERROR(INDEX('Base com preços'!$C:$O,MATCH(B292,'Base com preços'!$A:$A,0),MATCH(G292,'Base com preços'!$C$1:$O$1,0)),IFERROR(INDEX('Boa forma'!$C:$O,MATCH(A292,'Boa forma'!$A:$A,0),MATCH(G292,'Boa forma'!$C$1:$O$1,0)),""))</f>
        <v/>
      </c>
      <c r="K292" s="2" t="str">
        <f t="shared" si="23"/>
        <v xml:space="preserve"> </v>
      </c>
      <c r="L292" t="str">
        <f t="shared" si="24"/>
        <v>Não</v>
      </c>
    </row>
    <row r="293" spans="1:12" x14ac:dyDescent="0.25">
      <c r="A293">
        <f>'Planilha CP Meli'!B295</f>
        <v>0</v>
      </c>
      <c r="B293">
        <f>'Planilha CP Meli'!C295</f>
        <v>0</v>
      </c>
      <c r="C293">
        <f>'Planilha CP Meli'!E295</f>
        <v>0</v>
      </c>
      <c r="D293" t="str">
        <f>IFERROR(VLOOKUP(A293,'Base MLB'!A:B,2,0)," ")</f>
        <v xml:space="preserve"> </v>
      </c>
      <c r="E293" s="1" t="str">
        <f>IFERROR(VLOOKUP(A293,'Base MLB'!A:C,3,0)," ")</f>
        <v xml:space="preserve"> </v>
      </c>
      <c r="F293" s="1" t="str">
        <f t="shared" si="20"/>
        <v xml:space="preserve"> </v>
      </c>
      <c r="G293" s="1" t="str">
        <f t="shared" si="21"/>
        <v/>
      </c>
      <c r="H293" s="1" t="str">
        <f t="shared" si="22"/>
        <v/>
      </c>
      <c r="I293" s="2">
        <f>'Planilha CP Meli'!G295</f>
        <v>0</v>
      </c>
      <c r="J293" s="2" t="str">
        <f>IFERROR(INDEX('Base com preços'!$C:$O,MATCH(B293,'Base com preços'!$A:$A,0),MATCH(G293,'Base com preços'!$C$1:$O$1,0)),IFERROR(INDEX('Boa forma'!$C:$O,MATCH(A293,'Boa forma'!$A:$A,0),MATCH(G293,'Boa forma'!$C$1:$O$1,0)),""))</f>
        <v/>
      </c>
      <c r="K293" s="2" t="str">
        <f t="shared" si="23"/>
        <v xml:space="preserve"> </v>
      </c>
      <c r="L293" t="str">
        <f t="shared" si="24"/>
        <v>Não</v>
      </c>
    </row>
    <row r="294" spans="1:12" x14ac:dyDescent="0.25">
      <c r="A294">
        <f>'Planilha CP Meli'!B296</f>
        <v>0</v>
      </c>
      <c r="B294">
        <f>'Planilha CP Meli'!C296</f>
        <v>0</v>
      </c>
      <c r="C294">
        <f>'Planilha CP Meli'!E296</f>
        <v>0</v>
      </c>
      <c r="D294" t="str">
        <f>IFERROR(VLOOKUP(A294,'Base MLB'!A:B,2,0)," ")</f>
        <v xml:space="preserve"> </v>
      </c>
      <c r="E294" s="1" t="str">
        <f>IFERROR(VLOOKUP(A294,'Base MLB'!A:C,3,0)," ")</f>
        <v xml:space="preserve"> </v>
      </c>
      <c r="F294" s="1" t="str">
        <f t="shared" si="20"/>
        <v xml:space="preserve"> </v>
      </c>
      <c r="G294" s="1" t="str">
        <f t="shared" si="21"/>
        <v/>
      </c>
      <c r="H294" s="1" t="str">
        <f t="shared" si="22"/>
        <v/>
      </c>
      <c r="I294" s="2">
        <f>'Planilha CP Meli'!G296</f>
        <v>0</v>
      </c>
      <c r="J294" s="2" t="str">
        <f>IFERROR(INDEX('Base com preços'!$C:$O,MATCH(B294,'Base com preços'!$A:$A,0),MATCH(G294,'Base com preços'!$C$1:$O$1,0)),IFERROR(INDEX('Boa forma'!$C:$O,MATCH(A294,'Boa forma'!$A:$A,0),MATCH(G294,'Boa forma'!$C$1:$O$1,0)),""))</f>
        <v/>
      </c>
      <c r="K294" s="2" t="str">
        <f t="shared" si="23"/>
        <v xml:space="preserve"> </v>
      </c>
      <c r="L294" t="str">
        <f t="shared" si="24"/>
        <v>Não</v>
      </c>
    </row>
    <row r="295" spans="1:12" x14ac:dyDescent="0.25">
      <c r="A295">
        <f>'Planilha CP Meli'!B297</f>
        <v>0</v>
      </c>
      <c r="B295">
        <f>'Planilha CP Meli'!C297</f>
        <v>0</v>
      </c>
      <c r="C295">
        <f>'Planilha CP Meli'!E297</f>
        <v>0</v>
      </c>
      <c r="D295" t="str">
        <f>IFERROR(VLOOKUP(A295,'Base MLB'!A:B,2,0)," ")</f>
        <v xml:space="preserve"> </v>
      </c>
      <c r="E295" s="1" t="str">
        <f>IFERROR(VLOOKUP(A295,'Base MLB'!A:C,3,0)," ")</f>
        <v xml:space="preserve"> </v>
      </c>
      <c r="F295" s="1" t="str">
        <f t="shared" si="20"/>
        <v xml:space="preserve"> </v>
      </c>
      <c r="G295" s="1" t="str">
        <f t="shared" si="21"/>
        <v/>
      </c>
      <c r="H295" s="1" t="str">
        <f t="shared" si="22"/>
        <v/>
      </c>
      <c r="I295" s="2">
        <f>'Planilha CP Meli'!G297</f>
        <v>0</v>
      </c>
      <c r="J295" s="2" t="str">
        <f>IFERROR(INDEX('Base com preços'!$C:$O,MATCH(B295,'Base com preços'!$A:$A,0),MATCH(G295,'Base com preços'!$C$1:$O$1,0)),IFERROR(INDEX('Boa forma'!$C:$O,MATCH(A295,'Boa forma'!$A:$A,0),MATCH(G295,'Boa forma'!$C$1:$O$1,0)),""))</f>
        <v/>
      </c>
      <c r="K295" s="2" t="str">
        <f t="shared" si="23"/>
        <v xml:space="preserve"> </v>
      </c>
      <c r="L295" t="str">
        <f t="shared" si="24"/>
        <v>Não</v>
      </c>
    </row>
    <row r="296" spans="1:12" x14ac:dyDescent="0.25">
      <c r="A296">
        <f>'Planilha CP Meli'!B298</f>
        <v>0</v>
      </c>
      <c r="B296">
        <f>'Planilha CP Meli'!C298</f>
        <v>0</v>
      </c>
      <c r="C296">
        <f>'Planilha CP Meli'!E298</f>
        <v>0</v>
      </c>
      <c r="D296" t="str">
        <f>IFERROR(VLOOKUP(A296,'Base MLB'!A:B,2,0)," ")</f>
        <v xml:space="preserve"> </v>
      </c>
      <c r="E296" s="1" t="str">
        <f>IFERROR(VLOOKUP(A296,'Base MLB'!A:C,3,0)," ")</f>
        <v xml:space="preserve"> </v>
      </c>
      <c r="F296" s="1" t="str">
        <f t="shared" si="20"/>
        <v xml:space="preserve"> </v>
      </c>
      <c r="G296" s="1" t="str">
        <f t="shared" si="21"/>
        <v/>
      </c>
      <c r="H296" s="1" t="str">
        <f t="shared" si="22"/>
        <v/>
      </c>
      <c r="I296" s="2">
        <f>'Planilha CP Meli'!G298</f>
        <v>0</v>
      </c>
      <c r="J296" s="2" t="str">
        <f>IFERROR(INDEX('Base com preços'!$C:$O,MATCH(B296,'Base com preços'!$A:$A,0),MATCH(G296,'Base com preços'!$C$1:$O$1,0)),IFERROR(INDEX('Boa forma'!$C:$O,MATCH(A296,'Boa forma'!$A:$A,0),MATCH(G296,'Boa forma'!$C$1:$O$1,0)),""))</f>
        <v/>
      </c>
      <c r="K296" s="2" t="str">
        <f t="shared" si="23"/>
        <v xml:space="preserve"> </v>
      </c>
      <c r="L296" t="str">
        <f t="shared" si="24"/>
        <v>Não</v>
      </c>
    </row>
    <row r="297" spans="1:12" x14ac:dyDescent="0.25">
      <c r="A297">
        <f>'Planilha CP Meli'!B299</f>
        <v>0</v>
      </c>
      <c r="B297">
        <f>'Planilha CP Meli'!C299</f>
        <v>0</v>
      </c>
      <c r="C297">
        <f>'Planilha CP Meli'!E299</f>
        <v>0</v>
      </c>
      <c r="D297" t="str">
        <f>IFERROR(VLOOKUP(A297,'Base MLB'!A:B,2,0)," ")</f>
        <v xml:space="preserve"> </v>
      </c>
      <c r="E297" s="1" t="str">
        <f>IFERROR(VLOOKUP(A297,'Base MLB'!A:C,3,0)," ")</f>
        <v xml:space="preserve"> </v>
      </c>
      <c r="F297" s="1" t="str">
        <f t="shared" si="20"/>
        <v xml:space="preserve"> </v>
      </c>
      <c r="G297" s="1" t="str">
        <f t="shared" si="21"/>
        <v/>
      </c>
      <c r="H297" s="1" t="str">
        <f t="shared" si="22"/>
        <v/>
      </c>
      <c r="I297" s="2">
        <f>'Planilha CP Meli'!G299</f>
        <v>0</v>
      </c>
      <c r="J297" s="2" t="str">
        <f>IFERROR(INDEX('Base com preços'!$C:$O,MATCH(B297,'Base com preços'!$A:$A,0),MATCH(G297,'Base com preços'!$C$1:$O$1,0)),IFERROR(INDEX('Boa forma'!$C:$O,MATCH(A297,'Boa forma'!$A:$A,0),MATCH(G297,'Boa forma'!$C$1:$O$1,0)),""))</f>
        <v/>
      </c>
      <c r="K297" s="2" t="str">
        <f t="shared" si="23"/>
        <v xml:space="preserve"> </v>
      </c>
      <c r="L297" t="str">
        <f t="shared" si="24"/>
        <v>Não</v>
      </c>
    </row>
    <row r="298" spans="1:12" x14ac:dyDescent="0.25">
      <c r="A298">
        <f>'Planilha CP Meli'!B300</f>
        <v>0</v>
      </c>
      <c r="B298">
        <f>'Planilha CP Meli'!C300</f>
        <v>0</v>
      </c>
      <c r="C298">
        <f>'Planilha CP Meli'!E300</f>
        <v>0</v>
      </c>
      <c r="D298" t="str">
        <f>IFERROR(VLOOKUP(A298,'Base MLB'!A:B,2,0)," ")</f>
        <v xml:space="preserve"> </v>
      </c>
      <c r="E298" s="1" t="str">
        <f>IFERROR(VLOOKUP(A298,'Base MLB'!A:C,3,0)," ")</f>
        <v xml:space="preserve"> </v>
      </c>
      <c r="F298" s="1" t="str">
        <f t="shared" si="20"/>
        <v xml:space="preserve"> </v>
      </c>
      <c r="G298" s="1" t="str">
        <f t="shared" si="21"/>
        <v/>
      </c>
      <c r="H298" s="1" t="str">
        <f t="shared" si="22"/>
        <v/>
      </c>
      <c r="I298" s="2">
        <f>'Planilha CP Meli'!G300</f>
        <v>0</v>
      </c>
      <c r="J298" s="2" t="str">
        <f>IFERROR(INDEX('Base com preços'!$C:$O,MATCH(B298,'Base com preços'!$A:$A,0),MATCH(G298,'Base com preços'!$C$1:$O$1,0)),IFERROR(INDEX('Boa forma'!$C:$O,MATCH(A298,'Boa forma'!$A:$A,0),MATCH(G298,'Boa forma'!$C$1:$O$1,0)),""))</f>
        <v/>
      </c>
      <c r="K298" s="2" t="str">
        <f t="shared" si="23"/>
        <v xml:space="preserve"> </v>
      </c>
      <c r="L298" t="str">
        <f t="shared" si="24"/>
        <v>Não</v>
      </c>
    </row>
    <row r="299" spans="1:12" x14ac:dyDescent="0.25">
      <c r="A299">
        <f>'Planilha CP Meli'!B301</f>
        <v>0</v>
      </c>
      <c r="B299">
        <f>'Planilha CP Meli'!C301</f>
        <v>0</v>
      </c>
      <c r="C299">
        <f>'Planilha CP Meli'!E301</f>
        <v>0</v>
      </c>
      <c r="D299" t="str">
        <f>IFERROR(VLOOKUP(A299,'Base MLB'!A:B,2,0)," ")</f>
        <v xml:space="preserve"> </v>
      </c>
      <c r="E299" s="1" t="str">
        <f>IFERROR(VLOOKUP(A299,'Base MLB'!A:C,3,0)," ")</f>
        <v xml:space="preserve"> </v>
      </c>
      <c r="F299" s="1" t="str">
        <f t="shared" si="20"/>
        <v xml:space="preserve"> </v>
      </c>
      <c r="G299" s="1" t="str">
        <f t="shared" si="21"/>
        <v/>
      </c>
      <c r="H299" s="1" t="str">
        <f t="shared" si="22"/>
        <v/>
      </c>
      <c r="I299" s="2">
        <f>'Planilha CP Meli'!G301</f>
        <v>0</v>
      </c>
      <c r="J299" s="2" t="str">
        <f>IFERROR(INDEX('Base com preços'!$C:$O,MATCH(B299,'Base com preços'!$A:$A,0),MATCH(G299,'Base com preços'!$C$1:$O$1,0)),IFERROR(INDEX('Boa forma'!$C:$O,MATCH(A299,'Boa forma'!$A:$A,0),MATCH(G299,'Boa forma'!$C$1:$O$1,0)),""))</f>
        <v/>
      </c>
      <c r="K299" s="2" t="str">
        <f t="shared" si="23"/>
        <v xml:space="preserve"> </v>
      </c>
      <c r="L299" t="str">
        <f t="shared" si="24"/>
        <v>Não</v>
      </c>
    </row>
    <row r="300" spans="1:12" x14ac:dyDescent="0.25">
      <c r="A300">
        <f>'Planilha CP Meli'!B302</f>
        <v>0</v>
      </c>
      <c r="B300">
        <f>'Planilha CP Meli'!C302</f>
        <v>0</v>
      </c>
      <c r="C300">
        <f>'Planilha CP Meli'!E302</f>
        <v>0</v>
      </c>
      <c r="D300" t="str">
        <f>IFERROR(VLOOKUP(A300,'Base MLB'!A:B,2,0)," ")</f>
        <v xml:space="preserve"> </v>
      </c>
      <c r="E300" s="1" t="str">
        <f>IFERROR(VLOOKUP(A300,'Base MLB'!A:C,3,0)," ")</f>
        <v xml:space="preserve"> </v>
      </c>
      <c r="F300" s="1" t="str">
        <f t="shared" si="20"/>
        <v xml:space="preserve"> </v>
      </c>
      <c r="G300" s="1" t="str">
        <f t="shared" si="21"/>
        <v/>
      </c>
      <c r="H300" s="1" t="str">
        <f t="shared" si="22"/>
        <v/>
      </c>
      <c r="I300" s="2">
        <f>'Planilha CP Meli'!G302</f>
        <v>0</v>
      </c>
      <c r="J300" s="2" t="str">
        <f>IFERROR(INDEX('Base com preços'!$C:$O,MATCH(B300,'Base com preços'!$A:$A,0),MATCH(G300,'Base com preços'!$C$1:$O$1,0)),IFERROR(INDEX('Boa forma'!$C:$O,MATCH(A300,'Boa forma'!$A:$A,0),MATCH(G300,'Boa forma'!$C$1:$O$1,0)),""))</f>
        <v/>
      </c>
      <c r="K300" s="2" t="str">
        <f t="shared" si="23"/>
        <v xml:space="preserve"> </v>
      </c>
      <c r="L300" t="str">
        <f t="shared" si="24"/>
        <v>Não</v>
      </c>
    </row>
  </sheetData>
  <autoFilter ref="A2:L300" xr:uid="{476D6CDE-3BAE-4A82-B438-85A4207A4AC4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5E49-E5A5-45AD-BF57-B070DDBF976C}">
  <dimension ref="A1:C1323"/>
  <sheetViews>
    <sheetView topLeftCell="A1008" workbookViewId="0">
      <selection activeCell="A1012" sqref="A1012:C1012"/>
    </sheetView>
  </sheetViews>
  <sheetFormatPr defaultRowHeight="15" x14ac:dyDescent="0.25"/>
  <cols>
    <col min="1" max="1" width="14.85546875" bestFit="1" customWidth="1"/>
    <col min="2" max="2" width="15.42578125" bestFit="1" customWidth="1"/>
    <col min="3" max="3" width="16.140625" style="1" bestFit="1" customWidth="1"/>
  </cols>
  <sheetData>
    <row r="1" spans="1:3" x14ac:dyDescent="0.25">
      <c r="A1" t="s">
        <v>10</v>
      </c>
      <c r="B1" t="s">
        <v>11</v>
      </c>
      <c r="C1" s="1" t="s">
        <v>1079</v>
      </c>
    </row>
    <row r="2" spans="1:3" x14ac:dyDescent="0.25">
      <c r="A2" t="s">
        <v>12</v>
      </c>
      <c r="B2" t="s">
        <v>13</v>
      </c>
      <c r="C2" s="1">
        <v>0.115</v>
      </c>
    </row>
    <row r="3" spans="1:3" x14ac:dyDescent="0.25">
      <c r="A3" t="s">
        <v>14</v>
      </c>
      <c r="B3" t="s">
        <v>13</v>
      </c>
      <c r="C3" s="1">
        <v>0.115</v>
      </c>
    </row>
    <row r="4" spans="1:3" x14ac:dyDescent="0.25">
      <c r="A4" t="s">
        <v>15</v>
      </c>
      <c r="B4" t="s">
        <v>13</v>
      </c>
      <c r="C4" s="1">
        <v>0.115</v>
      </c>
    </row>
    <row r="5" spans="1:3" x14ac:dyDescent="0.25">
      <c r="A5" t="s">
        <v>16</v>
      </c>
      <c r="B5" t="s">
        <v>13</v>
      </c>
      <c r="C5" s="1">
        <v>0.115</v>
      </c>
    </row>
    <row r="6" spans="1:3" x14ac:dyDescent="0.25">
      <c r="A6" t="s">
        <v>17</v>
      </c>
      <c r="B6" t="s">
        <v>13</v>
      </c>
      <c r="C6" s="1">
        <v>0.115</v>
      </c>
    </row>
    <row r="7" spans="1:3" x14ac:dyDescent="0.25">
      <c r="A7" t="s">
        <v>18</v>
      </c>
      <c r="B7" t="s">
        <v>13</v>
      </c>
      <c r="C7" s="1">
        <v>0.115</v>
      </c>
    </row>
    <row r="8" spans="1:3" x14ac:dyDescent="0.25">
      <c r="A8" t="s">
        <v>19</v>
      </c>
      <c r="B8" t="s">
        <v>13</v>
      </c>
      <c r="C8" s="1">
        <v>0.115</v>
      </c>
    </row>
    <row r="9" spans="1:3" x14ac:dyDescent="0.25">
      <c r="A9" t="s">
        <v>20</v>
      </c>
      <c r="B9" t="s">
        <v>13</v>
      </c>
      <c r="C9" s="1">
        <v>0.115</v>
      </c>
    </row>
    <row r="10" spans="1:3" x14ac:dyDescent="0.25">
      <c r="A10" t="s">
        <v>21</v>
      </c>
      <c r="B10" t="s">
        <v>13</v>
      </c>
      <c r="C10" s="1">
        <v>0.115</v>
      </c>
    </row>
    <row r="11" spans="1:3" x14ac:dyDescent="0.25">
      <c r="A11" t="s">
        <v>22</v>
      </c>
      <c r="B11" t="s">
        <v>13</v>
      </c>
      <c r="C11" s="1">
        <v>0.115</v>
      </c>
    </row>
    <row r="12" spans="1:3" x14ac:dyDescent="0.25">
      <c r="A12" t="s">
        <v>23</v>
      </c>
      <c r="B12" t="s">
        <v>13</v>
      </c>
      <c r="C12" s="1">
        <v>0.115</v>
      </c>
    </row>
    <row r="13" spans="1:3" x14ac:dyDescent="0.25">
      <c r="A13" t="s">
        <v>24</v>
      </c>
      <c r="B13" t="s">
        <v>13</v>
      </c>
      <c r="C13" s="1">
        <v>0.115</v>
      </c>
    </row>
    <row r="14" spans="1:3" x14ac:dyDescent="0.25">
      <c r="A14" t="s">
        <v>25</v>
      </c>
      <c r="B14" t="s">
        <v>13</v>
      </c>
      <c r="C14" s="1">
        <v>0.115</v>
      </c>
    </row>
    <row r="15" spans="1:3" x14ac:dyDescent="0.25">
      <c r="A15" t="s">
        <v>26</v>
      </c>
      <c r="B15" t="s">
        <v>13</v>
      </c>
      <c r="C15" s="1">
        <v>0.115</v>
      </c>
    </row>
    <row r="16" spans="1:3" x14ac:dyDescent="0.25">
      <c r="A16" t="s">
        <v>27</v>
      </c>
      <c r="B16" t="s">
        <v>13</v>
      </c>
      <c r="C16" s="1">
        <v>0.115</v>
      </c>
    </row>
    <row r="17" spans="1:3" x14ac:dyDescent="0.25">
      <c r="A17" t="s">
        <v>28</v>
      </c>
      <c r="B17" t="s">
        <v>13</v>
      </c>
      <c r="C17" s="1">
        <v>0.115</v>
      </c>
    </row>
    <row r="18" spans="1:3" x14ac:dyDescent="0.25">
      <c r="A18" t="s">
        <v>29</v>
      </c>
      <c r="B18" t="s">
        <v>13</v>
      </c>
      <c r="C18" s="1">
        <v>0.115</v>
      </c>
    </row>
    <row r="19" spans="1:3" x14ac:dyDescent="0.25">
      <c r="A19" t="s">
        <v>30</v>
      </c>
      <c r="B19" t="s">
        <v>13</v>
      </c>
      <c r="C19" s="1">
        <v>0.115</v>
      </c>
    </row>
    <row r="20" spans="1:3" x14ac:dyDescent="0.25">
      <c r="A20" t="s">
        <v>31</v>
      </c>
      <c r="B20" t="s">
        <v>13</v>
      </c>
      <c r="C20" s="1">
        <v>0.115</v>
      </c>
    </row>
    <row r="21" spans="1:3" x14ac:dyDescent="0.25">
      <c r="A21" t="s">
        <v>32</v>
      </c>
      <c r="B21" t="s">
        <v>13</v>
      </c>
      <c r="C21" s="1">
        <v>0.115</v>
      </c>
    </row>
    <row r="22" spans="1:3" x14ac:dyDescent="0.25">
      <c r="A22" t="s">
        <v>33</v>
      </c>
      <c r="B22" t="s">
        <v>13</v>
      </c>
      <c r="C22" s="1">
        <v>0.115</v>
      </c>
    </row>
    <row r="23" spans="1:3" x14ac:dyDescent="0.25">
      <c r="A23" t="s">
        <v>34</v>
      </c>
      <c r="B23" t="s">
        <v>13</v>
      </c>
      <c r="C23" s="1">
        <v>0.115</v>
      </c>
    </row>
    <row r="24" spans="1:3" x14ac:dyDescent="0.25">
      <c r="A24" t="s">
        <v>35</v>
      </c>
      <c r="B24" t="s">
        <v>13</v>
      </c>
      <c r="C24" s="1">
        <v>0.115</v>
      </c>
    </row>
    <row r="25" spans="1:3" x14ac:dyDescent="0.25">
      <c r="A25" t="s">
        <v>36</v>
      </c>
      <c r="B25" t="s">
        <v>13</v>
      </c>
      <c r="C25" s="1">
        <v>0.115</v>
      </c>
    </row>
    <row r="26" spans="1:3" x14ac:dyDescent="0.25">
      <c r="A26" t="s">
        <v>37</v>
      </c>
      <c r="B26" t="s">
        <v>13</v>
      </c>
      <c r="C26" s="1">
        <v>0.115</v>
      </c>
    </row>
    <row r="27" spans="1:3" x14ac:dyDescent="0.25">
      <c r="A27" t="s">
        <v>38</v>
      </c>
      <c r="B27" t="s">
        <v>13</v>
      </c>
      <c r="C27" s="1">
        <v>0.115</v>
      </c>
    </row>
    <row r="28" spans="1:3" x14ac:dyDescent="0.25">
      <c r="A28" t="s">
        <v>39</v>
      </c>
      <c r="B28" t="s">
        <v>13</v>
      </c>
      <c r="C28" s="1">
        <v>0.115</v>
      </c>
    </row>
    <row r="29" spans="1:3" x14ac:dyDescent="0.25">
      <c r="A29" t="s">
        <v>40</v>
      </c>
      <c r="B29" t="s">
        <v>13</v>
      </c>
      <c r="C29" s="1">
        <v>0.115</v>
      </c>
    </row>
    <row r="30" spans="1:3" x14ac:dyDescent="0.25">
      <c r="A30" t="s">
        <v>41</v>
      </c>
      <c r="B30" t="s">
        <v>13</v>
      </c>
      <c r="C30" s="1">
        <v>0.115</v>
      </c>
    </row>
    <row r="31" spans="1:3" x14ac:dyDescent="0.25">
      <c r="A31" t="s">
        <v>42</v>
      </c>
      <c r="B31" t="s">
        <v>13</v>
      </c>
      <c r="C31" s="1">
        <v>0.115</v>
      </c>
    </row>
    <row r="32" spans="1:3" x14ac:dyDescent="0.25">
      <c r="A32" t="s">
        <v>43</v>
      </c>
      <c r="B32" t="s">
        <v>13</v>
      </c>
      <c r="C32" s="1">
        <v>0.115</v>
      </c>
    </row>
    <row r="33" spans="1:3" x14ac:dyDescent="0.25">
      <c r="A33" t="s">
        <v>44</v>
      </c>
      <c r="B33" t="s">
        <v>13</v>
      </c>
      <c r="C33" s="1">
        <v>0.115</v>
      </c>
    </row>
    <row r="34" spans="1:3" x14ac:dyDescent="0.25">
      <c r="A34" t="s">
        <v>45</v>
      </c>
      <c r="B34" t="s">
        <v>13</v>
      </c>
      <c r="C34" s="1">
        <v>0.115</v>
      </c>
    </row>
    <row r="35" spans="1:3" x14ac:dyDescent="0.25">
      <c r="A35" t="s">
        <v>46</v>
      </c>
      <c r="B35" t="s">
        <v>13</v>
      </c>
      <c r="C35" s="1">
        <v>0.115</v>
      </c>
    </row>
    <row r="36" spans="1:3" x14ac:dyDescent="0.25">
      <c r="A36" t="s">
        <v>47</v>
      </c>
      <c r="B36" t="s">
        <v>13</v>
      </c>
      <c r="C36" s="1">
        <v>0.115</v>
      </c>
    </row>
    <row r="37" spans="1:3" x14ac:dyDescent="0.25">
      <c r="A37" t="s">
        <v>48</v>
      </c>
      <c r="B37" t="s">
        <v>13</v>
      </c>
      <c r="C37" s="1">
        <v>0.115</v>
      </c>
    </row>
    <row r="38" spans="1:3" x14ac:dyDescent="0.25">
      <c r="A38" t="s">
        <v>49</v>
      </c>
      <c r="B38" t="s">
        <v>13</v>
      </c>
      <c r="C38" s="1">
        <v>0.115</v>
      </c>
    </row>
    <row r="39" spans="1:3" x14ac:dyDescent="0.25">
      <c r="A39" t="s">
        <v>50</v>
      </c>
      <c r="B39" t="s">
        <v>13</v>
      </c>
      <c r="C39" s="1">
        <v>0.115</v>
      </c>
    </row>
    <row r="40" spans="1:3" x14ac:dyDescent="0.25">
      <c r="A40" t="s">
        <v>51</v>
      </c>
      <c r="B40" t="s">
        <v>13</v>
      </c>
      <c r="C40" s="1">
        <v>0.115</v>
      </c>
    </row>
    <row r="41" spans="1:3" x14ac:dyDescent="0.25">
      <c r="A41" t="s">
        <v>52</v>
      </c>
      <c r="B41" t="s">
        <v>13</v>
      </c>
      <c r="C41" s="1">
        <v>0.115</v>
      </c>
    </row>
    <row r="42" spans="1:3" x14ac:dyDescent="0.25">
      <c r="A42" t="s">
        <v>53</v>
      </c>
      <c r="B42" t="s">
        <v>13</v>
      </c>
      <c r="C42" s="1">
        <v>0.115</v>
      </c>
    </row>
    <row r="43" spans="1:3" x14ac:dyDescent="0.25">
      <c r="A43" t="s">
        <v>54</v>
      </c>
      <c r="B43" t="s">
        <v>13</v>
      </c>
      <c r="C43" s="1">
        <v>0.115</v>
      </c>
    </row>
    <row r="44" spans="1:3" x14ac:dyDescent="0.25">
      <c r="A44" t="s">
        <v>55</v>
      </c>
      <c r="B44" t="s">
        <v>13</v>
      </c>
      <c r="C44" s="1">
        <v>0.115</v>
      </c>
    </row>
    <row r="45" spans="1:3" x14ac:dyDescent="0.25">
      <c r="A45" t="s">
        <v>56</v>
      </c>
      <c r="B45" t="s">
        <v>13</v>
      </c>
      <c r="C45" s="1">
        <v>0.115</v>
      </c>
    </row>
    <row r="46" spans="1:3" x14ac:dyDescent="0.25">
      <c r="A46" t="s">
        <v>57</v>
      </c>
      <c r="B46" t="s">
        <v>13</v>
      </c>
      <c r="C46" s="1">
        <v>0.115</v>
      </c>
    </row>
    <row r="47" spans="1:3" x14ac:dyDescent="0.25">
      <c r="A47" t="s">
        <v>58</v>
      </c>
      <c r="B47" t="s">
        <v>13</v>
      </c>
      <c r="C47" s="1">
        <v>0.115</v>
      </c>
    </row>
    <row r="48" spans="1:3" x14ac:dyDescent="0.25">
      <c r="A48" t="s">
        <v>59</v>
      </c>
      <c r="B48" t="s">
        <v>13</v>
      </c>
      <c r="C48" s="1">
        <v>0.115</v>
      </c>
    </row>
    <row r="49" spans="1:3" x14ac:dyDescent="0.25">
      <c r="A49" t="s">
        <v>60</v>
      </c>
      <c r="B49" t="s">
        <v>13</v>
      </c>
      <c r="C49" s="1">
        <v>0.115</v>
      </c>
    </row>
    <row r="50" spans="1:3" x14ac:dyDescent="0.25">
      <c r="A50" t="s">
        <v>61</v>
      </c>
      <c r="B50" t="s">
        <v>13</v>
      </c>
      <c r="C50" s="1">
        <v>0.115</v>
      </c>
    </row>
    <row r="51" spans="1:3" x14ac:dyDescent="0.25">
      <c r="A51" t="s">
        <v>62</v>
      </c>
      <c r="B51" t="s">
        <v>13</v>
      </c>
      <c r="C51" s="1">
        <v>0.115</v>
      </c>
    </row>
    <row r="52" spans="1:3" x14ac:dyDescent="0.25">
      <c r="A52" t="s">
        <v>63</v>
      </c>
      <c r="B52" t="s">
        <v>13</v>
      </c>
      <c r="C52" s="1">
        <v>0.115</v>
      </c>
    </row>
    <row r="53" spans="1:3" x14ac:dyDescent="0.25">
      <c r="A53" t="s">
        <v>64</v>
      </c>
      <c r="B53" t="s">
        <v>13</v>
      </c>
      <c r="C53" s="1">
        <v>0.115</v>
      </c>
    </row>
    <row r="54" spans="1:3" x14ac:dyDescent="0.25">
      <c r="A54" t="s">
        <v>65</v>
      </c>
      <c r="B54" t="s">
        <v>13</v>
      </c>
      <c r="C54" s="1">
        <v>0.115</v>
      </c>
    </row>
    <row r="55" spans="1:3" x14ac:dyDescent="0.25">
      <c r="A55" t="s">
        <v>66</v>
      </c>
      <c r="B55" t="s">
        <v>13</v>
      </c>
      <c r="C55" s="1">
        <v>0.115</v>
      </c>
    </row>
    <row r="56" spans="1:3" x14ac:dyDescent="0.25">
      <c r="A56" t="s">
        <v>67</v>
      </c>
      <c r="B56" t="s">
        <v>13</v>
      </c>
      <c r="C56" s="1">
        <v>0.115</v>
      </c>
    </row>
    <row r="57" spans="1:3" x14ac:dyDescent="0.25">
      <c r="A57" t="s">
        <v>68</v>
      </c>
      <c r="B57" t="s">
        <v>13</v>
      </c>
      <c r="C57" s="1">
        <v>0.115</v>
      </c>
    </row>
    <row r="58" spans="1:3" x14ac:dyDescent="0.25">
      <c r="A58" t="s">
        <v>69</v>
      </c>
      <c r="B58" t="s">
        <v>13</v>
      </c>
      <c r="C58" s="1">
        <v>0.115</v>
      </c>
    </row>
    <row r="59" spans="1:3" x14ac:dyDescent="0.25">
      <c r="A59" t="s">
        <v>70</v>
      </c>
      <c r="B59" t="s">
        <v>13</v>
      </c>
      <c r="C59" s="1">
        <v>0.115</v>
      </c>
    </row>
    <row r="60" spans="1:3" x14ac:dyDescent="0.25">
      <c r="A60" t="s">
        <v>71</v>
      </c>
      <c r="B60" t="s">
        <v>13</v>
      </c>
      <c r="C60" s="1">
        <v>0.115</v>
      </c>
    </row>
    <row r="61" spans="1:3" x14ac:dyDescent="0.25">
      <c r="A61" t="s">
        <v>72</v>
      </c>
      <c r="B61" t="s">
        <v>13</v>
      </c>
      <c r="C61" s="1">
        <v>0.115</v>
      </c>
    </row>
    <row r="62" spans="1:3" x14ac:dyDescent="0.25">
      <c r="A62" t="s">
        <v>73</v>
      </c>
      <c r="B62" t="s">
        <v>13</v>
      </c>
      <c r="C62" s="1">
        <v>0.115</v>
      </c>
    </row>
    <row r="63" spans="1:3" x14ac:dyDescent="0.25">
      <c r="A63" t="s">
        <v>74</v>
      </c>
      <c r="B63" t="s">
        <v>13</v>
      </c>
      <c r="C63" s="1">
        <v>0.115</v>
      </c>
    </row>
    <row r="64" spans="1:3" x14ac:dyDescent="0.25">
      <c r="A64" t="s">
        <v>75</v>
      </c>
      <c r="B64" t="s">
        <v>13</v>
      </c>
      <c r="C64" s="1">
        <v>0.115</v>
      </c>
    </row>
    <row r="65" spans="1:3" x14ac:dyDescent="0.25">
      <c r="A65" t="s">
        <v>76</v>
      </c>
      <c r="B65" t="s">
        <v>13</v>
      </c>
      <c r="C65" s="1">
        <v>0.115</v>
      </c>
    </row>
    <row r="66" spans="1:3" x14ac:dyDescent="0.25">
      <c r="A66" t="s">
        <v>77</v>
      </c>
      <c r="B66" t="s">
        <v>13</v>
      </c>
      <c r="C66" s="1">
        <v>0.115</v>
      </c>
    </row>
    <row r="67" spans="1:3" x14ac:dyDescent="0.25">
      <c r="A67" t="s">
        <v>78</v>
      </c>
      <c r="B67" t="s">
        <v>13</v>
      </c>
      <c r="C67" s="1">
        <v>0.115</v>
      </c>
    </row>
    <row r="68" spans="1:3" x14ac:dyDescent="0.25">
      <c r="A68" t="s">
        <v>79</v>
      </c>
      <c r="B68" t="s">
        <v>13</v>
      </c>
      <c r="C68" s="1">
        <v>0.115</v>
      </c>
    </row>
    <row r="69" spans="1:3" x14ac:dyDescent="0.25">
      <c r="A69" t="s">
        <v>80</v>
      </c>
      <c r="B69" t="s">
        <v>13</v>
      </c>
      <c r="C69" s="1">
        <v>0.115</v>
      </c>
    </row>
    <row r="70" spans="1:3" x14ac:dyDescent="0.25">
      <c r="A70" t="s">
        <v>81</v>
      </c>
      <c r="B70" t="s">
        <v>13</v>
      </c>
      <c r="C70" s="1">
        <v>0.115</v>
      </c>
    </row>
    <row r="71" spans="1:3" x14ac:dyDescent="0.25">
      <c r="A71" t="s">
        <v>82</v>
      </c>
      <c r="B71" t="s">
        <v>13</v>
      </c>
      <c r="C71" s="1">
        <v>0.115</v>
      </c>
    </row>
    <row r="72" spans="1:3" x14ac:dyDescent="0.25">
      <c r="A72" t="s">
        <v>83</v>
      </c>
      <c r="B72" t="s">
        <v>13</v>
      </c>
      <c r="C72" s="1">
        <v>0.115</v>
      </c>
    </row>
    <row r="73" spans="1:3" x14ac:dyDescent="0.25">
      <c r="A73" t="s">
        <v>84</v>
      </c>
      <c r="B73" t="s">
        <v>13</v>
      </c>
      <c r="C73" s="1">
        <v>0.115</v>
      </c>
    </row>
    <row r="74" spans="1:3" x14ac:dyDescent="0.25">
      <c r="A74" t="s">
        <v>85</v>
      </c>
      <c r="B74" t="s">
        <v>13</v>
      </c>
      <c r="C74" s="1">
        <v>0.115</v>
      </c>
    </row>
    <row r="75" spans="1:3" x14ac:dyDescent="0.25">
      <c r="A75" t="s">
        <v>86</v>
      </c>
      <c r="B75" t="s">
        <v>13</v>
      </c>
      <c r="C75" s="1">
        <v>0.115</v>
      </c>
    </row>
    <row r="76" spans="1:3" x14ac:dyDescent="0.25">
      <c r="A76" t="s">
        <v>87</v>
      </c>
      <c r="B76" t="s">
        <v>13</v>
      </c>
      <c r="C76" s="1">
        <v>0.115</v>
      </c>
    </row>
    <row r="77" spans="1:3" x14ac:dyDescent="0.25">
      <c r="A77" t="s">
        <v>88</v>
      </c>
      <c r="B77" t="s">
        <v>13</v>
      </c>
      <c r="C77" s="1">
        <v>0.115</v>
      </c>
    </row>
    <row r="78" spans="1:3" x14ac:dyDescent="0.25">
      <c r="A78" t="s">
        <v>89</v>
      </c>
      <c r="B78" t="s">
        <v>13</v>
      </c>
      <c r="C78" s="1">
        <v>0.115</v>
      </c>
    </row>
    <row r="79" spans="1:3" x14ac:dyDescent="0.25">
      <c r="A79" t="s">
        <v>90</v>
      </c>
      <c r="B79" t="s">
        <v>13</v>
      </c>
      <c r="C79" s="1">
        <v>0.115</v>
      </c>
    </row>
    <row r="80" spans="1:3" x14ac:dyDescent="0.25">
      <c r="A80" t="s">
        <v>91</v>
      </c>
      <c r="B80" t="s">
        <v>13</v>
      </c>
      <c r="C80" s="1">
        <v>0.115</v>
      </c>
    </row>
    <row r="81" spans="1:3" x14ac:dyDescent="0.25">
      <c r="A81" t="s">
        <v>92</v>
      </c>
      <c r="B81" t="s">
        <v>13</v>
      </c>
      <c r="C81" s="1">
        <v>0.115</v>
      </c>
    </row>
    <row r="82" spans="1:3" x14ac:dyDescent="0.25">
      <c r="A82" t="s">
        <v>93</v>
      </c>
      <c r="B82" t="s">
        <v>13</v>
      </c>
      <c r="C82" s="1">
        <v>0.115</v>
      </c>
    </row>
    <row r="83" spans="1:3" x14ac:dyDescent="0.25">
      <c r="A83" t="s">
        <v>94</v>
      </c>
      <c r="B83" t="s">
        <v>13</v>
      </c>
      <c r="C83" s="1">
        <v>0.115</v>
      </c>
    </row>
    <row r="84" spans="1:3" x14ac:dyDescent="0.25">
      <c r="A84" t="s">
        <v>95</v>
      </c>
      <c r="B84" t="s">
        <v>13</v>
      </c>
      <c r="C84" s="1">
        <v>0.115</v>
      </c>
    </row>
    <row r="85" spans="1:3" x14ac:dyDescent="0.25">
      <c r="A85" t="s">
        <v>96</v>
      </c>
      <c r="B85" t="s">
        <v>13</v>
      </c>
      <c r="C85" s="1">
        <v>0.115</v>
      </c>
    </row>
    <row r="86" spans="1:3" x14ac:dyDescent="0.25">
      <c r="A86" t="s">
        <v>97</v>
      </c>
      <c r="B86" t="s">
        <v>13</v>
      </c>
      <c r="C86" s="1">
        <v>0.115</v>
      </c>
    </row>
    <row r="87" spans="1:3" x14ac:dyDescent="0.25">
      <c r="A87" t="s">
        <v>98</v>
      </c>
      <c r="B87" t="s">
        <v>13</v>
      </c>
      <c r="C87" s="1">
        <v>0.115</v>
      </c>
    </row>
    <row r="88" spans="1:3" x14ac:dyDescent="0.25">
      <c r="A88" t="s">
        <v>99</v>
      </c>
      <c r="B88" t="s">
        <v>13</v>
      </c>
      <c r="C88" s="1">
        <v>0.115</v>
      </c>
    </row>
    <row r="89" spans="1:3" x14ac:dyDescent="0.25">
      <c r="A89" t="s">
        <v>100</v>
      </c>
      <c r="B89" t="s">
        <v>13</v>
      </c>
      <c r="C89" s="1">
        <v>0.115</v>
      </c>
    </row>
    <row r="90" spans="1:3" x14ac:dyDescent="0.25">
      <c r="A90" t="s">
        <v>101</v>
      </c>
      <c r="B90" t="s">
        <v>13</v>
      </c>
      <c r="C90" s="1">
        <v>0.115</v>
      </c>
    </row>
    <row r="91" spans="1:3" x14ac:dyDescent="0.25">
      <c r="A91" t="s">
        <v>102</v>
      </c>
      <c r="B91" t="s">
        <v>13</v>
      </c>
      <c r="C91" s="1">
        <v>0.115</v>
      </c>
    </row>
    <row r="92" spans="1:3" x14ac:dyDescent="0.25">
      <c r="A92" t="s">
        <v>103</v>
      </c>
      <c r="B92" t="s">
        <v>13</v>
      </c>
      <c r="C92" s="1">
        <v>0.115</v>
      </c>
    </row>
    <row r="93" spans="1:3" x14ac:dyDescent="0.25">
      <c r="A93" t="s">
        <v>104</v>
      </c>
      <c r="B93" t="s">
        <v>13</v>
      </c>
      <c r="C93" s="1">
        <v>0.115</v>
      </c>
    </row>
    <row r="94" spans="1:3" x14ac:dyDescent="0.25">
      <c r="A94" t="s">
        <v>105</v>
      </c>
      <c r="B94" t="s">
        <v>13</v>
      </c>
      <c r="C94" s="1">
        <v>0.115</v>
      </c>
    </row>
    <row r="95" spans="1:3" x14ac:dyDescent="0.25">
      <c r="A95" t="s">
        <v>106</v>
      </c>
      <c r="B95" t="s">
        <v>13</v>
      </c>
      <c r="C95" s="1">
        <v>0.115</v>
      </c>
    </row>
    <row r="96" spans="1:3" x14ac:dyDescent="0.25">
      <c r="A96" t="s">
        <v>107</v>
      </c>
      <c r="B96" t="s">
        <v>13</v>
      </c>
      <c r="C96" s="1">
        <v>0.115</v>
      </c>
    </row>
    <row r="97" spans="1:3" x14ac:dyDescent="0.25">
      <c r="A97" t="s">
        <v>108</v>
      </c>
      <c r="B97" t="s">
        <v>13</v>
      </c>
      <c r="C97" s="1">
        <v>0.115</v>
      </c>
    </row>
    <row r="98" spans="1:3" x14ac:dyDescent="0.25">
      <c r="A98" t="s">
        <v>109</v>
      </c>
      <c r="B98" t="s">
        <v>13</v>
      </c>
      <c r="C98" s="1">
        <v>0.115</v>
      </c>
    </row>
    <row r="99" spans="1:3" x14ac:dyDescent="0.25">
      <c r="A99" t="s">
        <v>110</v>
      </c>
      <c r="B99" t="s">
        <v>13</v>
      </c>
      <c r="C99" s="1">
        <v>0.115</v>
      </c>
    </row>
    <row r="100" spans="1:3" x14ac:dyDescent="0.25">
      <c r="A100" t="s">
        <v>111</v>
      </c>
      <c r="B100" t="s">
        <v>13</v>
      </c>
      <c r="C100" s="1">
        <v>0.115</v>
      </c>
    </row>
    <row r="101" spans="1:3" x14ac:dyDescent="0.25">
      <c r="A101" t="s">
        <v>112</v>
      </c>
      <c r="B101" t="s">
        <v>13</v>
      </c>
      <c r="C101" s="1">
        <v>0.115</v>
      </c>
    </row>
    <row r="102" spans="1:3" x14ac:dyDescent="0.25">
      <c r="A102" t="s">
        <v>113</v>
      </c>
      <c r="B102" t="s">
        <v>13</v>
      </c>
      <c r="C102" s="1">
        <v>0.115</v>
      </c>
    </row>
    <row r="103" spans="1:3" x14ac:dyDescent="0.25">
      <c r="A103" t="s">
        <v>114</v>
      </c>
      <c r="B103" t="s">
        <v>13</v>
      </c>
      <c r="C103" s="1">
        <v>0.115</v>
      </c>
    </row>
    <row r="104" spans="1:3" x14ac:dyDescent="0.25">
      <c r="A104" t="s">
        <v>115</v>
      </c>
      <c r="B104" t="s">
        <v>13</v>
      </c>
      <c r="C104" s="1">
        <v>0.115</v>
      </c>
    </row>
    <row r="105" spans="1:3" x14ac:dyDescent="0.25">
      <c r="A105" t="s">
        <v>116</v>
      </c>
      <c r="B105" t="s">
        <v>13</v>
      </c>
      <c r="C105" s="1">
        <v>0.115</v>
      </c>
    </row>
    <row r="106" spans="1:3" x14ac:dyDescent="0.25">
      <c r="A106" t="s">
        <v>117</v>
      </c>
      <c r="B106" t="s">
        <v>13</v>
      </c>
      <c r="C106" s="1">
        <v>0.115</v>
      </c>
    </row>
    <row r="107" spans="1:3" x14ac:dyDescent="0.25">
      <c r="A107" t="s">
        <v>118</v>
      </c>
      <c r="B107" t="s">
        <v>13</v>
      </c>
      <c r="C107" s="1">
        <v>0.115</v>
      </c>
    </row>
    <row r="108" spans="1:3" x14ac:dyDescent="0.25">
      <c r="A108" t="s">
        <v>119</v>
      </c>
      <c r="B108" t="s">
        <v>13</v>
      </c>
      <c r="C108" s="1">
        <v>0.115</v>
      </c>
    </row>
    <row r="109" spans="1:3" x14ac:dyDescent="0.25">
      <c r="A109" t="s">
        <v>120</v>
      </c>
      <c r="B109" t="s">
        <v>13</v>
      </c>
      <c r="C109" s="1">
        <v>0.115</v>
      </c>
    </row>
    <row r="110" spans="1:3" x14ac:dyDescent="0.25">
      <c r="A110" t="s">
        <v>121</v>
      </c>
      <c r="B110" t="s">
        <v>13</v>
      </c>
      <c r="C110" s="1">
        <v>0.115</v>
      </c>
    </row>
    <row r="111" spans="1:3" x14ac:dyDescent="0.25">
      <c r="A111" t="s">
        <v>122</v>
      </c>
      <c r="B111" t="s">
        <v>13</v>
      </c>
      <c r="C111" s="1">
        <v>0.115</v>
      </c>
    </row>
    <row r="112" spans="1:3" x14ac:dyDescent="0.25">
      <c r="A112" t="s">
        <v>123</v>
      </c>
      <c r="B112" t="s">
        <v>13</v>
      </c>
      <c r="C112" s="1">
        <v>0.115</v>
      </c>
    </row>
    <row r="113" spans="1:3" x14ac:dyDescent="0.25">
      <c r="A113" t="s">
        <v>124</v>
      </c>
      <c r="B113" t="s">
        <v>13</v>
      </c>
      <c r="C113" s="1">
        <v>0.115</v>
      </c>
    </row>
    <row r="114" spans="1:3" x14ac:dyDescent="0.25">
      <c r="A114" t="s">
        <v>125</v>
      </c>
      <c r="B114" t="s">
        <v>13</v>
      </c>
      <c r="C114" s="1">
        <v>0.115</v>
      </c>
    </row>
    <row r="115" spans="1:3" x14ac:dyDescent="0.25">
      <c r="A115" t="s">
        <v>126</v>
      </c>
      <c r="B115" t="s">
        <v>13</v>
      </c>
      <c r="C115" s="1">
        <v>0.115</v>
      </c>
    </row>
    <row r="116" spans="1:3" x14ac:dyDescent="0.25">
      <c r="A116" t="s">
        <v>127</v>
      </c>
      <c r="B116" t="s">
        <v>13</v>
      </c>
      <c r="C116" s="1">
        <v>0.115</v>
      </c>
    </row>
    <row r="117" spans="1:3" x14ac:dyDescent="0.25">
      <c r="A117" t="s">
        <v>128</v>
      </c>
      <c r="B117" t="s">
        <v>13</v>
      </c>
      <c r="C117" s="1">
        <v>0.115</v>
      </c>
    </row>
    <row r="118" spans="1:3" x14ac:dyDescent="0.25">
      <c r="A118" t="s">
        <v>129</v>
      </c>
      <c r="B118" t="s">
        <v>13</v>
      </c>
      <c r="C118" s="1">
        <v>0.115</v>
      </c>
    </row>
    <row r="119" spans="1:3" x14ac:dyDescent="0.25">
      <c r="A119" t="s">
        <v>130</v>
      </c>
      <c r="B119" t="s">
        <v>13</v>
      </c>
      <c r="C119" s="1">
        <v>0.115</v>
      </c>
    </row>
    <row r="120" spans="1:3" x14ac:dyDescent="0.25">
      <c r="A120" t="s">
        <v>131</v>
      </c>
      <c r="B120" t="s">
        <v>13</v>
      </c>
      <c r="C120" s="1">
        <v>0.115</v>
      </c>
    </row>
    <row r="121" spans="1:3" x14ac:dyDescent="0.25">
      <c r="A121" t="s">
        <v>132</v>
      </c>
      <c r="B121" t="s">
        <v>13</v>
      </c>
      <c r="C121" s="1">
        <v>0.115</v>
      </c>
    </row>
    <row r="122" spans="1:3" x14ac:dyDescent="0.25">
      <c r="A122" t="s">
        <v>133</v>
      </c>
      <c r="B122" t="s">
        <v>13</v>
      </c>
      <c r="C122" s="1">
        <v>0.115</v>
      </c>
    </row>
    <row r="123" spans="1:3" x14ac:dyDescent="0.25">
      <c r="A123" t="s">
        <v>134</v>
      </c>
      <c r="B123" t="s">
        <v>13</v>
      </c>
      <c r="C123" s="1">
        <v>0.115</v>
      </c>
    </row>
    <row r="124" spans="1:3" x14ac:dyDescent="0.25">
      <c r="A124" t="s">
        <v>135</v>
      </c>
      <c r="B124" t="s">
        <v>13</v>
      </c>
      <c r="C124" s="1">
        <v>0.115</v>
      </c>
    </row>
    <row r="125" spans="1:3" x14ac:dyDescent="0.25">
      <c r="A125" t="s">
        <v>136</v>
      </c>
      <c r="B125" t="s">
        <v>13</v>
      </c>
      <c r="C125" s="1">
        <v>0.115</v>
      </c>
    </row>
    <row r="126" spans="1:3" x14ac:dyDescent="0.25">
      <c r="A126" t="s">
        <v>137</v>
      </c>
      <c r="B126" t="s">
        <v>13</v>
      </c>
      <c r="C126" s="1">
        <v>0.115</v>
      </c>
    </row>
    <row r="127" spans="1:3" x14ac:dyDescent="0.25">
      <c r="A127" t="s">
        <v>138</v>
      </c>
      <c r="B127" t="s">
        <v>13</v>
      </c>
      <c r="C127" s="1">
        <v>0.115</v>
      </c>
    </row>
    <row r="128" spans="1:3" x14ac:dyDescent="0.25">
      <c r="A128" t="s">
        <v>139</v>
      </c>
      <c r="B128" t="s">
        <v>13</v>
      </c>
      <c r="C128" s="1">
        <v>0.115</v>
      </c>
    </row>
    <row r="129" spans="1:3" x14ac:dyDescent="0.25">
      <c r="A129" t="s">
        <v>140</v>
      </c>
      <c r="B129" t="s">
        <v>13</v>
      </c>
      <c r="C129" s="1">
        <v>0.115</v>
      </c>
    </row>
    <row r="130" spans="1:3" x14ac:dyDescent="0.25">
      <c r="A130" t="s">
        <v>141</v>
      </c>
      <c r="B130" t="s">
        <v>13</v>
      </c>
      <c r="C130" s="1">
        <v>0.115</v>
      </c>
    </row>
    <row r="131" spans="1:3" x14ac:dyDescent="0.25">
      <c r="A131" t="s">
        <v>142</v>
      </c>
      <c r="B131" t="s">
        <v>13</v>
      </c>
      <c r="C131" s="1">
        <v>0.115</v>
      </c>
    </row>
    <row r="132" spans="1:3" x14ac:dyDescent="0.25">
      <c r="A132" t="s">
        <v>143</v>
      </c>
      <c r="B132" t="s">
        <v>13</v>
      </c>
      <c r="C132" s="1">
        <v>0.115</v>
      </c>
    </row>
    <row r="133" spans="1:3" x14ac:dyDescent="0.25">
      <c r="A133" t="s">
        <v>144</v>
      </c>
      <c r="B133" t="s">
        <v>13</v>
      </c>
      <c r="C133" s="1">
        <v>0.115</v>
      </c>
    </row>
    <row r="134" spans="1:3" x14ac:dyDescent="0.25">
      <c r="A134" t="s">
        <v>145</v>
      </c>
      <c r="B134" t="s">
        <v>13</v>
      </c>
      <c r="C134" s="1">
        <v>0.115</v>
      </c>
    </row>
    <row r="135" spans="1:3" x14ac:dyDescent="0.25">
      <c r="A135" t="s">
        <v>146</v>
      </c>
      <c r="B135" t="s">
        <v>13</v>
      </c>
      <c r="C135" s="1">
        <v>0.115</v>
      </c>
    </row>
    <row r="136" spans="1:3" x14ac:dyDescent="0.25">
      <c r="A136" t="s">
        <v>147</v>
      </c>
      <c r="B136" t="s">
        <v>13</v>
      </c>
      <c r="C136" s="1">
        <v>0.115</v>
      </c>
    </row>
    <row r="137" spans="1:3" x14ac:dyDescent="0.25">
      <c r="A137" t="s">
        <v>148</v>
      </c>
      <c r="B137" t="s">
        <v>13</v>
      </c>
      <c r="C137" s="1">
        <v>0.115</v>
      </c>
    </row>
    <row r="138" spans="1:3" x14ac:dyDescent="0.25">
      <c r="A138" t="s">
        <v>149</v>
      </c>
      <c r="B138" t="s">
        <v>13</v>
      </c>
      <c r="C138" s="1">
        <v>0.115</v>
      </c>
    </row>
    <row r="139" spans="1:3" x14ac:dyDescent="0.25">
      <c r="A139" t="s">
        <v>150</v>
      </c>
      <c r="B139" t="s">
        <v>13</v>
      </c>
      <c r="C139" s="1">
        <v>0.115</v>
      </c>
    </row>
    <row r="140" spans="1:3" x14ac:dyDescent="0.25">
      <c r="A140" t="s">
        <v>151</v>
      </c>
      <c r="B140" t="s">
        <v>13</v>
      </c>
      <c r="C140" s="1">
        <v>0.115</v>
      </c>
    </row>
    <row r="141" spans="1:3" x14ac:dyDescent="0.25">
      <c r="A141" t="s">
        <v>152</v>
      </c>
      <c r="B141" t="s">
        <v>13</v>
      </c>
      <c r="C141" s="1">
        <v>0.115</v>
      </c>
    </row>
    <row r="142" spans="1:3" x14ac:dyDescent="0.25">
      <c r="A142" t="s">
        <v>153</v>
      </c>
      <c r="B142" t="s">
        <v>13</v>
      </c>
      <c r="C142" s="1">
        <v>0.115</v>
      </c>
    </row>
    <row r="143" spans="1:3" x14ac:dyDescent="0.25">
      <c r="A143" t="s">
        <v>154</v>
      </c>
      <c r="B143" t="s">
        <v>13</v>
      </c>
      <c r="C143" s="1">
        <v>0.115</v>
      </c>
    </row>
    <row r="144" spans="1:3" x14ac:dyDescent="0.25">
      <c r="A144" t="s">
        <v>155</v>
      </c>
      <c r="B144" t="s">
        <v>156</v>
      </c>
      <c r="C144" s="1">
        <v>0.16500000000000001</v>
      </c>
    </row>
    <row r="145" spans="1:3" x14ac:dyDescent="0.25">
      <c r="A145" t="s">
        <v>157</v>
      </c>
      <c r="B145" t="s">
        <v>156</v>
      </c>
      <c r="C145" s="1">
        <v>0.16500000000000001</v>
      </c>
    </row>
    <row r="146" spans="1:3" x14ac:dyDescent="0.25">
      <c r="A146" t="s">
        <v>158</v>
      </c>
      <c r="B146" t="s">
        <v>156</v>
      </c>
      <c r="C146" s="1">
        <v>0.16500000000000001</v>
      </c>
    </row>
    <row r="147" spans="1:3" x14ac:dyDescent="0.25">
      <c r="A147" t="s">
        <v>159</v>
      </c>
      <c r="B147" t="s">
        <v>156</v>
      </c>
      <c r="C147" s="1">
        <v>0.16500000000000001</v>
      </c>
    </row>
    <row r="148" spans="1:3" x14ac:dyDescent="0.25">
      <c r="A148" t="s">
        <v>160</v>
      </c>
      <c r="B148" t="s">
        <v>156</v>
      </c>
      <c r="C148" s="1">
        <v>0.16500000000000001</v>
      </c>
    </row>
    <row r="149" spans="1:3" x14ac:dyDescent="0.25">
      <c r="A149" t="s">
        <v>161</v>
      </c>
      <c r="B149" t="s">
        <v>156</v>
      </c>
      <c r="C149" s="1">
        <v>0.16500000000000001</v>
      </c>
    </row>
    <row r="150" spans="1:3" x14ac:dyDescent="0.25">
      <c r="A150" t="s">
        <v>162</v>
      </c>
      <c r="B150" t="s">
        <v>156</v>
      </c>
      <c r="C150" s="1">
        <v>0.16500000000000001</v>
      </c>
    </row>
    <row r="151" spans="1:3" x14ac:dyDescent="0.25">
      <c r="A151" t="s">
        <v>163</v>
      </c>
      <c r="B151" t="s">
        <v>156</v>
      </c>
      <c r="C151" s="1">
        <v>0.16500000000000001</v>
      </c>
    </row>
    <row r="152" spans="1:3" x14ac:dyDescent="0.25">
      <c r="A152" t="s">
        <v>164</v>
      </c>
      <c r="B152" t="s">
        <v>156</v>
      </c>
      <c r="C152" s="1">
        <v>0.16500000000000001</v>
      </c>
    </row>
    <row r="153" spans="1:3" x14ac:dyDescent="0.25">
      <c r="A153" t="s">
        <v>165</v>
      </c>
      <c r="B153" t="s">
        <v>156</v>
      </c>
      <c r="C153" s="1">
        <v>0.16500000000000001</v>
      </c>
    </row>
    <row r="154" spans="1:3" x14ac:dyDescent="0.25">
      <c r="A154" t="s">
        <v>166</v>
      </c>
      <c r="B154" t="s">
        <v>156</v>
      </c>
      <c r="C154" s="1">
        <v>0.16500000000000001</v>
      </c>
    </row>
    <row r="155" spans="1:3" x14ac:dyDescent="0.25">
      <c r="A155" t="s">
        <v>167</v>
      </c>
      <c r="B155" t="s">
        <v>156</v>
      </c>
      <c r="C155" s="1">
        <v>0.16500000000000001</v>
      </c>
    </row>
    <row r="156" spans="1:3" x14ac:dyDescent="0.25">
      <c r="A156" t="s">
        <v>168</v>
      </c>
      <c r="B156" t="s">
        <v>156</v>
      </c>
      <c r="C156" s="1">
        <v>0.16500000000000001</v>
      </c>
    </row>
    <row r="157" spans="1:3" x14ac:dyDescent="0.25">
      <c r="A157" t="s">
        <v>169</v>
      </c>
      <c r="B157" t="s">
        <v>156</v>
      </c>
      <c r="C157" s="1">
        <v>0.16500000000000001</v>
      </c>
    </row>
    <row r="158" spans="1:3" x14ac:dyDescent="0.25">
      <c r="A158" t="s">
        <v>170</v>
      </c>
      <c r="B158" t="s">
        <v>156</v>
      </c>
      <c r="C158" s="1">
        <v>0.16500000000000001</v>
      </c>
    </row>
    <row r="159" spans="1:3" x14ac:dyDescent="0.25">
      <c r="A159" t="s">
        <v>171</v>
      </c>
      <c r="B159" t="s">
        <v>156</v>
      </c>
      <c r="C159" s="1">
        <v>0.16500000000000001</v>
      </c>
    </row>
    <row r="160" spans="1:3" x14ac:dyDescent="0.25">
      <c r="A160" t="s">
        <v>172</v>
      </c>
      <c r="B160" t="s">
        <v>156</v>
      </c>
      <c r="C160" s="1">
        <v>0.16500000000000001</v>
      </c>
    </row>
    <row r="161" spans="1:3" x14ac:dyDescent="0.25">
      <c r="A161" t="s">
        <v>173</v>
      </c>
      <c r="B161" t="s">
        <v>156</v>
      </c>
      <c r="C161" s="1">
        <v>0.16500000000000001</v>
      </c>
    </row>
    <row r="162" spans="1:3" x14ac:dyDescent="0.25">
      <c r="A162" t="s">
        <v>174</v>
      </c>
      <c r="B162" t="s">
        <v>156</v>
      </c>
      <c r="C162" s="1">
        <v>0.16500000000000001</v>
      </c>
    </row>
    <row r="163" spans="1:3" x14ac:dyDescent="0.25">
      <c r="A163" t="s">
        <v>175</v>
      </c>
      <c r="B163" t="s">
        <v>156</v>
      </c>
      <c r="C163" s="1">
        <v>0.16500000000000001</v>
      </c>
    </row>
    <row r="164" spans="1:3" x14ac:dyDescent="0.25">
      <c r="A164" t="s">
        <v>176</v>
      </c>
      <c r="B164" t="s">
        <v>156</v>
      </c>
      <c r="C164" s="1">
        <v>0.16500000000000001</v>
      </c>
    </row>
    <row r="165" spans="1:3" x14ac:dyDescent="0.25">
      <c r="A165" t="s">
        <v>177</v>
      </c>
      <c r="B165" t="s">
        <v>156</v>
      </c>
      <c r="C165" s="1">
        <v>0.16500000000000001</v>
      </c>
    </row>
    <row r="166" spans="1:3" x14ac:dyDescent="0.25">
      <c r="A166" t="s">
        <v>178</v>
      </c>
      <c r="B166" t="s">
        <v>156</v>
      </c>
      <c r="C166" s="1">
        <v>0.16500000000000001</v>
      </c>
    </row>
    <row r="167" spans="1:3" x14ac:dyDescent="0.25">
      <c r="A167" t="s">
        <v>179</v>
      </c>
      <c r="B167" t="s">
        <v>156</v>
      </c>
      <c r="C167" s="1">
        <v>0.16500000000000001</v>
      </c>
    </row>
    <row r="168" spans="1:3" x14ac:dyDescent="0.25">
      <c r="A168" t="s">
        <v>180</v>
      </c>
      <c r="B168" t="s">
        <v>156</v>
      </c>
      <c r="C168" s="1">
        <v>0.16500000000000001</v>
      </c>
    </row>
    <row r="169" spans="1:3" x14ac:dyDescent="0.25">
      <c r="A169" t="s">
        <v>181</v>
      </c>
      <c r="B169" t="s">
        <v>156</v>
      </c>
      <c r="C169" s="1">
        <v>0.16500000000000001</v>
      </c>
    </row>
    <row r="170" spans="1:3" x14ac:dyDescent="0.25">
      <c r="A170" t="s">
        <v>182</v>
      </c>
      <c r="B170" t="s">
        <v>156</v>
      </c>
      <c r="C170" s="1">
        <v>0.16500000000000001</v>
      </c>
    </row>
    <row r="171" spans="1:3" x14ac:dyDescent="0.25">
      <c r="A171" t="s">
        <v>183</v>
      </c>
      <c r="B171" t="s">
        <v>156</v>
      </c>
      <c r="C171" s="1">
        <v>0.16500000000000001</v>
      </c>
    </row>
    <row r="172" spans="1:3" x14ac:dyDescent="0.25">
      <c r="A172" t="s">
        <v>184</v>
      </c>
      <c r="B172" t="s">
        <v>156</v>
      </c>
      <c r="C172" s="1">
        <v>0.16500000000000001</v>
      </c>
    </row>
    <row r="173" spans="1:3" x14ac:dyDescent="0.25">
      <c r="A173" t="s">
        <v>185</v>
      </c>
      <c r="B173" t="s">
        <v>156</v>
      </c>
      <c r="C173" s="1">
        <v>0.16500000000000001</v>
      </c>
    </row>
    <row r="174" spans="1:3" x14ac:dyDescent="0.25">
      <c r="A174" t="s">
        <v>186</v>
      </c>
      <c r="B174" t="s">
        <v>156</v>
      </c>
      <c r="C174" s="1">
        <v>0.16500000000000001</v>
      </c>
    </row>
    <row r="175" spans="1:3" x14ac:dyDescent="0.25">
      <c r="A175" t="s">
        <v>187</v>
      </c>
      <c r="B175" t="s">
        <v>156</v>
      </c>
      <c r="C175" s="1">
        <v>0.16500000000000001</v>
      </c>
    </row>
    <row r="176" spans="1:3" x14ac:dyDescent="0.25">
      <c r="A176" t="s">
        <v>188</v>
      </c>
      <c r="B176" t="s">
        <v>156</v>
      </c>
      <c r="C176" s="1">
        <v>0.16500000000000001</v>
      </c>
    </row>
    <row r="177" spans="1:3" x14ac:dyDescent="0.25">
      <c r="A177" t="s">
        <v>189</v>
      </c>
      <c r="B177" t="s">
        <v>156</v>
      </c>
      <c r="C177" s="1">
        <v>0.16500000000000001</v>
      </c>
    </row>
    <row r="178" spans="1:3" x14ac:dyDescent="0.25">
      <c r="A178" t="s">
        <v>190</v>
      </c>
      <c r="B178" t="s">
        <v>156</v>
      </c>
      <c r="C178" s="1">
        <v>0.16500000000000001</v>
      </c>
    </row>
    <row r="179" spans="1:3" x14ac:dyDescent="0.25">
      <c r="A179" t="s">
        <v>191</v>
      </c>
      <c r="B179" t="s">
        <v>156</v>
      </c>
      <c r="C179" s="1">
        <v>0.16500000000000001</v>
      </c>
    </row>
    <row r="180" spans="1:3" x14ac:dyDescent="0.25">
      <c r="A180" t="s">
        <v>192</v>
      </c>
      <c r="B180" t="s">
        <v>156</v>
      </c>
      <c r="C180" s="1">
        <v>0.16500000000000001</v>
      </c>
    </row>
    <row r="181" spans="1:3" x14ac:dyDescent="0.25">
      <c r="A181" t="s">
        <v>193</v>
      </c>
      <c r="B181" t="s">
        <v>156</v>
      </c>
      <c r="C181" s="1">
        <v>0.16500000000000001</v>
      </c>
    </row>
    <row r="182" spans="1:3" x14ac:dyDescent="0.25">
      <c r="A182" t="s">
        <v>194</v>
      </c>
      <c r="B182" t="s">
        <v>156</v>
      </c>
      <c r="C182" s="1">
        <v>0.16500000000000001</v>
      </c>
    </row>
    <row r="183" spans="1:3" x14ac:dyDescent="0.25">
      <c r="A183" t="s">
        <v>195</v>
      </c>
      <c r="B183" t="s">
        <v>156</v>
      </c>
      <c r="C183" s="1">
        <v>0.16500000000000001</v>
      </c>
    </row>
    <row r="184" spans="1:3" x14ac:dyDescent="0.25">
      <c r="A184" t="s">
        <v>196</v>
      </c>
      <c r="B184" t="s">
        <v>156</v>
      </c>
      <c r="C184" s="1">
        <v>0.16500000000000001</v>
      </c>
    </row>
    <row r="185" spans="1:3" x14ac:dyDescent="0.25">
      <c r="A185" t="s">
        <v>197</v>
      </c>
      <c r="B185" t="s">
        <v>156</v>
      </c>
      <c r="C185" s="1">
        <v>0.16500000000000001</v>
      </c>
    </row>
    <row r="186" spans="1:3" x14ac:dyDescent="0.25">
      <c r="A186" t="s">
        <v>198</v>
      </c>
      <c r="B186" t="s">
        <v>156</v>
      </c>
      <c r="C186" s="1">
        <v>0.16500000000000001</v>
      </c>
    </row>
    <row r="187" spans="1:3" x14ac:dyDescent="0.25">
      <c r="A187" t="s">
        <v>199</v>
      </c>
      <c r="B187" t="s">
        <v>156</v>
      </c>
      <c r="C187" s="1">
        <v>0.16500000000000001</v>
      </c>
    </row>
    <row r="188" spans="1:3" x14ac:dyDescent="0.25">
      <c r="A188" t="s">
        <v>200</v>
      </c>
      <c r="B188" t="s">
        <v>156</v>
      </c>
      <c r="C188" s="1">
        <v>0.16500000000000001</v>
      </c>
    </row>
    <row r="189" spans="1:3" x14ac:dyDescent="0.25">
      <c r="A189" t="s">
        <v>201</v>
      </c>
      <c r="B189" t="s">
        <v>156</v>
      </c>
      <c r="C189" s="1">
        <v>0.16500000000000001</v>
      </c>
    </row>
    <row r="190" spans="1:3" x14ac:dyDescent="0.25">
      <c r="A190" t="s">
        <v>202</v>
      </c>
      <c r="B190" t="s">
        <v>156</v>
      </c>
      <c r="C190" s="1">
        <v>0.16500000000000001</v>
      </c>
    </row>
    <row r="191" spans="1:3" x14ac:dyDescent="0.25">
      <c r="A191" t="s">
        <v>203</v>
      </c>
      <c r="B191" t="s">
        <v>156</v>
      </c>
      <c r="C191" s="1">
        <v>0.16500000000000001</v>
      </c>
    </row>
    <row r="192" spans="1:3" x14ac:dyDescent="0.25">
      <c r="A192" t="s">
        <v>204</v>
      </c>
      <c r="B192" t="s">
        <v>156</v>
      </c>
      <c r="C192" s="1">
        <v>0.16500000000000001</v>
      </c>
    </row>
    <row r="193" spans="1:3" x14ac:dyDescent="0.25">
      <c r="A193" t="s">
        <v>205</v>
      </c>
      <c r="B193" t="s">
        <v>156</v>
      </c>
      <c r="C193" s="1">
        <v>0.16500000000000001</v>
      </c>
    </row>
    <row r="194" spans="1:3" x14ac:dyDescent="0.25">
      <c r="A194" t="s">
        <v>206</v>
      </c>
      <c r="B194" t="s">
        <v>156</v>
      </c>
      <c r="C194" s="1">
        <v>0.16500000000000001</v>
      </c>
    </row>
    <row r="195" spans="1:3" x14ac:dyDescent="0.25">
      <c r="A195" t="s">
        <v>207</v>
      </c>
      <c r="B195" t="s">
        <v>156</v>
      </c>
      <c r="C195" s="1">
        <v>0.16500000000000001</v>
      </c>
    </row>
    <row r="196" spans="1:3" x14ac:dyDescent="0.25">
      <c r="A196" t="s">
        <v>208</v>
      </c>
      <c r="B196" t="s">
        <v>156</v>
      </c>
      <c r="C196" s="1">
        <v>0.16500000000000001</v>
      </c>
    </row>
    <row r="197" spans="1:3" x14ac:dyDescent="0.25">
      <c r="A197" t="s">
        <v>209</v>
      </c>
      <c r="B197" t="s">
        <v>156</v>
      </c>
      <c r="C197" s="1">
        <v>0.16500000000000001</v>
      </c>
    </row>
    <row r="198" spans="1:3" x14ac:dyDescent="0.25">
      <c r="A198" t="s">
        <v>210</v>
      </c>
      <c r="B198" t="s">
        <v>156</v>
      </c>
      <c r="C198" s="1">
        <v>0.16500000000000001</v>
      </c>
    </row>
    <row r="199" spans="1:3" x14ac:dyDescent="0.25">
      <c r="A199" t="s">
        <v>211</v>
      </c>
      <c r="B199" t="s">
        <v>156</v>
      </c>
      <c r="C199" s="1">
        <v>0.16500000000000001</v>
      </c>
    </row>
    <row r="200" spans="1:3" x14ac:dyDescent="0.25">
      <c r="A200" t="s">
        <v>212</v>
      </c>
      <c r="B200" t="s">
        <v>156</v>
      </c>
      <c r="C200" s="1">
        <v>0.16500000000000001</v>
      </c>
    </row>
    <row r="201" spans="1:3" x14ac:dyDescent="0.25">
      <c r="A201" t="s">
        <v>213</v>
      </c>
      <c r="B201" t="s">
        <v>156</v>
      </c>
      <c r="C201" s="1">
        <v>0.16500000000000001</v>
      </c>
    </row>
    <row r="202" spans="1:3" x14ac:dyDescent="0.25">
      <c r="A202" t="s">
        <v>214</v>
      </c>
      <c r="B202" t="s">
        <v>156</v>
      </c>
      <c r="C202" s="1">
        <v>0.16500000000000001</v>
      </c>
    </row>
    <row r="203" spans="1:3" x14ac:dyDescent="0.25">
      <c r="A203" t="s">
        <v>215</v>
      </c>
      <c r="B203" t="s">
        <v>156</v>
      </c>
      <c r="C203" s="1">
        <v>0.16500000000000001</v>
      </c>
    </row>
    <row r="204" spans="1:3" x14ac:dyDescent="0.25">
      <c r="A204" t="s">
        <v>216</v>
      </c>
      <c r="B204" t="s">
        <v>156</v>
      </c>
      <c r="C204" s="1">
        <v>0.16500000000000001</v>
      </c>
    </row>
    <row r="205" spans="1:3" x14ac:dyDescent="0.25">
      <c r="A205" t="s">
        <v>217</v>
      </c>
      <c r="B205" t="s">
        <v>156</v>
      </c>
      <c r="C205" s="1">
        <v>0.16500000000000001</v>
      </c>
    </row>
    <row r="206" spans="1:3" x14ac:dyDescent="0.25">
      <c r="A206" t="s">
        <v>218</v>
      </c>
      <c r="B206" t="s">
        <v>156</v>
      </c>
      <c r="C206" s="1">
        <v>0.16500000000000001</v>
      </c>
    </row>
    <row r="207" spans="1:3" x14ac:dyDescent="0.25">
      <c r="A207" t="s">
        <v>219</v>
      </c>
      <c r="B207" t="s">
        <v>156</v>
      </c>
      <c r="C207" s="1">
        <v>0.16500000000000001</v>
      </c>
    </row>
    <row r="208" spans="1:3" x14ac:dyDescent="0.25">
      <c r="A208" t="s">
        <v>220</v>
      </c>
      <c r="B208" t="s">
        <v>156</v>
      </c>
      <c r="C208" s="1">
        <v>0.16500000000000001</v>
      </c>
    </row>
    <row r="209" spans="1:3" x14ac:dyDescent="0.25">
      <c r="A209" t="s">
        <v>221</v>
      </c>
      <c r="B209" t="s">
        <v>156</v>
      </c>
      <c r="C209" s="1">
        <v>0.16500000000000001</v>
      </c>
    </row>
    <row r="210" spans="1:3" x14ac:dyDescent="0.25">
      <c r="A210" t="s">
        <v>222</v>
      </c>
      <c r="B210" t="s">
        <v>156</v>
      </c>
      <c r="C210" s="1">
        <v>0.16500000000000001</v>
      </c>
    </row>
    <row r="211" spans="1:3" x14ac:dyDescent="0.25">
      <c r="A211" t="s">
        <v>223</v>
      </c>
      <c r="B211" t="s">
        <v>156</v>
      </c>
      <c r="C211" s="1">
        <v>0.16500000000000001</v>
      </c>
    </row>
    <row r="212" spans="1:3" x14ac:dyDescent="0.25">
      <c r="A212" t="s">
        <v>224</v>
      </c>
      <c r="B212" t="s">
        <v>156</v>
      </c>
      <c r="C212" s="1">
        <v>0.16500000000000001</v>
      </c>
    </row>
    <row r="213" spans="1:3" x14ac:dyDescent="0.25">
      <c r="A213" t="s">
        <v>225</v>
      </c>
      <c r="B213" t="s">
        <v>156</v>
      </c>
      <c r="C213" s="1">
        <v>0.16500000000000001</v>
      </c>
    </row>
    <row r="214" spans="1:3" x14ac:dyDescent="0.25">
      <c r="A214" t="s">
        <v>226</v>
      </c>
      <c r="B214" t="s">
        <v>156</v>
      </c>
      <c r="C214" s="1">
        <v>0.16500000000000001</v>
      </c>
    </row>
    <row r="215" spans="1:3" x14ac:dyDescent="0.25">
      <c r="A215" t="s">
        <v>227</v>
      </c>
      <c r="B215" t="s">
        <v>156</v>
      </c>
      <c r="C215" s="1">
        <v>0.16500000000000001</v>
      </c>
    </row>
    <row r="216" spans="1:3" x14ac:dyDescent="0.25">
      <c r="A216" t="s">
        <v>228</v>
      </c>
      <c r="B216" t="s">
        <v>156</v>
      </c>
      <c r="C216" s="1">
        <v>0.16500000000000001</v>
      </c>
    </row>
    <row r="217" spans="1:3" x14ac:dyDescent="0.25">
      <c r="A217" t="s">
        <v>229</v>
      </c>
      <c r="B217" t="s">
        <v>156</v>
      </c>
      <c r="C217" s="1">
        <v>0.16500000000000001</v>
      </c>
    </row>
    <row r="218" spans="1:3" x14ac:dyDescent="0.25">
      <c r="A218" t="s">
        <v>230</v>
      </c>
      <c r="B218" t="s">
        <v>156</v>
      </c>
      <c r="C218" s="1">
        <v>0.16500000000000001</v>
      </c>
    </row>
    <row r="219" spans="1:3" x14ac:dyDescent="0.25">
      <c r="A219" t="s">
        <v>231</v>
      </c>
      <c r="B219" t="s">
        <v>156</v>
      </c>
      <c r="C219" s="1">
        <v>0.16500000000000001</v>
      </c>
    </row>
    <row r="220" spans="1:3" x14ac:dyDescent="0.25">
      <c r="A220" t="s">
        <v>232</v>
      </c>
      <c r="B220" t="s">
        <v>156</v>
      </c>
      <c r="C220" s="1">
        <v>0.16500000000000001</v>
      </c>
    </row>
    <row r="221" spans="1:3" x14ac:dyDescent="0.25">
      <c r="A221" t="s">
        <v>233</v>
      </c>
      <c r="B221" t="s">
        <v>156</v>
      </c>
      <c r="C221" s="1">
        <v>0.16500000000000001</v>
      </c>
    </row>
    <row r="222" spans="1:3" x14ac:dyDescent="0.25">
      <c r="A222" t="s">
        <v>234</v>
      </c>
      <c r="B222" t="s">
        <v>156</v>
      </c>
      <c r="C222" s="1">
        <v>0.16500000000000001</v>
      </c>
    </row>
    <row r="223" spans="1:3" x14ac:dyDescent="0.25">
      <c r="A223" t="s">
        <v>235</v>
      </c>
      <c r="B223" t="s">
        <v>156</v>
      </c>
      <c r="C223" s="1">
        <v>0.16500000000000001</v>
      </c>
    </row>
    <row r="224" spans="1:3" x14ac:dyDescent="0.25">
      <c r="A224" t="s">
        <v>236</v>
      </c>
      <c r="B224" t="s">
        <v>156</v>
      </c>
      <c r="C224" s="1">
        <v>0.16500000000000001</v>
      </c>
    </row>
    <row r="225" spans="1:3" x14ac:dyDescent="0.25">
      <c r="A225" t="s">
        <v>237</v>
      </c>
      <c r="B225" t="s">
        <v>156</v>
      </c>
      <c r="C225" s="1">
        <v>0.16500000000000001</v>
      </c>
    </row>
    <row r="226" spans="1:3" x14ac:dyDescent="0.25">
      <c r="A226" t="s">
        <v>238</v>
      </c>
      <c r="B226" t="s">
        <v>156</v>
      </c>
      <c r="C226" s="1">
        <v>0.16500000000000001</v>
      </c>
    </row>
    <row r="227" spans="1:3" x14ac:dyDescent="0.25">
      <c r="A227" t="s">
        <v>239</v>
      </c>
      <c r="B227" t="s">
        <v>156</v>
      </c>
      <c r="C227" s="1">
        <v>0.16500000000000001</v>
      </c>
    </row>
    <row r="228" spans="1:3" x14ac:dyDescent="0.25">
      <c r="A228" t="s">
        <v>240</v>
      </c>
      <c r="B228" t="s">
        <v>156</v>
      </c>
      <c r="C228" s="1">
        <v>0.16500000000000001</v>
      </c>
    </row>
    <row r="229" spans="1:3" x14ac:dyDescent="0.25">
      <c r="A229" t="s">
        <v>241</v>
      </c>
      <c r="B229" t="s">
        <v>156</v>
      </c>
      <c r="C229" s="1">
        <v>0.16500000000000001</v>
      </c>
    </row>
    <row r="230" spans="1:3" x14ac:dyDescent="0.25">
      <c r="A230" t="s">
        <v>242</v>
      </c>
      <c r="B230" t="s">
        <v>156</v>
      </c>
      <c r="C230" s="1">
        <v>0.16500000000000001</v>
      </c>
    </row>
    <row r="231" spans="1:3" x14ac:dyDescent="0.25">
      <c r="A231" t="s">
        <v>243</v>
      </c>
      <c r="B231" t="s">
        <v>156</v>
      </c>
      <c r="C231" s="1">
        <v>0.16500000000000001</v>
      </c>
    </row>
    <row r="232" spans="1:3" x14ac:dyDescent="0.25">
      <c r="A232" t="s">
        <v>244</v>
      </c>
      <c r="B232" t="s">
        <v>156</v>
      </c>
      <c r="C232" s="1">
        <v>0.16500000000000001</v>
      </c>
    </row>
    <row r="233" spans="1:3" x14ac:dyDescent="0.25">
      <c r="A233" t="s">
        <v>245</v>
      </c>
      <c r="B233" t="s">
        <v>156</v>
      </c>
      <c r="C233" s="1">
        <v>0.16500000000000001</v>
      </c>
    </row>
    <row r="234" spans="1:3" x14ac:dyDescent="0.25">
      <c r="A234" t="s">
        <v>246</v>
      </c>
      <c r="B234" t="s">
        <v>156</v>
      </c>
      <c r="C234" s="1">
        <v>0.16500000000000001</v>
      </c>
    </row>
    <row r="235" spans="1:3" x14ac:dyDescent="0.25">
      <c r="A235" t="s">
        <v>247</v>
      </c>
      <c r="B235" t="s">
        <v>156</v>
      </c>
      <c r="C235" s="1">
        <v>0.16500000000000001</v>
      </c>
    </row>
    <row r="236" spans="1:3" x14ac:dyDescent="0.25">
      <c r="A236" t="s">
        <v>248</v>
      </c>
      <c r="B236" t="s">
        <v>156</v>
      </c>
      <c r="C236" s="1">
        <v>0.16500000000000001</v>
      </c>
    </row>
    <row r="237" spans="1:3" x14ac:dyDescent="0.25">
      <c r="A237" t="s">
        <v>249</v>
      </c>
      <c r="B237" t="s">
        <v>156</v>
      </c>
      <c r="C237" s="1">
        <v>0.16500000000000001</v>
      </c>
    </row>
    <row r="238" spans="1:3" x14ac:dyDescent="0.25">
      <c r="A238" t="s">
        <v>250</v>
      </c>
      <c r="B238" t="s">
        <v>156</v>
      </c>
      <c r="C238" s="1">
        <v>0.16500000000000001</v>
      </c>
    </row>
    <row r="239" spans="1:3" x14ac:dyDescent="0.25">
      <c r="A239" t="s">
        <v>251</v>
      </c>
      <c r="B239" t="s">
        <v>156</v>
      </c>
      <c r="C239" s="1">
        <v>0.16500000000000001</v>
      </c>
    </row>
    <row r="240" spans="1:3" x14ac:dyDescent="0.25">
      <c r="A240" t="s">
        <v>252</v>
      </c>
      <c r="B240" t="s">
        <v>156</v>
      </c>
      <c r="C240" s="1">
        <v>0.16500000000000001</v>
      </c>
    </row>
    <row r="241" spans="1:3" x14ac:dyDescent="0.25">
      <c r="A241" t="s">
        <v>253</v>
      </c>
      <c r="B241" t="s">
        <v>156</v>
      </c>
      <c r="C241" s="1">
        <v>0.16500000000000001</v>
      </c>
    </row>
    <row r="242" spans="1:3" x14ac:dyDescent="0.25">
      <c r="A242" t="s">
        <v>254</v>
      </c>
      <c r="B242" t="s">
        <v>156</v>
      </c>
      <c r="C242" s="1">
        <v>0.16500000000000001</v>
      </c>
    </row>
    <row r="243" spans="1:3" x14ac:dyDescent="0.25">
      <c r="A243" t="s">
        <v>255</v>
      </c>
      <c r="B243" t="s">
        <v>156</v>
      </c>
      <c r="C243" s="1">
        <v>0.16500000000000001</v>
      </c>
    </row>
    <row r="244" spans="1:3" x14ac:dyDescent="0.25">
      <c r="A244" t="s">
        <v>256</v>
      </c>
      <c r="B244" t="s">
        <v>156</v>
      </c>
      <c r="C244" s="1">
        <v>0.16500000000000001</v>
      </c>
    </row>
    <row r="245" spans="1:3" x14ac:dyDescent="0.25">
      <c r="A245" t="s">
        <v>257</v>
      </c>
      <c r="B245" t="s">
        <v>156</v>
      </c>
      <c r="C245" s="1">
        <v>0.16500000000000001</v>
      </c>
    </row>
    <row r="246" spans="1:3" x14ac:dyDescent="0.25">
      <c r="A246" t="s">
        <v>258</v>
      </c>
      <c r="B246" t="s">
        <v>156</v>
      </c>
      <c r="C246" s="1">
        <v>0.16500000000000001</v>
      </c>
    </row>
    <row r="247" spans="1:3" x14ac:dyDescent="0.25">
      <c r="A247" t="s">
        <v>259</v>
      </c>
      <c r="B247" t="s">
        <v>156</v>
      </c>
      <c r="C247" s="1">
        <v>0.16500000000000001</v>
      </c>
    </row>
    <row r="248" spans="1:3" x14ac:dyDescent="0.25">
      <c r="A248" t="s">
        <v>260</v>
      </c>
      <c r="B248" t="s">
        <v>156</v>
      </c>
      <c r="C248" s="1">
        <v>0.16500000000000001</v>
      </c>
    </row>
    <row r="249" spans="1:3" x14ac:dyDescent="0.25">
      <c r="A249" t="s">
        <v>261</v>
      </c>
      <c r="B249" t="s">
        <v>156</v>
      </c>
      <c r="C249" s="1">
        <v>0.16500000000000001</v>
      </c>
    </row>
    <row r="250" spans="1:3" x14ac:dyDescent="0.25">
      <c r="A250" t="s">
        <v>262</v>
      </c>
      <c r="B250" t="s">
        <v>156</v>
      </c>
      <c r="C250" s="1">
        <v>0.16500000000000001</v>
      </c>
    </row>
    <row r="251" spans="1:3" x14ac:dyDescent="0.25">
      <c r="A251" t="s">
        <v>263</v>
      </c>
      <c r="B251" t="s">
        <v>156</v>
      </c>
      <c r="C251" s="1">
        <v>0.16500000000000001</v>
      </c>
    </row>
    <row r="252" spans="1:3" x14ac:dyDescent="0.25">
      <c r="A252" t="s">
        <v>264</v>
      </c>
      <c r="B252" t="s">
        <v>156</v>
      </c>
      <c r="C252" s="1">
        <v>0.16500000000000001</v>
      </c>
    </row>
    <row r="253" spans="1:3" x14ac:dyDescent="0.25">
      <c r="A253" t="s">
        <v>265</v>
      </c>
      <c r="B253" t="s">
        <v>156</v>
      </c>
      <c r="C253" s="1">
        <v>0.16500000000000001</v>
      </c>
    </row>
    <row r="254" spans="1:3" x14ac:dyDescent="0.25">
      <c r="A254" t="s">
        <v>266</v>
      </c>
      <c r="B254" t="s">
        <v>156</v>
      </c>
      <c r="C254" s="1">
        <v>0.16500000000000001</v>
      </c>
    </row>
    <row r="255" spans="1:3" x14ac:dyDescent="0.25">
      <c r="A255" t="s">
        <v>267</v>
      </c>
      <c r="B255" t="s">
        <v>156</v>
      </c>
      <c r="C255" s="1">
        <v>0.16500000000000001</v>
      </c>
    </row>
    <row r="256" spans="1:3" x14ac:dyDescent="0.25">
      <c r="A256" t="s">
        <v>268</v>
      </c>
      <c r="B256" t="s">
        <v>156</v>
      </c>
      <c r="C256" s="1">
        <v>0.16500000000000001</v>
      </c>
    </row>
    <row r="257" spans="1:3" x14ac:dyDescent="0.25">
      <c r="A257" t="s">
        <v>269</v>
      </c>
      <c r="B257" t="s">
        <v>156</v>
      </c>
      <c r="C257" s="1">
        <v>0.16500000000000001</v>
      </c>
    </row>
    <row r="258" spans="1:3" x14ac:dyDescent="0.25">
      <c r="A258" t="s">
        <v>270</v>
      </c>
      <c r="B258" t="s">
        <v>156</v>
      </c>
      <c r="C258" s="1">
        <v>0.16500000000000001</v>
      </c>
    </row>
    <row r="259" spans="1:3" x14ac:dyDescent="0.25">
      <c r="A259" t="s">
        <v>271</v>
      </c>
      <c r="B259" t="s">
        <v>156</v>
      </c>
      <c r="C259" s="1">
        <v>0.16500000000000001</v>
      </c>
    </row>
    <row r="260" spans="1:3" x14ac:dyDescent="0.25">
      <c r="A260" t="s">
        <v>272</v>
      </c>
      <c r="B260" t="s">
        <v>156</v>
      </c>
      <c r="C260" s="1">
        <v>0.16500000000000001</v>
      </c>
    </row>
    <row r="261" spans="1:3" x14ac:dyDescent="0.25">
      <c r="A261" t="s">
        <v>273</v>
      </c>
      <c r="B261" t="s">
        <v>156</v>
      </c>
      <c r="C261" s="1">
        <v>0.16500000000000001</v>
      </c>
    </row>
    <row r="262" spans="1:3" x14ac:dyDescent="0.25">
      <c r="A262" t="s">
        <v>274</v>
      </c>
      <c r="B262" t="s">
        <v>156</v>
      </c>
      <c r="C262" s="1">
        <v>0.16500000000000001</v>
      </c>
    </row>
    <row r="263" spans="1:3" x14ac:dyDescent="0.25">
      <c r="A263" t="s">
        <v>275</v>
      </c>
      <c r="B263" t="s">
        <v>156</v>
      </c>
      <c r="C263" s="1">
        <v>0.16500000000000001</v>
      </c>
    </row>
    <row r="264" spans="1:3" x14ac:dyDescent="0.25">
      <c r="A264" t="s">
        <v>276</v>
      </c>
      <c r="B264" t="s">
        <v>156</v>
      </c>
      <c r="C264" s="1">
        <v>0.16500000000000001</v>
      </c>
    </row>
    <row r="265" spans="1:3" x14ac:dyDescent="0.25">
      <c r="A265" t="s">
        <v>277</v>
      </c>
      <c r="B265" t="s">
        <v>156</v>
      </c>
      <c r="C265" s="1">
        <v>0.16500000000000001</v>
      </c>
    </row>
    <row r="266" spans="1:3" x14ac:dyDescent="0.25">
      <c r="A266" t="s">
        <v>278</v>
      </c>
      <c r="B266" t="s">
        <v>156</v>
      </c>
      <c r="C266" s="1">
        <v>0.16500000000000001</v>
      </c>
    </row>
    <row r="267" spans="1:3" x14ac:dyDescent="0.25">
      <c r="A267" t="s">
        <v>279</v>
      </c>
      <c r="B267" t="s">
        <v>156</v>
      </c>
      <c r="C267" s="1">
        <v>0.16500000000000001</v>
      </c>
    </row>
    <row r="268" spans="1:3" x14ac:dyDescent="0.25">
      <c r="A268" t="s">
        <v>280</v>
      </c>
      <c r="B268" t="s">
        <v>156</v>
      </c>
      <c r="C268" s="1">
        <v>0.16500000000000001</v>
      </c>
    </row>
    <row r="269" spans="1:3" x14ac:dyDescent="0.25">
      <c r="A269" t="s">
        <v>281</v>
      </c>
      <c r="B269" t="s">
        <v>156</v>
      </c>
      <c r="C269" s="1">
        <v>0.16500000000000001</v>
      </c>
    </row>
    <row r="270" spans="1:3" x14ac:dyDescent="0.25">
      <c r="A270" t="s">
        <v>282</v>
      </c>
      <c r="B270" t="s">
        <v>156</v>
      </c>
      <c r="C270" s="1">
        <v>0.16500000000000001</v>
      </c>
    </row>
    <row r="271" spans="1:3" x14ac:dyDescent="0.25">
      <c r="A271" t="s">
        <v>283</v>
      </c>
      <c r="B271" t="s">
        <v>156</v>
      </c>
      <c r="C271" s="1">
        <v>0.16500000000000001</v>
      </c>
    </row>
    <row r="272" spans="1:3" x14ac:dyDescent="0.25">
      <c r="A272" t="s">
        <v>284</v>
      </c>
      <c r="B272" t="s">
        <v>156</v>
      </c>
      <c r="C272" s="1">
        <v>0.16500000000000001</v>
      </c>
    </row>
    <row r="273" spans="1:3" x14ac:dyDescent="0.25">
      <c r="A273" t="s">
        <v>285</v>
      </c>
      <c r="B273" t="s">
        <v>13</v>
      </c>
      <c r="C273" s="1">
        <v>0.115</v>
      </c>
    </row>
    <row r="274" spans="1:3" x14ac:dyDescent="0.25">
      <c r="A274" t="s">
        <v>286</v>
      </c>
      <c r="B274" t="s">
        <v>13</v>
      </c>
      <c r="C274" s="1">
        <v>0.115</v>
      </c>
    </row>
    <row r="275" spans="1:3" x14ac:dyDescent="0.25">
      <c r="A275" t="s">
        <v>287</v>
      </c>
      <c r="B275" t="s">
        <v>13</v>
      </c>
      <c r="C275" s="1">
        <v>0.115</v>
      </c>
    </row>
    <row r="276" spans="1:3" x14ac:dyDescent="0.25">
      <c r="A276" t="s">
        <v>288</v>
      </c>
      <c r="B276" t="s">
        <v>13</v>
      </c>
      <c r="C276" s="1">
        <v>0.115</v>
      </c>
    </row>
    <row r="277" spans="1:3" x14ac:dyDescent="0.25">
      <c r="A277" t="s">
        <v>289</v>
      </c>
      <c r="B277" t="s">
        <v>13</v>
      </c>
      <c r="C277" s="1">
        <v>0.115</v>
      </c>
    </row>
    <row r="278" spans="1:3" x14ac:dyDescent="0.25">
      <c r="A278" t="s">
        <v>290</v>
      </c>
      <c r="B278" t="s">
        <v>13</v>
      </c>
      <c r="C278" s="1">
        <v>0.115</v>
      </c>
    </row>
    <row r="279" spans="1:3" x14ac:dyDescent="0.25">
      <c r="A279" t="s">
        <v>291</v>
      </c>
      <c r="B279" t="s">
        <v>13</v>
      </c>
      <c r="C279" s="1">
        <v>0.115</v>
      </c>
    </row>
    <row r="280" spans="1:3" x14ac:dyDescent="0.25">
      <c r="A280" t="s">
        <v>292</v>
      </c>
      <c r="B280" t="s">
        <v>13</v>
      </c>
      <c r="C280" s="1">
        <v>0.115</v>
      </c>
    </row>
    <row r="281" spans="1:3" x14ac:dyDescent="0.25">
      <c r="A281" t="s">
        <v>293</v>
      </c>
      <c r="B281" t="s">
        <v>13</v>
      </c>
      <c r="C281" s="1">
        <v>0.115</v>
      </c>
    </row>
    <row r="282" spans="1:3" x14ac:dyDescent="0.25">
      <c r="A282" t="s">
        <v>294</v>
      </c>
      <c r="B282" t="s">
        <v>13</v>
      </c>
      <c r="C282" s="1">
        <v>0.115</v>
      </c>
    </row>
    <row r="283" spans="1:3" x14ac:dyDescent="0.25">
      <c r="A283" t="s">
        <v>295</v>
      </c>
      <c r="B283" t="s">
        <v>13</v>
      </c>
      <c r="C283" s="1">
        <v>0.115</v>
      </c>
    </row>
    <row r="284" spans="1:3" x14ac:dyDescent="0.25">
      <c r="A284" t="s">
        <v>296</v>
      </c>
      <c r="B284" t="s">
        <v>13</v>
      </c>
      <c r="C284" s="1">
        <v>0.115</v>
      </c>
    </row>
    <row r="285" spans="1:3" x14ac:dyDescent="0.25">
      <c r="A285" t="s">
        <v>297</v>
      </c>
      <c r="B285" t="s">
        <v>13</v>
      </c>
      <c r="C285" s="1">
        <v>0.115</v>
      </c>
    </row>
    <row r="286" spans="1:3" x14ac:dyDescent="0.25">
      <c r="A286" t="s">
        <v>298</v>
      </c>
      <c r="B286" t="s">
        <v>13</v>
      </c>
      <c r="C286" s="1">
        <v>0.115</v>
      </c>
    </row>
    <row r="287" spans="1:3" x14ac:dyDescent="0.25">
      <c r="A287" t="s">
        <v>299</v>
      </c>
      <c r="B287" t="s">
        <v>13</v>
      </c>
      <c r="C287" s="1">
        <v>0.115</v>
      </c>
    </row>
    <row r="288" spans="1:3" x14ac:dyDescent="0.25">
      <c r="A288" t="s">
        <v>300</v>
      </c>
      <c r="B288" t="s">
        <v>13</v>
      </c>
      <c r="C288" s="1">
        <v>0.115</v>
      </c>
    </row>
    <row r="289" spans="1:3" x14ac:dyDescent="0.25">
      <c r="A289" t="s">
        <v>301</v>
      </c>
      <c r="B289" t="s">
        <v>13</v>
      </c>
      <c r="C289" s="1">
        <v>0.115</v>
      </c>
    </row>
    <row r="290" spans="1:3" x14ac:dyDescent="0.25">
      <c r="A290" t="s">
        <v>302</v>
      </c>
      <c r="B290" t="s">
        <v>13</v>
      </c>
      <c r="C290" s="1">
        <v>0.115</v>
      </c>
    </row>
    <row r="291" spans="1:3" x14ac:dyDescent="0.25">
      <c r="A291" t="s">
        <v>303</v>
      </c>
      <c r="B291" t="s">
        <v>13</v>
      </c>
      <c r="C291" s="1">
        <v>0.115</v>
      </c>
    </row>
    <row r="292" spans="1:3" x14ac:dyDescent="0.25">
      <c r="A292" t="s">
        <v>304</v>
      </c>
      <c r="B292" t="s">
        <v>13</v>
      </c>
      <c r="C292" s="1">
        <v>0.115</v>
      </c>
    </row>
    <row r="293" spans="1:3" x14ac:dyDescent="0.25">
      <c r="A293" t="s">
        <v>305</v>
      </c>
      <c r="B293" t="s">
        <v>13</v>
      </c>
      <c r="C293" s="1">
        <v>0.115</v>
      </c>
    </row>
    <row r="294" spans="1:3" x14ac:dyDescent="0.25">
      <c r="A294" t="s">
        <v>306</v>
      </c>
      <c r="B294" t="s">
        <v>13</v>
      </c>
      <c r="C294" s="1">
        <v>0.115</v>
      </c>
    </row>
    <row r="295" spans="1:3" x14ac:dyDescent="0.25">
      <c r="A295" t="s">
        <v>307</v>
      </c>
      <c r="B295" t="s">
        <v>13</v>
      </c>
      <c r="C295" s="1">
        <v>0.115</v>
      </c>
    </row>
    <row r="296" spans="1:3" x14ac:dyDescent="0.25">
      <c r="A296" t="s">
        <v>308</v>
      </c>
      <c r="B296" t="s">
        <v>13</v>
      </c>
      <c r="C296" s="1">
        <v>0.115</v>
      </c>
    </row>
    <row r="297" spans="1:3" x14ac:dyDescent="0.25">
      <c r="A297" t="s">
        <v>309</v>
      </c>
      <c r="B297" t="s">
        <v>13</v>
      </c>
      <c r="C297" s="1">
        <v>0.115</v>
      </c>
    </row>
    <row r="298" spans="1:3" x14ac:dyDescent="0.25">
      <c r="A298" t="s">
        <v>310</v>
      </c>
      <c r="B298" t="s">
        <v>13</v>
      </c>
      <c r="C298" s="1">
        <v>0.115</v>
      </c>
    </row>
    <row r="299" spans="1:3" x14ac:dyDescent="0.25">
      <c r="A299" t="s">
        <v>311</v>
      </c>
      <c r="B299" t="s">
        <v>13</v>
      </c>
      <c r="C299" s="1">
        <v>0.115</v>
      </c>
    </row>
    <row r="300" spans="1:3" x14ac:dyDescent="0.25">
      <c r="A300" t="s">
        <v>312</v>
      </c>
      <c r="B300" t="s">
        <v>13</v>
      </c>
      <c r="C300" s="1">
        <v>0.115</v>
      </c>
    </row>
    <row r="301" spans="1:3" x14ac:dyDescent="0.25">
      <c r="A301" t="s">
        <v>313</v>
      </c>
      <c r="B301" t="s">
        <v>13</v>
      </c>
      <c r="C301" s="1">
        <v>0.115</v>
      </c>
    </row>
    <row r="302" spans="1:3" x14ac:dyDescent="0.25">
      <c r="A302" t="s">
        <v>314</v>
      </c>
      <c r="B302" t="s">
        <v>13</v>
      </c>
      <c r="C302" s="1">
        <v>0.115</v>
      </c>
    </row>
    <row r="303" spans="1:3" x14ac:dyDescent="0.25">
      <c r="A303" t="s">
        <v>315</v>
      </c>
      <c r="B303" t="s">
        <v>13</v>
      </c>
      <c r="C303" s="1">
        <v>0.115</v>
      </c>
    </row>
    <row r="304" spans="1:3" x14ac:dyDescent="0.25">
      <c r="A304" t="s">
        <v>316</v>
      </c>
      <c r="B304" t="s">
        <v>13</v>
      </c>
      <c r="C304" s="1">
        <v>0.115</v>
      </c>
    </row>
    <row r="305" spans="1:3" x14ac:dyDescent="0.25">
      <c r="A305" t="s">
        <v>317</v>
      </c>
      <c r="B305" t="s">
        <v>13</v>
      </c>
      <c r="C305" s="1">
        <v>0.115</v>
      </c>
    </row>
    <row r="306" spans="1:3" x14ac:dyDescent="0.25">
      <c r="A306" t="s">
        <v>318</v>
      </c>
      <c r="B306" t="s">
        <v>13</v>
      </c>
      <c r="C306" s="1">
        <v>0.115</v>
      </c>
    </row>
    <row r="307" spans="1:3" x14ac:dyDescent="0.25">
      <c r="A307" t="s">
        <v>319</v>
      </c>
      <c r="B307" t="s">
        <v>13</v>
      </c>
      <c r="C307" s="1">
        <v>0.115</v>
      </c>
    </row>
    <row r="308" spans="1:3" x14ac:dyDescent="0.25">
      <c r="A308" t="s">
        <v>320</v>
      </c>
      <c r="B308" t="s">
        <v>13</v>
      </c>
      <c r="C308" s="1">
        <v>0.115</v>
      </c>
    </row>
    <row r="309" spans="1:3" x14ac:dyDescent="0.25">
      <c r="A309" t="s">
        <v>321</v>
      </c>
      <c r="B309" t="s">
        <v>13</v>
      </c>
      <c r="C309" s="1">
        <v>0.115</v>
      </c>
    </row>
    <row r="310" spans="1:3" x14ac:dyDescent="0.25">
      <c r="A310" t="s">
        <v>322</v>
      </c>
      <c r="B310" t="s">
        <v>13</v>
      </c>
      <c r="C310" s="1">
        <v>0.115</v>
      </c>
    </row>
    <row r="311" spans="1:3" x14ac:dyDescent="0.25">
      <c r="A311" t="s">
        <v>323</v>
      </c>
      <c r="B311" t="s">
        <v>13</v>
      </c>
      <c r="C311" s="1">
        <v>0.115</v>
      </c>
    </row>
    <row r="312" spans="1:3" x14ac:dyDescent="0.25">
      <c r="A312" t="s">
        <v>324</v>
      </c>
      <c r="B312" t="s">
        <v>13</v>
      </c>
      <c r="C312" s="1">
        <v>0.115</v>
      </c>
    </row>
    <row r="313" spans="1:3" x14ac:dyDescent="0.25">
      <c r="A313" t="s">
        <v>325</v>
      </c>
      <c r="B313" t="s">
        <v>13</v>
      </c>
      <c r="C313" s="1">
        <v>0.115</v>
      </c>
    </row>
    <row r="314" spans="1:3" x14ac:dyDescent="0.25">
      <c r="A314" t="s">
        <v>326</v>
      </c>
      <c r="B314" t="s">
        <v>13</v>
      </c>
      <c r="C314" s="1">
        <v>0.115</v>
      </c>
    </row>
    <row r="315" spans="1:3" x14ac:dyDescent="0.25">
      <c r="A315" t="s">
        <v>327</v>
      </c>
      <c r="B315" t="s">
        <v>13</v>
      </c>
      <c r="C315" s="1">
        <v>0.115</v>
      </c>
    </row>
    <row r="316" spans="1:3" x14ac:dyDescent="0.25">
      <c r="A316" t="s">
        <v>328</v>
      </c>
      <c r="B316" t="s">
        <v>13</v>
      </c>
      <c r="C316" s="1">
        <v>0.115</v>
      </c>
    </row>
    <row r="317" spans="1:3" x14ac:dyDescent="0.25">
      <c r="A317" t="s">
        <v>329</v>
      </c>
      <c r="B317" t="s">
        <v>13</v>
      </c>
      <c r="C317" s="1">
        <v>0.115</v>
      </c>
    </row>
    <row r="318" spans="1:3" x14ac:dyDescent="0.25">
      <c r="A318" t="s">
        <v>330</v>
      </c>
      <c r="B318" t="s">
        <v>13</v>
      </c>
      <c r="C318" s="1">
        <v>0.115</v>
      </c>
    </row>
    <row r="319" spans="1:3" x14ac:dyDescent="0.25">
      <c r="A319" t="s">
        <v>331</v>
      </c>
      <c r="B319" t="s">
        <v>13</v>
      </c>
      <c r="C319" s="1">
        <v>0.115</v>
      </c>
    </row>
    <row r="320" spans="1:3" x14ac:dyDescent="0.25">
      <c r="A320" t="s">
        <v>332</v>
      </c>
      <c r="B320" t="s">
        <v>13</v>
      </c>
      <c r="C320" s="1">
        <v>0.115</v>
      </c>
    </row>
    <row r="321" spans="1:3" x14ac:dyDescent="0.25">
      <c r="A321" t="s">
        <v>333</v>
      </c>
      <c r="B321" t="s">
        <v>13</v>
      </c>
      <c r="C321" s="1">
        <v>0.115</v>
      </c>
    </row>
    <row r="322" spans="1:3" x14ac:dyDescent="0.25">
      <c r="A322" t="s">
        <v>334</v>
      </c>
      <c r="B322" t="s">
        <v>13</v>
      </c>
      <c r="C322" s="1">
        <v>0.115</v>
      </c>
    </row>
    <row r="323" spans="1:3" x14ac:dyDescent="0.25">
      <c r="A323" t="s">
        <v>335</v>
      </c>
      <c r="B323" t="s">
        <v>13</v>
      </c>
      <c r="C323" s="1">
        <v>0.115</v>
      </c>
    </row>
    <row r="324" spans="1:3" x14ac:dyDescent="0.25">
      <c r="A324" t="s">
        <v>336</v>
      </c>
      <c r="B324" t="s">
        <v>13</v>
      </c>
      <c r="C324" s="1">
        <v>0.115</v>
      </c>
    </row>
    <row r="325" spans="1:3" x14ac:dyDescent="0.25">
      <c r="A325" t="s">
        <v>337</v>
      </c>
      <c r="B325" t="s">
        <v>13</v>
      </c>
      <c r="C325" s="1">
        <v>0.115</v>
      </c>
    </row>
    <row r="326" spans="1:3" x14ac:dyDescent="0.25">
      <c r="A326" t="s">
        <v>338</v>
      </c>
      <c r="B326" t="s">
        <v>13</v>
      </c>
      <c r="C326" s="1">
        <v>0.115</v>
      </c>
    </row>
    <row r="327" spans="1:3" x14ac:dyDescent="0.25">
      <c r="A327" t="s">
        <v>339</v>
      </c>
      <c r="B327" t="s">
        <v>13</v>
      </c>
      <c r="C327" s="1">
        <v>0.115</v>
      </c>
    </row>
    <row r="328" spans="1:3" x14ac:dyDescent="0.25">
      <c r="A328" t="s">
        <v>340</v>
      </c>
      <c r="B328" t="s">
        <v>13</v>
      </c>
      <c r="C328" s="1">
        <v>0.115</v>
      </c>
    </row>
    <row r="329" spans="1:3" x14ac:dyDescent="0.25">
      <c r="A329" t="s">
        <v>341</v>
      </c>
      <c r="B329" t="s">
        <v>13</v>
      </c>
      <c r="C329" s="1">
        <v>0.115</v>
      </c>
    </row>
    <row r="330" spans="1:3" x14ac:dyDescent="0.25">
      <c r="A330" t="s">
        <v>342</v>
      </c>
      <c r="B330" t="s">
        <v>13</v>
      </c>
      <c r="C330" s="1">
        <v>0.115</v>
      </c>
    </row>
    <row r="331" spans="1:3" x14ac:dyDescent="0.25">
      <c r="A331" t="s">
        <v>343</v>
      </c>
      <c r="B331" t="s">
        <v>13</v>
      </c>
      <c r="C331" s="1">
        <v>0.115</v>
      </c>
    </row>
    <row r="332" spans="1:3" x14ac:dyDescent="0.25">
      <c r="A332" t="s">
        <v>344</v>
      </c>
      <c r="B332" t="s">
        <v>13</v>
      </c>
      <c r="C332" s="1">
        <v>0.115</v>
      </c>
    </row>
    <row r="333" spans="1:3" x14ac:dyDescent="0.25">
      <c r="A333" t="s">
        <v>345</v>
      </c>
      <c r="B333" t="s">
        <v>13</v>
      </c>
      <c r="C333" s="1">
        <v>0.115</v>
      </c>
    </row>
    <row r="334" spans="1:3" x14ac:dyDescent="0.25">
      <c r="A334" t="s">
        <v>346</v>
      </c>
      <c r="B334" t="s">
        <v>13</v>
      </c>
      <c r="C334" s="1">
        <v>0.115</v>
      </c>
    </row>
    <row r="335" spans="1:3" x14ac:dyDescent="0.25">
      <c r="A335" t="s">
        <v>347</v>
      </c>
      <c r="B335" t="s">
        <v>13</v>
      </c>
      <c r="C335" s="1">
        <v>0.115</v>
      </c>
    </row>
    <row r="336" spans="1:3" x14ac:dyDescent="0.25">
      <c r="A336" t="s">
        <v>348</v>
      </c>
      <c r="B336" t="s">
        <v>13</v>
      </c>
      <c r="C336" s="1">
        <v>0.115</v>
      </c>
    </row>
    <row r="337" spans="1:3" x14ac:dyDescent="0.25">
      <c r="A337" t="s">
        <v>349</v>
      </c>
      <c r="B337" t="s">
        <v>13</v>
      </c>
      <c r="C337" s="1">
        <v>0.115</v>
      </c>
    </row>
    <row r="338" spans="1:3" x14ac:dyDescent="0.25">
      <c r="A338" t="s">
        <v>350</v>
      </c>
      <c r="B338" t="s">
        <v>13</v>
      </c>
      <c r="C338" s="1">
        <v>0.115</v>
      </c>
    </row>
    <row r="339" spans="1:3" x14ac:dyDescent="0.25">
      <c r="A339" t="s">
        <v>351</v>
      </c>
      <c r="B339" t="s">
        <v>13</v>
      </c>
      <c r="C339" s="1">
        <v>0.115</v>
      </c>
    </row>
    <row r="340" spans="1:3" x14ac:dyDescent="0.25">
      <c r="A340" t="s">
        <v>352</v>
      </c>
      <c r="B340" t="s">
        <v>13</v>
      </c>
      <c r="C340" s="1">
        <v>0.115</v>
      </c>
    </row>
    <row r="341" spans="1:3" x14ac:dyDescent="0.25">
      <c r="A341" t="s">
        <v>353</v>
      </c>
      <c r="B341" t="s">
        <v>13</v>
      </c>
      <c r="C341" s="1">
        <v>0.115</v>
      </c>
    </row>
    <row r="342" spans="1:3" x14ac:dyDescent="0.25">
      <c r="A342" t="s">
        <v>354</v>
      </c>
      <c r="B342" t="s">
        <v>13</v>
      </c>
      <c r="C342" s="1">
        <v>0.115</v>
      </c>
    </row>
    <row r="343" spans="1:3" x14ac:dyDescent="0.25">
      <c r="A343" t="s">
        <v>355</v>
      </c>
      <c r="B343" t="s">
        <v>13</v>
      </c>
      <c r="C343" s="1">
        <v>0.115</v>
      </c>
    </row>
    <row r="344" spans="1:3" x14ac:dyDescent="0.25">
      <c r="A344" t="s">
        <v>356</v>
      </c>
      <c r="B344" t="s">
        <v>13</v>
      </c>
      <c r="C344" s="1">
        <v>0.115</v>
      </c>
    </row>
    <row r="345" spans="1:3" x14ac:dyDescent="0.25">
      <c r="A345" t="s">
        <v>357</v>
      </c>
      <c r="B345" t="s">
        <v>13</v>
      </c>
      <c r="C345" s="1">
        <v>0.115</v>
      </c>
    </row>
    <row r="346" spans="1:3" x14ac:dyDescent="0.25">
      <c r="A346" t="s">
        <v>358</v>
      </c>
      <c r="B346" t="s">
        <v>13</v>
      </c>
      <c r="C346" s="1">
        <v>0.115</v>
      </c>
    </row>
    <row r="347" spans="1:3" x14ac:dyDescent="0.25">
      <c r="A347" t="s">
        <v>359</v>
      </c>
      <c r="B347" t="s">
        <v>13</v>
      </c>
      <c r="C347" s="1">
        <v>0.115</v>
      </c>
    </row>
    <row r="348" spans="1:3" x14ac:dyDescent="0.25">
      <c r="A348" t="s">
        <v>360</v>
      </c>
      <c r="B348" t="s">
        <v>13</v>
      </c>
      <c r="C348" s="1">
        <v>0.115</v>
      </c>
    </row>
    <row r="349" spans="1:3" x14ac:dyDescent="0.25">
      <c r="A349" t="s">
        <v>361</v>
      </c>
      <c r="B349" t="s">
        <v>13</v>
      </c>
      <c r="C349" s="1">
        <v>0.115</v>
      </c>
    </row>
    <row r="350" spans="1:3" x14ac:dyDescent="0.25">
      <c r="A350" t="s">
        <v>362</v>
      </c>
      <c r="B350" t="s">
        <v>13</v>
      </c>
      <c r="C350" s="1">
        <v>0.115</v>
      </c>
    </row>
    <row r="351" spans="1:3" x14ac:dyDescent="0.25">
      <c r="A351" t="s">
        <v>363</v>
      </c>
      <c r="B351" t="s">
        <v>13</v>
      </c>
      <c r="C351" s="1">
        <v>0.115</v>
      </c>
    </row>
    <row r="352" spans="1:3" x14ac:dyDescent="0.25">
      <c r="A352" t="s">
        <v>364</v>
      </c>
      <c r="B352" t="s">
        <v>13</v>
      </c>
      <c r="C352" s="1">
        <v>0.115</v>
      </c>
    </row>
    <row r="353" spans="1:3" x14ac:dyDescent="0.25">
      <c r="A353" t="s">
        <v>365</v>
      </c>
      <c r="B353" t="s">
        <v>13</v>
      </c>
      <c r="C353" s="1">
        <v>0.115</v>
      </c>
    </row>
    <row r="354" spans="1:3" x14ac:dyDescent="0.25">
      <c r="A354" t="s">
        <v>366</v>
      </c>
      <c r="B354" t="s">
        <v>13</v>
      </c>
      <c r="C354" s="1">
        <v>0.115</v>
      </c>
    </row>
    <row r="355" spans="1:3" x14ac:dyDescent="0.25">
      <c r="A355" t="s">
        <v>367</v>
      </c>
      <c r="B355" t="s">
        <v>13</v>
      </c>
      <c r="C355" s="1">
        <v>0.115</v>
      </c>
    </row>
    <row r="356" spans="1:3" x14ac:dyDescent="0.25">
      <c r="A356" t="s">
        <v>368</v>
      </c>
      <c r="B356" t="s">
        <v>13</v>
      </c>
      <c r="C356" s="1">
        <v>0.115</v>
      </c>
    </row>
    <row r="357" spans="1:3" x14ac:dyDescent="0.25">
      <c r="A357" t="s">
        <v>369</v>
      </c>
      <c r="B357" t="s">
        <v>13</v>
      </c>
      <c r="C357" s="1">
        <v>0.115</v>
      </c>
    </row>
    <row r="358" spans="1:3" x14ac:dyDescent="0.25">
      <c r="A358" t="s">
        <v>370</v>
      </c>
      <c r="B358" t="s">
        <v>13</v>
      </c>
      <c r="C358" s="1">
        <v>0.115</v>
      </c>
    </row>
    <row r="359" spans="1:3" x14ac:dyDescent="0.25">
      <c r="A359" t="s">
        <v>371</v>
      </c>
      <c r="B359" t="s">
        <v>13</v>
      </c>
      <c r="C359" s="1">
        <v>0.115</v>
      </c>
    </row>
    <row r="360" spans="1:3" x14ac:dyDescent="0.25">
      <c r="A360" t="s">
        <v>372</v>
      </c>
      <c r="B360" t="s">
        <v>13</v>
      </c>
      <c r="C360" s="1">
        <v>0.115</v>
      </c>
    </row>
    <row r="361" spans="1:3" x14ac:dyDescent="0.25">
      <c r="A361" t="s">
        <v>373</v>
      </c>
      <c r="B361" t="s">
        <v>13</v>
      </c>
      <c r="C361" s="1">
        <v>0.115</v>
      </c>
    </row>
    <row r="362" spans="1:3" x14ac:dyDescent="0.25">
      <c r="A362" t="s">
        <v>374</v>
      </c>
      <c r="B362" t="s">
        <v>13</v>
      </c>
      <c r="C362" s="1">
        <v>0.115</v>
      </c>
    </row>
    <row r="363" spans="1:3" x14ac:dyDescent="0.25">
      <c r="A363" t="s">
        <v>375</v>
      </c>
      <c r="B363" t="s">
        <v>13</v>
      </c>
      <c r="C363" s="1">
        <v>0.115</v>
      </c>
    </row>
    <row r="364" spans="1:3" x14ac:dyDescent="0.25">
      <c r="A364" t="s">
        <v>376</v>
      </c>
      <c r="B364" t="s">
        <v>13</v>
      </c>
      <c r="C364" s="1">
        <v>0.115</v>
      </c>
    </row>
    <row r="365" spans="1:3" x14ac:dyDescent="0.25">
      <c r="A365" t="s">
        <v>377</v>
      </c>
      <c r="B365" t="s">
        <v>13</v>
      </c>
      <c r="C365" s="1">
        <v>0.115</v>
      </c>
    </row>
    <row r="366" spans="1:3" x14ac:dyDescent="0.25">
      <c r="A366" t="s">
        <v>378</v>
      </c>
      <c r="B366" t="s">
        <v>13</v>
      </c>
      <c r="C366" s="1">
        <v>0.115</v>
      </c>
    </row>
    <row r="367" spans="1:3" x14ac:dyDescent="0.25">
      <c r="A367" t="s">
        <v>379</v>
      </c>
      <c r="B367" t="s">
        <v>13</v>
      </c>
      <c r="C367" s="1">
        <v>0.115</v>
      </c>
    </row>
    <row r="368" spans="1:3" x14ac:dyDescent="0.25">
      <c r="A368" t="s">
        <v>380</v>
      </c>
      <c r="B368" t="s">
        <v>13</v>
      </c>
      <c r="C368" s="1">
        <v>0.115</v>
      </c>
    </row>
    <row r="369" spans="1:3" x14ac:dyDescent="0.25">
      <c r="A369" t="s">
        <v>381</v>
      </c>
      <c r="B369" t="s">
        <v>13</v>
      </c>
      <c r="C369" s="1">
        <v>0.115</v>
      </c>
    </row>
    <row r="370" spans="1:3" x14ac:dyDescent="0.25">
      <c r="A370" t="s">
        <v>382</v>
      </c>
      <c r="B370" t="s">
        <v>13</v>
      </c>
      <c r="C370" s="1">
        <v>0.115</v>
      </c>
    </row>
    <row r="371" spans="1:3" x14ac:dyDescent="0.25">
      <c r="A371" t="s">
        <v>383</v>
      </c>
      <c r="B371" t="s">
        <v>13</v>
      </c>
      <c r="C371" s="1">
        <v>0.115</v>
      </c>
    </row>
    <row r="372" spans="1:3" x14ac:dyDescent="0.25">
      <c r="A372" t="s">
        <v>384</v>
      </c>
      <c r="B372" t="s">
        <v>13</v>
      </c>
      <c r="C372" s="1">
        <v>0.115</v>
      </c>
    </row>
    <row r="373" spans="1:3" x14ac:dyDescent="0.25">
      <c r="A373" t="s">
        <v>385</v>
      </c>
      <c r="B373" t="s">
        <v>13</v>
      </c>
      <c r="C373" s="1">
        <v>0.115</v>
      </c>
    </row>
    <row r="374" spans="1:3" x14ac:dyDescent="0.25">
      <c r="A374" t="s">
        <v>386</v>
      </c>
      <c r="B374" t="s">
        <v>13</v>
      </c>
      <c r="C374" s="1">
        <v>0.115</v>
      </c>
    </row>
    <row r="375" spans="1:3" x14ac:dyDescent="0.25">
      <c r="A375" t="s">
        <v>387</v>
      </c>
      <c r="B375" t="s">
        <v>13</v>
      </c>
      <c r="C375" s="1">
        <v>0.115</v>
      </c>
    </row>
    <row r="376" spans="1:3" x14ac:dyDescent="0.25">
      <c r="A376" t="s">
        <v>388</v>
      </c>
      <c r="B376" t="s">
        <v>13</v>
      </c>
      <c r="C376" s="1">
        <v>0.115</v>
      </c>
    </row>
    <row r="377" spans="1:3" x14ac:dyDescent="0.25">
      <c r="A377" t="s">
        <v>389</v>
      </c>
      <c r="B377" t="s">
        <v>13</v>
      </c>
      <c r="C377" s="1">
        <v>0.115</v>
      </c>
    </row>
    <row r="378" spans="1:3" x14ac:dyDescent="0.25">
      <c r="A378" t="s">
        <v>390</v>
      </c>
      <c r="B378" t="s">
        <v>13</v>
      </c>
      <c r="C378" s="1">
        <v>0.115</v>
      </c>
    </row>
    <row r="379" spans="1:3" x14ac:dyDescent="0.25">
      <c r="A379" t="s">
        <v>391</v>
      </c>
      <c r="B379" t="s">
        <v>13</v>
      </c>
      <c r="C379" s="1">
        <v>0.115</v>
      </c>
    </row>
    <row r="380" spans="1:3" x14ac:dyDescent="0.25">
      <c r="A380" t="s">
        <v>392</v>
      </c>
      <c r="B380" t="s">
        <v>13</v>
      </c>
      <c r="C380" s="1">
        <v>0.115</v>
      </c>
    </row>
    <row r="381" spans="1:3" x14ac:dyDescent="0.25">
      <c r="A381" t="s">
        <v>393</v>
      </c>
      <c r="B381" t="s">
        <v>13</v>
      </c>
      <c r="C381" s="1">
        <v>0.115</v>
      </c>
    </row>
    <row r="382" spans="1:3" x14ac:dyDescent="0.25">
      <c r="A382" t="s">
        <v>394</v>
      </c>
      <c r="B382" t="s">
        <v>13</v>
      </c>
      <c r="C382" s="1">
        <v>0.115</v>
      </c>
    </row>
    <row r="383" spans="1:3" x14ac:dyDescent="0.25">
      <c r="A383" t="s">
        <v>395</v>
      </c>
      <c r="B383" t="s">
        <v>13</v>
      </c>
      <c r="C383" s="1">
        <v>0.115</v>
      </c>
    </row>
    <row r="384" spans="1:3" x14ac:dyDescent="0.25">
      <c r="A384" t="s">
        <v>396</v>
      </c>
      <c r="B384" t="s">
        <v>13</v>
      </c>
      <c r="C384" s="1">
        <v>0.115</v>
      </c>
    </row>
    <row r="385" spans="1:3" x14ac:dyDescent="0.25">
      <c r="A385" t="s">
        <v>397</v>
      </c>
      <c r="B385" t="s">
        <v>13</v>
      </c>
      <c r="C385" s="1">
        <v>0.115</v>
      </c>
    </row>
    <row r="386" spans="1:3" x14ac:dyDescent="0.25">
      <c r="A386" t="s">
        <v>398</v>
      </c>
      <c r="B386" t="s">
        <v>13</v>
      </c>
      <c r="C386" s="1">
        <v>0.115</v>
      </c>
    </row>
    <row r="387" spans="1:3" x14ac:dyDescent="0.25">
      <c r="A387" t="s">
        <v>399</v>
      </c>
      <c r="B387" t="s">
        <v>13</v>
      </c>
      <c r="C387" s="1">
        <v>0.115</v>
      </c>
    </row>
    <row r="388" spans="1:3" x14ac:dyDescent="0.25">
      <c r="A388" t="s">
        <v>400</v>
      </c>
      <c r="B388" t="s">
        <v>13</v>
      </c>
      <c r="C388" s="1">
        <v>0.115</v>
      </c>
    </row>
    <row r="389" spans="1:3" x14ac:dyDescent="0.25">
      <c r="A389" t="s">
        <v>401</v>
      </c>
      <c r="B389" t="s">
        <v>13</v>
      </c>
      <c r="C389" s="1">
        <v>0.115</v>
      </c>
    </row>
    <row r="390" spans="1:3" x14ac:dyDescent="0.25">
      <c r="A390" t="s">
        <v>402</v>
      </c>
      <c r="B390" t="s">
        <v>13</v>
      </c>
      <c r="C390" s="1">
        <v>0.115</v>
      </c>
    </row>
    <row r="391" spans="1:3" x14ac:dyDescent="0.25">
      <c r="A391" t="s">
        <v>403</v>
      </c>
      <c r="B391" t="s">
        <v>13</v>
      </c>
      <c r="C391" s="1">
        <v>0.115</v>
      </c>
    </row>
    <row r="392" spans="1:3" x14ac:dyDescent="0.25">
      <c r="A392" t="s">
        <v>404</v>
      </c>
      <c r="B392" t="s">
        <v>13</v>
      </c>
      <c r="C392" s="1">
        <v>0.115</v>
      </c>
    </row>
    <row r="393" spans="1:3" x14ac:dyDescent="0.25">
      <c r="A393" t="s">
        <v>405</v>
      </c>
      <c r="B393" t="s">
        <v>13</v>
      </c>
      <c r="C393" s="1">
        <v>0.115</v>
      </c>
    </row>
    <row r="394" spans="1:3" x14ac:dyDescent="0.25">
      <c r="A394" t="s">
        <v>406</v>
      </c>
      <c r="B394" t="s">
        <v>13</v>
      </c>
      <c r="C394" s="1">
        <v>0.115</v>
      </c>
    </row>
    <row r="395" spans="1:3" x14ac:dyDescent="0.25">
      <c r="A395" t="s">
        <v>407</v>
      </c>
      <c r="B395" t="s">
        <v>13</v>
      </c>
      <c r="C395" s="1">
        <v>0.115</v>
      </c>
    </row>
    <row r="396" spans="1:3" x14ac:dyDescent="0.25">
      <c r="A396" t="s">
        <v>408</v>
      </c>
      <c r="B396" t="s">
        <v>13</v>
      </c>
      <c r="C396" s="1">
        <v>0.115</v>
      </c>
    </row>
    <row r="397" spans="1:3" x14ac:dyDescent="0.25">
      <c r="A397" t="s">
        <v>409</v>
      </c>
      <c r="B397" t="s">
        <v>13</v>
      </c>
      <c r="C397" s="1">
        <v>0.115</v>
      </c>
    </row>
    <row r="398" spans="1:3" x14ac:dyDescent="0.25">
      <c r="A398" t="s">
        <v>410</v>
      </c>
      <c r="B398" t="s">
        <v>13</v>
      </c>
      <c r="C398" s="1">
        <v>0.115</v>
      </c>
    </row>
    <row r="399" spans="1:3" x14ac:dyDescent="0.25">
      <c r="A399" t="s">
        <v>411</v>
      </c>
      <c r="B399" t="s">
        <v>13</v>
      </c>
      <c r="C399" s="1">
        <v>0.115</v>
      </c>
    </row>
    <row r="400" spans="1:3" x14ac:dyDescent="0.25">
      <c r="A400" t="s">
        <v>412</v>
      </c>
      <c r="B400" t="s">
        <v>13</v>
      </c>
      <c r="C400" s="1">
        <v>0.115</v>
      </c>
    </row>
    <row r="401" spans="1:3" x14ac:dyDescent="0.25">
      <c r="A401" t="s">
        <v>413</v>
      </c>
      <c r="B401" t="s">
        <v>13</v>
      </c>
      <c r="C401" s="1">
        <v>0.115</v>
      </c>
    </row>
    <row r="402" spans="1:3" x14ac:dyDescent="0.25">
      <c r="A402" t="s">
        <v>414</v>
      </c>
      <c r="B402" t="s">
        <v>13</v>
      </c>
      <c r="C402" s="1">
        <v>0.115</v>
      </c>
    </row>
    <row r="403" spans="1:3" x14ac:dyDescent="0.25">
      <c r="A403" t="s">
        <v>415</v>
      </c>
      <c r="B403" t="s">
        <v>13</v>
      </c>
      <c r="C403" s="1">
        <v>0.115</v>
      </c>
    </row>
    <row r="404" spans="1:3" x14ac:dyDescent="0.25">
      <c r="A404" t="s">
        <v>416</v>
      </c>
      <c r="B404" t="s">
        <v>13</v>
      </c>
      <c r="C404" s="1">
        <v>0.115</v>
      </c>
    </row>
    <row r="405" spans="1:3" x14ac:dyDescent="0.25">
      <c r="A405" t="s">
        <v>417</v>
      </c>
      <c r="B405" t="s">
        <v>13</v>
      </c>
      <c r="C405" s="1">
        <v>0.115</v>
      </c>
    </row>
    <row r="406" spans="1:3" x14ac:dyDescent="0.25">
      <c r="A406" t="s">
        <v>418</v>
      </c>
      <c r="B406" t="s">
        <v>13</v>
      </c>
      <c r="C406" s="1">
        <v>0.115</v>
      </c>
    </row>
    <row r="407" spans="1:3" x14ac:dyDescent="0.25">
      <c r="A407" t="s">
        <v>419</v>
      </c>
      <c r="B407" t="s">
        <v>13</v>
      </c>
      <c r="C407" s="1">
        <v>0.115</v>
      </c>
    </row>
    <row r="408" spans="1:3" x14ac:dyDescent="0.25">
      <c r="A408" t="s">
        <v>420</v>
      </c>
      <c r="B408" t="s">
        <v>13</v>
      </c>
      <c r="C408" s="1">
        <v>0.115</v>
      </c>
    </row>
    <row r="409" spans="1:3" x14ac:dyDescent="0.25">
      <c r="A409" t="s">
        <v>421</v>
      </c>
      <c r="B409" t="s">
        <v>13</v>
      </c>
      <c r="C409" s="1">
        <v>0.115</v>
      </c>
    </row>
    <row r="410" spans="1:3" x14ac:dyDescent="0.25">
      <c r="A410" t="s">
        <v>422</v>
      </c>
      <c r="B410" t="s">
        <v>13</v>
      </c>
      <c r="C410" s="1">
        <v>0.115</v>
      </c>
    </row>
    <row r="411" spans="1:3" x14ac:dyDescent="0.25">
      <c r="A411" t="s">
        <v>423</v>
      </c>
      <c r="B411" t="s">
        <v>13</v>
      </c>
      <c r="C411" s="1">
        <v>0.115</v>
      </c>
    </row>
    <row r="412" spans="1:3" x14ac:dyDescent="0.25">
      <c r="A412" t="s">
        <v>424</v>
      </c>
      <c r="B412" t="s">
        <v>13</v>
      </c>
      <c r="C412" s="1">
        <v>0.115</v>
      </c>
    </row>
    <row r="413" spans="1:3" x14ac:dyDescent="0.25">
      <c r="A413" t="s">
        <v>425</v>
      </c>
      <c r="B413" t="s">
        <v>13</v>
      </c>
      <c r="C413" s="1">
        <v>0.115</v>
      </c>
    </row>
    <row r="414" spans="1:3" x14ac:dyDescent="0.25">
      <c r="A414" t="s">
        <v>426</v>
      </c>
      <c r="B414" t="s">
        <v>13</v>
      </c>
      <c r="C414" s="1">
        <v>0.115</v>
      </c>
    </row>
    <row r="415" spans="1:3" x14ac:dyDescent="0.25">
      <c r="A415" t="s">
        <v>427</v>
      </c>
      <c r="B415" t="s">
        <v>13</v>
      </c>
      <c r="C415" s="1">
        <v>0.115</v>
      </c>
    </row>
    <row r="416" spans="1:3" x14ac:dyDescent="0.25">
      <c r="A416" t="s">
        <v>428</v>
      </c>
      <c r="B416" t="s">
        <v>13</v>
      </c>
      <c r="C416" s="1">
        <v>0.115</v>
      </c>
    </row>
    <row r="417" spans="1:3" x14ac:dyDescent="0.25">
      <c r="A417" t="s">
        <v>429</v>
      </c>
      <c r="B417" t="s">
        <v>13</v>
      </c>
      <c r="C417" s="1">
        <v>0.115</v>
      </c>
    </row>
    <row r="418" spans="1:3" x14ac:dyDescent="0.25">
      <c r="A418" t="s">
        <v>430</v>
      </c>
      <c r="B418" t="s">
        <v>13</v>
      </c>
      <c r="C418" s="1">
        <v>0.115</v>
      </c>
    </row>
    <row r="419" spans="1:3" x14ac:dyDescent="0.25">
      <c r="A419" t="s">
        <v>431</v>
      </c>
      <c r="B419" t="s">
        <v>13</v>
      </c>
      <c r="C419" s="1">
        <v>0.115</v>
      </c>
    </row>
    <row r="420" spans="1:3" x14ac:dyDescent="0.25">
      <c r="A420" t="s">
        <v>432</v>
      </c>
      <c r="B420" t="s">
        <v>13</v>
      </c>
      <c r="C420" s="1">
        <v>0.115</v>
      </c>
    </row>
    <row r="421" spans="1:3" x14ac:dyDescent="0.25">
      <c r="A421" t="s">
        <v>433</v>
      </c>
      <c r="B421" t="s">
        <v>13</v>
      </c>
      <c r="C421" s="1">
        <v>0.115</v>
      </c>
    </row>
    <row r="422" spans="1:3" x14ac:dyDescent="0.25">
      <c r="A422" t="s">
        <v>434</v>
      </c>
      <c r="B422" t="s">
        <v>13</v>
      </c>
      <c r="C422" s="1">
        <v>0.115</v>
      </c>
    </row>
    <row r="423" spans="1:3" x14ac:dyDescent="0.25">
      <c r="A423" t="s">
        <v>435</v>
      </c>
      <c r="B423" t="s">
        <v>13</v>
      </c>
      <c r="C423" s="1">
        <v>0.115</v>
      </c>
    </row>
    <row r="424" spans="1:3" x14ac:dyDescent="0.25">
      <c r="A424" t="s">
        <v>436</v>
      </c>
      <c r="B424" t="s">
        <v>13</v>
      </c>
      <c r="C424" s="1">
        <v>0.115</v>
      </c>
    </row>
    <row r="425" spans="1:3" x14ac:dyDescent="0.25">
      <c r="A425" t="s">
        <v>437</v>
      </c>
      <c r="B425" t="s">
        <v>13</v>
      </c>
      <c r="C425" s="1">
        <v>0.115</v>
      </c>
    </row>
    <row r="426" spans="1:3" x14ac:dyDescent="0.25">
      <c r="A426" t="s">
        <v>438</v>
      </c>
      <c r="B426" t="s">
        <v>13</v>
      </c>
      <c r="C426" s="1">
        <v>0.115</v>
      </c>
    </row>
    <row r="427" spans="1:3" x14ac:dyDescent="0.25">
      <c r="A427" t="s">
        <v>439</v>
      </c>
      <c r="B427" t="s">
        <v>13</v>
      </c>
      <c r="C427" s="1">
        <v>0.115</v>
      </c>
    </row>
    <row r="428" spans="1:3" x14ac:dyDescent="0.25">
      <c r="A428" t="s">
        <v>440</v>
      </c>
      <c r="B428" t="s">
        <v>13</v>
      </c>
      <c r="C428" s="1">
        <v>0.115</v>
      </c>
    </row>
    <row r="429" spans="1:3" x14ac:dyDescent="0.25">
      <c r="A429" t="s">
        <v>441</v>
      </c>
      <c r="B429" t="s">
        <v>13</v>
      </c>
      <c r="C429" s="1">
        <v>0.115</v>
      </c>
    </row>
    <row r="430" spans="1:3" x14ac:dyDescent="0.25">
      <c r="A430" t="s">
        <v>442</v>
      </c>
      <c r="B430" t="s">
        <v>13</v>
      </c>
      <c r="C430" s="1">
        <v>0.115</v>
      </c>
    </row>
    <row r="431" spans="1:3" x14ac:dyDescent="0.25">
      <c r="A431" t="s">
        <v>443</v>
      </c>
      <c r="B431" t="s">
        <v>13</v>
      </c>
      <c r="C431" s="1">
        <v>0.115</v>
      </c>
    </row>
    <row r="432" spans="1:3" x14ac:dyDescent="0.25">
      <c r="A432" t="s">
        <v>444</v>
      </c>
      <c r="B432" t="s">
        <v>13</v>
      </c>
      <c r="C432" s="1">
        <v>0.115</v>
      </c>
    </row>
    <row r="433" spans="1:3" x14ac:dyDescent="0.25">
      <c r="A433" t="s">
        <v>445</v>
      </c>
      <c r="B433" t="s">
        <v>13</v>
      </c>
      <c r="C433" s="1">
        <v>0.115</v>
      </c>
    </row>
    <row r="434" spans="1:3" x14ac:dyDescent="0.25">
      <c r="A434" t="s">
        <v>446</v>
      </c>
      <c r="B434" t="s">
        <v>13</v>
      </c>
      <c r="C434" s="1">
        <v>0.115</v>
      </c>
    </row>
    <row r="435" spans="1:3" x14ac:dyDescent="0.25">
      <c r="A435" t="s">
        <v>447</v>
      </c>
      <c r="B435" t="s">
        <v>13</v>
      </c>
      <c r="C435" s="1">
        <v>0.115</v>
      </c>
    </row>
    <row r="436" spans="1:3" x14ac:dyDescent="0.25">
      <c r="A436" t="s">
        <v>448</v>
      </c>
      <c r="B436" t="s">
        <v>13</v>
      </c>
      <c r="C436" s="1">
        <v>0.115</v>
      </c>
    </row>
    <row r="437" spans="1:3" x14ac:dyDescent="0.25">
      <c r="A437" t="s">
        <v>449</v>
      </c>
      <c r="B437" t="s">
        <v>13</v>
      </c>
      <c r="C437" s="1">
        <v>0.115</v>
      </c>
    </row>
    <row r="438" spans="1:3" x14ac:dyDescent="0.25">
      <c r="A438" t="s">
        <v>450</v>
      </c>
      <c r="B438" t="s">
        <v>13</v>
      </c>
      <c r="C438" s="1">
        <v>0.115</v>
      </c>
    </row>
    <row r="439" spans="1:3" x14ac:dyDescent="0.25">
      <c r="A439" t="s">
        <v>451</v>
      </c>
      <c r="B439" t="s">
        <v>13</v>
      </c>
      <c r="C439" s="1">
        <v>0.115</v>
      </c>
    </row>
    <row r="440" spans="1:3" x14ac:dyDescent="0.25">
      <c r="A440" t="s">
        <v>452</v>
      </c>
      <c r="B440" t="s">
        <v>13</v>
      </c>
      <c r="C440" s="1">
        <v>0.115</v>
      </c>
    </row>
    <row r="441" spans="1:3" x14ac:dyDescent="0.25">
      <c r="A441" t="s">
        <v>453</v>
      </c>
      <c r="B441" t="s">
        <v>13</v>
      </c>
      <c r="C441" s="1">
        <v>0.115</v>
      </c>
    </row>
    <row r="442" spans="1:3" x14ac:dyDescent="0.25">
      <c r="A442" t="s">
        <v>454</v>
      </c>
      <c r="B442" t="s">
        <v>13</v>
      </c>
      <c r="C442" s="1">
        <v>0.115</v>
      </c>
    </row>
    <row r="443" spans="1:3" x14ac:dyDescent="0.25">
      <c r="A443" t="s">
        <v>455</v>
      </c>
      <c r="B443" t="s">
        <v>13</v>
      </c>
      <c r="C443" s="1">
        <v>0.115</v>
      </c>
    </row>
    <row r="444" spans="1:3" x14ac:dyDescent="0.25">
      <c r="A444" t="s">
        <v>456</v>
      </c>
      <c r="B444" t="s">
        <v>13</v>
      </c>
      <c r="C444" s="1">
        <v>0.115</v>
      </c>
    </row>
    <row r="445" spans="1:3" x14ac:dyDescent="0.25">
      <c r="A445" t="s">
        <v>457</v>
      </c>
      <c r="B445" t="s">
        <v>13</v>
      </c>
      <c r="C445" s="1">
        <v>0.115</v>
      </c>
    </row>
    <row r="446" spans="1:3" x14ac:dyDescent="0.25">
      <c r="A446" t="s">
        <v>458</v>
      </c>
      <c r="B446" t="s">
        <v>13</v>
      </c>
      <c r="C446" s="1">
        <v>0.115</v>
      </c>
    </row>
    <row r="447" spans="1:3" x14ac:dyDescent="0.25">
      <c r="A447" t="s">
        <v>459</v>
      </c>
      <c r="B447" t="s">
        <v>13</v>
      </c>
      <c r="C447" s="1">
        <v>0.115</v>
      </c>
    </row>
    <row r="448" spans="1:3" x14ac:dyDescent="0.25">
      <c r="A448" t="s">
        <v>460</v>
      </c>
      <c r="B448" t="s">
        <v>13</v>
      </c>
      <c r="C448" s="1">
        <v>0.115</v>
      </c>
    </row>
    <row r="449" spans="1:3" x14ac:dyDescent="0.25">
      <c r="A449" t="s">
        <v>461</v>
      </c>
      <c r="B449" t="s">
        <v>13</v>
      </c>
      <c r="C449" s="1">
        <v>0.115</v>
      </c>
    </row>
    <row r="450" spans="1:3" x14ac:dyDescent="0.25">
      <c r="A450" t="s">
        <v>462</v>
      </c>
      <c r="B450" t="s">
        <v>13</v>
      </c>
      <c r="C450" s="1">
        <v>0.115</v>
      </c>
    </row>
    <row r="451" spans="1:3" x14ac:dyDescent="0.25">
      <c r="A451" t="s">
        <v>463</v>
      </c>
      <c r="B451" t="s">
        <v>13</v>
      </c>
      <c r="C451" s="1">
        <v>0.115</v>
      </c>
    </row>
    <row r="452" spans="1:3" x14ac:dyDescent="0.25">
      <c r="A452" t="s">
        <v>464</v>
      </c>
      <c r="B452" t="s">
        <v>13</v>
      </c>
      <c r="C452" s="1">
        <v>0.115</v>
      </c>
    </row>
    <row r="453" spans="1:3" x14ac:dyDescent="0.25">
      <c r="A453" t="s">
        <v>465</v>
      </c>
      <c r="B453" t="s">
        <v>13</v>
      </c>
      <c r="C453" s="1">
        <v>0.115</v>
      </c>
    </row>
    <row r="454" spans="1:3" x14ac:dyDescent="0.25">
      <c r="A454" t="s">
        <v>466</v>
      </c>
      <c r="B454" t="s">
        <v>13</v>
      </c>
      <c r="C454" s="1">
        <v>0.115</v>
      </c>
    </row>
    <row r="455" spans="1:3" x14ac:dyDescent="0.25">
      <c r="A455" t="s">
        <v>467</v>
      </c>
      <c r="B455" t="s">
        <v>13</v>
      </c>
      <c r="C455" s="1">
        <v>0.115</v>
      </c>
    </row>
    <row r="456" spans="1:3" x14ac:dyDescent="0.25">
      <c r="A456" t="s">
        <v>468</v>
      </c>
      <c r="B456" t="s">
        <v>13</v>
      </c>
      <c r="C456" s="1">
        <v>0.115</v>
      </c>
    </row>
    <row r="457" spans="1:3" x14ac:dyDescent="0.25">
      <c r="A457" t="s">
        <v>469</v>
      </c>
      <c r="B457" t="s">
        <v>13</v>
      </c>
      <c r="C457" s="1">
        <v>0.115</v>
      </c>
    </row>
    <row r="458" spans="1:3" x14ac:dyDescent="0.25">
      <c r="A458" t="s">
        <v>470</v>
      </c>
      <c r="B458" t="s">
        <v>13</v>
      </c>
      <c r="C458" s="1">
        <v>0.115</v>
      </c>
    </row>
    <row r="459" spans="1:3" x14ac:dyDescent="0.25">
      <c r="A459" t="s">
        <v>471</v>
      </c>
      <c r="B459" t="s">
        <v>13</v>
      </c>
      <c r="C459" s="1">
        <v>0.115</v>
      </c>
    </row>
    <row r="460" spans="1:3" x14ac:dyDescent="0.25">
      <c r="A460" t="s">
        <v>472</v>
      </c>
      <c r="B460" t="s">
        <v>13</v>
      </c>
      <c r="C460" s="1">
        <v>0.115</v>
      </c>
    </row>
    <row r="461" spans="1:3" x14ac:dyDescent="0.25">
      <c r="A461" t="s">
        <v>473</v>
      </c>
      <c r="B461" t="s">
        <v>13</v>
      </c>
      <c r="C461" s="1">
        <v>0.115</v>
      </c>
    </row>
    <row r="462" spans="1:3" x14ac:dyDescent="0.25">
      <c r="A462" t="s">
        <v>474</v>
      </c>
      <c r="B462" t="s">
        <v>13</v>
      </c>
      <c r="C462" s="1">
        <v>0.115</v>
      </c>
    </row>
    <row r="463" spans="1:3" x14ac:dyDescent="0.25">
      <c r="A463" t="s">
        <v>475</v>
      </c>
      <c r="B463" t="s">
        <v>13</v>
      </c>
      <c r="C463" s="1">
        <v>0.115</v>
      </c>
    </row>
    <row r="464" spans="1:3" x14ac:dyDescent="0.25">
      <c r="A464" t="s">
        <v>476</v>
      </c>
      <c r="B464" t="s">
        <v>13</v>
      </c>
      <c r="C464" s="1">
        <v>0.115</v>
      </c>
    </row>
    <row r="465" spans="1:3" x14ac:dyDescent="0.25">
      <c r="A465" t="s">
        <v>477</v>
      </c>
      <c r="B465" t="s">
        <v>13</v>
      </c>
      <c r="C465" s="1">
        <v>0.115</v>
      </c>
    </row>
    <row r="466" spans="1:3" x14ac:dyDescent="0.25">
      <c r="A466" t="s">
        <v>478</v>
      </c>
      <c r="B466" t="s">
        <v>13</v>
      </c>
      <c r="C466" s="1">
        <v>0.115</v>
      </c>
    </row>
    <row r="467" spans="1:3" x14ac:dyDescent="0.25">
      <c r="A467" t="s">
        <v>479</v>
      </c>
      <c r="B467" t="s">
        <v>13</v>
      </c>
      <c r="C467" s="1">
        <v>0.115</v>
      </c>
    </row>
    <row r="468" spans="1:3" x14ac:dyDescent="0.25">
      <c r="A468" t="s">
        <v>480</v>
      </c>
      <c r="B468" t="s">
        <v>13</v>
      </c>
      <c r="C468" s="1">
        <v>0.115</v>
      </c>
    </row>
    <row r="469" spans="1:3" x14ac:dyDescent="0.25">
      <c r="A469" t="s">
        <v>481</v>
      </c>
      <c r="B469" t="s">
        <v>13</v>
      </c>
      <c r="C469" s="1">
        <v>0.115</v>
      </c>
    </row>
    <row r="470" spans="1:3" x14ac:dyDescent="0.25">
      <c r="A470" t="s">
        <v>482</v>
      </c>
      <c r="B470" t="s">
        <v>13</v>
      </c>
      <c r="C470" s="1">
        <v>0.115</v>
      </c>
    </row>
    <row r="471" spans="1:3" x14ac:dyDescent="0.25">
      <c r="A471" t="s">
        <v>483</v>
      </c>
      <c r="B471" t="s">
        <v>13</v>
      </c>
      <c r="C471" s="1">
        <v>0.115</v>
      </c>
    </row>
    <row r="472" spans="1:3" x14ac:dyDescent="0.25">
      <c r="A472" t="s">
        <v>484</v>
      </c>
      <c r="B472" t="s">
        <v>13</v>
      </c>
      <c r="C472" s="1">
        <v>0.115</v>
      </c>
    </row>
    <row r="473" spans="1:3" x14ac:dyDescent="0.25">
      <c r="A473" t="s">
        <v>485</v>
      </c>
      <c r="B473" t="s">
        <v>13</v>
      </c>
      <c r="C473" s="1">
        <v>0.115</v>
      </c>
    </row>
    <row r="474" spans="1:3" x14ac:dyDescent="0.25">
      <c r="A474" t="s">
        <v>486</v>
      </c>
      <c r="B474" t="s">
        <v>13</v>
      </c>
      <c r="C474" s="1">
        <v>0.115</v>
      </c>
    </row>
    <row r="475" spans="1:3" x14ac:dyDescent="0.25">
      <c r="A475" t="s">
        <v>487</v>
      </c>
      <c r="B475" t="s">
        <v>13</v>
      </c>
      <c r="C475" s="1">
        <v>0.115</v>
      </c>
    </row>
    <row r="476" spans="1:3" x14ac:dyDescent="0.25">
      <c r="A476" t="s">
        <v>488</v>
      </c>
      <c r="B476" t="s">
        <v>13</v>
      </c>
      <c r="C476" s="1">
        <v>0.115</v>
      </c>
    </row>
    <row r="477" spans="1:3" x14ac:dyDescent="0.25">
      <c r="A477" t="s">
        <v>489</v>
      </c>
      <c r="B477" t="s">
        <v>13</v>
      </c>
      <c r="C477" s="1">
        <v>0.115</v>
      </c>
    </row>
    <row r="478" spans="1:3" x14ac:dyDescent="0.25">
      <c r="A478" t="s">
        <v>490</v>
      </c>
      <c r="B478" t="s">
        <v>13</v>
      </c>
      <c r="C478" s="1">
        <v>0.115</v>
      </c>
    </row>
    <row r="479" spans="1:3" x14ac:dyDescent="0.25">
      <c r="A479" t="s">
        <v>491</v>
      </c>
      <c r="B479" t="s">
        <v>13</v>
      </c>
      <c r="C479" s="1">
        <v>0.115</v>
      </c>
    </row>
    <row r="480" spans="1:3" x14ac:dyDescent="0.25">
      <c r="A480" t="s">
        <v>492</v>
      </c>
      <c r="B480" t="s">
        <v>13</v>
      </c>
      <c r="C480" s="1">
        <v>0.115</v>
      </c>
    </row>
    <row r="481" spans="1:3" x14ac:dyDescent="0.25">
      <c r="A481" t="s">
        <v>493</v>
      </c>
      <c r="B481" t="s">
        <v>13</v>
      </c>
      <c r="C481" s="1">
        <v>0.115</v>
      </c>
    </row>
    <row r="482" spans="1:3" x14ac:dyDescent="0.25">
      <c r="A482" t="s">
        <v>494</v>
      </c>
      <c r="B482" t="s">
        <v>13</v>
      </c>
      <c r="C482" s="1">
        <v>0.115</v>
      </c>
    </row>
    <row r="483" spans="1:3" x14ac:dyDescent="0.25">
      <c r="A483" t="s">
        <v>495</v>
      </c>
      <c r="B483" t="s">
        <v>13</v>
      </c>
      <c r="C483" s="1">
        <v>0.115</v>
      </c>
    </row>
    <row r="484" spans="1:3" x14ac:dyDescent="0.25">
      <c r="A484" t="s">
        <v>496</v>
      </c>
      <c r="B484" t="s">
        <v>13</v>
      </c>
      <c r="C484" s="1">
        <v>0.115</v>
      </c>
    </row>
    <row r="485" spans="1:3" x14ac:dyDescent="0.25">
      <c r="A485" t="s">
        <v>497</v>
      </c>
      <c r="B485" t="s">
        <v>13</v>
      </c>
      <c r="C485" s="1">
        <v>0.115</v>
      </c>
    </row>
    <row r="486" spans="1:3" x14ac:dyDescent="0.25">
      <c r="A486" t="s">
        <v>498</v>
      </c>
      <c r="B486" t="s">
        <v>13</v>
      </c>
      <c r="C486" s="1">
        <v>0.115</v>
      </c>
    </row>
    <row r="487" spans="1:3" x14ac:dyDescent="0.25">
      <c r="A487" t="s">
        <v>499</v>
      </c>
      <c r="B487" t="s">
        <v>13</v>
      </c>
      <c r="C487" s="1">
        <v>0.115</v>
      </c>
    </row>
    <row r="488" spans="1:3" x14ac:dyDescent="0.25">
      <c r="A488" t="s">
        <v>500</v>
      </c>
      <c r="B488" t="s">
        <v>13</v>
      </c>
      <c r="C488" s="1">
        <v>0.115</v>
      </c>
    </row>
    <row r="489" spans="1:3" x14ac:dyDescent="0.25">
      <c r="A489" t="s">
        <v>501</v>
      </c>
      <c r="B489" t="s">
        <v>13</v>
      </c>
      <c r="C489" s="1">
        <v>0.115</v>
      </c>
    </row>
    <row r="490" spans="1:3" x14ac:dyDescent="0.25">
      <c r="A490" t="s">
        <v>502</v>
      </c>
      <c r="B490" t="s">
        <v>13</v>
      </c>
      <c r="C490" s="1">
        <v>0.115</v>
      </c>
    </row>
    <row r="491" spans="1:3" x14ac:dyDescent="0.25">
      <c r="A491" t="s">
        <v>503</v>
      </c>
      <c r="B491" t="s">
        <v>13</v>
      </c>
      <c r="C491" s="1">
        <v>0.115</v>
      </c>
    </row>
    <row r="492" spans="1:3" x14ac:dyDescent="0.25">
      <c r="A492" t="s">
        <v>504</v>
      </c>
      <c r="B492" t="s">
        <v>13</v>
      </c>
      <c r="C492" s="1">
        <v>0.115</v>
      </c>
    </row>
    <row r="493" spans="1:3" x14ac:dyDescent="0.25">
      <c r="A493" t="s">
        <v>505</v>
      </c>
      <c r="B493" t="s">
        <v>13</v>
      </c>
      <c r="C493" s="1">
        <v>0.115</v>
      </c>
    </row>
    <row r="494" spans="1:3" x14ac:dyDescent="0.25">
      <c r="A494" t="s">
        <v>506</v>
      </c>
      <c r="B494" t="s">
        <v>13</v>
      </c>
      <c r="C494" s="1">
        <v>0.115</v>
      </c>
    </row>
    <row r="495" spans="1:3" x14ac:dyDescent="0.25">
      <c r="A495" t="s">
        <v>507</v>
      </c>
      <c r="B495" t="s">
        <v>13</v>
      </c>
      <c r="C495" s="1">
        <v>0.115</v>
      </c>
    </row>
    <row r="496" spans="1:3" x14ac:dyDescent="0.25">
      <c r="A496" t="s">
        <v>508</v>
      </c>
      <c r="B496" t="s">
        <v>13</v>
      </c>
      <c r="C496" s="1">
        <v>0.115</v>
      </c>
    </row>
    <row r="497" spans="1:3" x14ac:dyDescent="0.25">
      <c r="A497" t="s">
        <v>509</v>
      </c>
      <c r="B497" t="s">
        <v>13</v>
      </c>
      <c r="C497" s="1">
        <v>0.115</v>
      </c>
    </row>
    <row r="498" spans="1:3" x14ac:dyDescent="0.25">
      <c r="A498" t="s">
        <v>510</v>
      </c>
      <c r="B498" t="s">
        <v>13</v>
      </c>
      <c r="C498" s="1">
        <v>0.115</v>
      </c>
    </row>
    <row r="499" spans="1:3" x14ac:dyDescent="0.25">
      <c r="A499" t="s">
        <v>511</v>
      </c>
      <c r="B499" t="s">
        <v>13</v>
      </c>
      <c r="C499" s="1">
        <v>0.115</v>
      </c>
    </row>
    <row r="500" spans="1:3" x14ac:dyDescent="0.25">
      <c r="A500" t="s">
        <v>512</v>
      </c>
      <c r="B500" t="s">
        <v>13</v>
      </c>
      <c r="C500" s="1">
        <v>0.115</v>
      </c>
    </row>
    <row r="501" spans="1:3" x14ac:dyDescent="0.25">
      <c r="A501" t="s">
        <v>513</v>
      </c>
      <c r="B501" t="s">
        <v>13</v>
      </c>
      <c r="C501" s="1">
        <v>0.115</v>
      </c>
    </row>
    <row r="502" spans="1:3" x14ac:dyDescent="0.25">
      <c r="A502" t="s">
        <v>514</v>
      </c>
      <c r="B502" t="s">
        <v>13</v>
      </c>
      <c r="C502" s="1">
        <v>0.115</v>
      </c>
    </row>
    <row r="503" spans="1:3" x14ac:dyDescent="0.25">
      <c r="A503" t="s">
        <v>515</v>
      </c>
      <c r="B503" t="s">
        <v>13</v>
      </c>
      <c r="C503" s="1">
        <v>0.115</v>
      </c>
    </row>
    <row r="504" spans="1:3" x14ac:dyDescent="0.25">
      <c r="A504" t="s">
        <v>516</v>
      </c>
      <c r="B504" t="s">
        <v>13</v>
      </c>
      <c r="C504" s="1">
        <v>0.115</v>
      </c>
    </row>
    <row r="505" spans="1:3" x14ac:dyDescent="0.25">
      <c r="A505" t="s">
        <v>517</v>
      </c>
      <c r="B505" t="s">
        <v>13</v>
      </c>
      <c r="C505" s="1">
        <v>0.115</v>
      </c>
    </row>
    <row r="506" spans="1:3" x14ac:dyDescent="0.25">
      <c r="A506" t="s">
        <v>518</v>
      </c>
      <c r="B506" t="s">
        <v>13</v>
      </c>
      <c r="C506" s="1">
        <v>0.115</v>
      </c>
    </row>
    <row r="507" spans="1:3" x14ac:dyDescent="0.25">
      <c r="A507" t="s">
        <v>519</v>
      </c>
      <c r="B507" t="s">
        <v>13</v>
      </c>
      <c r="C507" s="1">
        <v>0.115</v>
      </c>
    </row>
    <row r="508" spans="1:3" x14ac:dyDescent="0.25">
      <c r="A508" t="s">
        <v>520</v>
      </c>
      <c r="B508" t="s">
        <v>13</v>
      </c>
      <c r="C508" s="1">
        <v>0.115</v>
      </c>
    </row>
    <row r="509" spans="1:3" x14ac:dyDescent="0.25">
      <c r="A509" t="s">
        <v>521</v>
      </c>
      <c r="B509" t="s">
        <v>13</v>
      </c>
      <c r="C509" s="1">
        <v>0.115</v>
      </c>
    </row>
    <row r="510" spans="1:3" x14ac:dyDescent="0.25">
      <c r="A510" t="s">
        <v>522</v>
      </c>
      <c r="B510" t="s">
        <v>13</v>
      </c>
      <c r="C510" s="1">
        <v>0.115</v>
      </c>
    </row>
    <row r="511" spans="1:3" x14ac:dyDescent="0.25">
      <c r="A511" t="s">
        <v>523</v>
      </c>
      <c r="B511" t="s">
        <v>13</v>
      </c>
      <c r="C511" s="1">
        <v>0.115</v>
      </c>
    </row>
    <row r="512" spans="1:3" x14ac:dyDescent="0.25">
      <c r="A512" t="s">
        <v>524</v>
      </c>
      <c r="B512" t="s">
        <v>13</v>
      </c>
      <c r="C512" s="1">
        <v>0.115</v>
      </c>
    </row>
    <row r="513" spans="1:3" x14ac:dyDescent="0.25">
      <c r="A513" t="s">
        <v>525</v>
      </c>
      <c r="B513" t="s">
        <v>13</v>
      </c>
      <c r="C513" s="1">
        <v>0.115</v>
      </c>
    </row>
    <row r="514" spans="1:3" x14ac:dyDescent="0.25">
      <c r="A514" t="s">
        <v>526</v>
      </c>
      <c r="B514" t="s">
        <v>13</v>
      </c>
      <c r="C514" s="1">
        <v>0.115</v>
      </c>
    </row>
    <row r="515" spans="1:3" x14ac:dyDescent="0.25">
      <c r="A515" t="s">
        <v>527</v>
      </c>
      <c r="B515" t="s">
        <v>13</v>
      </c>
      <c r="C515" s="1">
        <v>0.115</v>
      </c>
    </row>
    <row r="516" spans="1:3" x14ac:dyDescent="0.25">
      <c r="A516" t="s">
        <v>528</v>
      </c>
      <c r="B516" t="s">
        <v>13</v>
      </c>
      <c r="C516" s="1">
        <v>0.115</v>
      </c>
    </row>
    <row r="517" spans="1:3" x14ac:dyDescent="0.25">
      <c r="A517" t="s">
        <v>529</v>
      </c>
      <c r="B517" t="s">
        <v>13</v>
      </c>
      <c r="C517" s="1">
        <v>0.115</v>
      </c>
    </row>
    <row r="518" spans="1:3" x14ac:dyDescent="0.25">
      <c r="A518" t="s">
        <v>530</v>
      </c>
      <c r="B518" t="s">
        <v>13</v>
      </c>
      <c r="C518" s="1">
        <v>0.115</v>
      </c>
    </row>
    <row r="519" spans="1:3" x14ac:dyDescent="0.25">
      <c r="A519" t="s">
        <v>531</v>
      </c>
      <c r="B519" t="s">
        <v>13</v>
      </c>
      <c r="C519" s="1">
        <v>0.115</v>
      </c>
    </row>
    <row r="520" spans="1:3" x14ac:dyDescent="0.25">
      <c r="A520" t="s">
        <v>532</v>
      </c>
      <c r="B520" t="s">
        <v>13</v>
      </c>
      <c r="C520" s="1">
        <v>0.115</v>
      </c>
    </row>
    <row r="521" spans="1:3" x14ac:dyDescent="0.25">
      <c r="A521" t="s">
        <v>533</v>
      </c>
      <c r="B521" t="s">
        <v>13</v>
      </c>
      <c r="C521" s="1">
        <v>0.115</v>
      </c>
    </row>
    <row r="522" spans="1:3" x14ac:dyDescent="0.25">
      <c r="A522" t="s">
        <v>534</v>
      </c>
      <c r="B522" t="s">
        <v>13</v>
      </c>
      <c r="C522" s="1">
        <v>0.115</v>
      </c>
    </row>
    <row r="523" spans="1:3" x14ac:dyDescent="0.25">
      <c r="A523" t="s">
        <v>535</v>
      </c>
      <c r="B523" t="s">
        <v>13</v>
      </c>
      <c r="C523" s="1">
        <v>0.115</v>
      </c>
    </row>
    <row r="524" spans="1:3" x14ac:dyDescent="0.25">
      <c r="A524" t="s">
        <v>536</v>
      </c>
      <c r="B524" t="s">
        <v>13</v>
      </c>
      <c r="C524" s="1">
        <v>0.115</v>
      </c>
    </row>
    <row r="525" spans="1:3" x14ac:dyDescent="0.25">
      <c r="A525" t="s">
        <v>537</v>
      </c>
      <c r="B525" t="s">
        <v>13</v>
      </c>
      <c r="C525" s="1">
        <v>0.115</v>
      </c>
    </row>
    <row r="526" spans="1:3" x14ac:dyDescent="0.25">
      <c r="A526" t="s">
        <v>538</v>
      </c>
      <c r="B526" t="s">
        <v>13</v>
      </c>
      <c r="C526" s="1">
        <v>0.115</v>
      </c>
    </row>
    <row r="527" spans="1:3" x14ac:dyDescent="0.25">
      <c r="A527" t="s">
        <v>539</v>
      </c>
      <c r="B527" t="s">
        <v>13</v>
      </c>
      <c r="C527" s="1">
        <v>0.115</v>
      </c>
    </row>
    <row r="528" spans="1:3" x14ac:dyDescent="0.25">
      <c r="A528" t="s">
        <v>540</v>
      </c>
      <c r="B528" t="s">
        <v>13</v>
      </c>
      <c r="C528" s="1">
        <v>0.115</v>
      </c>
    </row>
    <row r="529" spans="1:3" x14ac:dyDescent="0.25">
      <c r="A529" t="s">
        <v>541</v>
      </c>
      <c r="B529" t="s">
        <v>13</v>
      </c>
      <c r="C529" s="1">
        <v>0.115</v>
      </c>
    </row>
    <row r="530" spans="1:3" x14ac:dyDescent="0.25">
      <c r="A530" t="s">
        <v>542</v>
      </c>
      <c r="B530" t="s">
        <v>13</v>
      </c>
      <c r="C530" s="1">
        <v>0.115</v>
      </c>
    </row>
    <row r="531" spans="1:3" x14ac:dyDescent="0.25">
      <c r="A531" t="s">
        <v>543</v>
      </c>
      <c r="B531" t="s">
        <v>13</v>
      </c>
      <c r="C531" s="1">
        <v>0.115</v>
      </c>
    </row>
    <row r="532" spans="1:3" x14ac:dyDescent="0.25">
      <c r="A532" t="s">
        <v>544</v>
      </c>
      <c r="B532" t="s">
        <v>13</v>
      </c>
      <c r="C532" s="1">
        <v>0.115</v>
      </c>
    </row>
    <row r="533" spans="1:3" x14ac:dyDescent="0.25">
      <c r="A533" t="s">
        <v>545</v>
      </c>
      <c r="B533" t="s">
        <v>13</v>
      </c>
      <c r="C533" s="1">
        <v>0.115</v>
      </c>
    </row>
    <row r="534" spans="1:3" x14ac:dyDescent="0.25">
      <c r="A534" t="s">
        <v>546</v>
      </c>
      <c r="B534" t="s">
        <v>13</v>
      </c>
      <c r="C534" s="1">
        <v>0.115</v>
      </c>
    </row>
    <row r="535" spans="1:3" x14ac:dyDescent="0.25">
      <c r="A535" t="s">
        <v>547</v>
      </c>
      <c r="B535" t="s">
        <v>13</v>
      </c>
      <c r="C535" s="1">
        <v>0.115</v>
      </c>
    </row>
    <row r="536" spans="1:3" x14ac:dyDescent="0.25">
      <c r="A536" t="s">
        <v>548</v>
      </c>
      <c r="B536" t="s">
        <v>13</v>
      </c>
      <c r="C536" s="1">
        <v>0.115</v>
      </c>
    </row>
    <row r="537" spans="1:3" x14ac:dyDescent="0.25">
      <c r="A537" t="s">
        <v>549</v>
      </c>
      <c r="B537" t="s">
        <v>13</v>
      </c>
      <c r="C537" s="1">
        <v>0.115</v>
      </c>
    </row>
    <row r="538" spans="1:3" x14ac:dyDescent="0.25">
      <c r="A538" t="s">
        <v>550</v>
      </c>
      <c r="B538" t="s">
        <v>13</v>
      </c>
      <c r="C538" s="1">
        <v>0.115</v>
      </c>
    </row>
    <row r="539" spans="1:3" x14ac:dyDescent="0.25">
      <c r="A539" t="s">
        <v>551</v>
      </c>
      <c r="B539" t="s">
        <v>13</v>
      </c>
      <c r="C539" s="1">
        <v>0.115</v>
      </c>
    </row>
    <row r="540" spans="1:3" x14ac:dyDescent="0.25">
      <c r="A540" t="s">
        <v>552</v>
      </c>
      <c r="B540" t="s">
        <v>13</v>
      </c>
      <c r="C540" s="1">
        <v>0.115</v>
      </c>
    </row>
    <row r="541" spans="1:3" x14ac:dyDescent="0.25">
      <c r="A541" t="s">
        <v>553</v>
      </c>
      <c r="B541" t="s">
        <v>13</v>
      </c>
      <c r="C541" s="1">
        <v>0.115</v>
      </c>
    </row>
    <row r="542" spans="1:3" x14ac:dyDescent="0.25">
      <c r="A542" t="s">
        <v>554</v>
      </c>
      <c r="B542" t="s">
        <v>13</v>
      </c>
      <c r="C542" s="1">
        <v>0.115</v>
      </c>
    </row>
    <row r="543" spans="1:3" x14ac:dyDescent="0.25">
      <c r="A543" t="s">
        <v>555</v>
      </c>
      <c r="B543" t="s">
        <v>13</v>
      </c>
      <c r="C543" s="1">
        <v>0.115</v>
      </c>
    </row>
    <row r="544" spans="1:3" x14ac:dyDescent="0.25">
      <c r="A544" t="s">
        <v>556</v>
      </c>
      <c r="B544" t="s">
        <v>13</v>
      </c>
      <c r="C544" s="1">
        <v>0.115</v>
      </c>
    </row>
    <row r="545" spans="1:3" x14ac:dyDescent="0.25">
      <c r="A545" t="s">
        <v>557</v>
      </c>
      <c r="B545" t="s">
        <v>13</v>
      </c>
      <c r="C545" s="1">
        <v>0.115</v>
      </c>
    </row>
    <row r="546" spans="1:3" x14ac:dyDescent="0.25">
      <c r="A546" t="s">
        <v>558</v>
      </c>
      <c r="B546" t="s">
        <v>13</v>
      </c>
      <c r="C546" s="1">
        <v>0.115</v>
      </c>
    </row>
    <row r="547" spans="1:3" x14ac:dyDescent="0.25">
      <c r="A547" t="s">
        <v>559</v>
      </c>
      <c r="B547" t="s">
        <v>13</v>
      </c>
      <c r="C547" s="1">
        <v>0.115</v>
      </c>
    </row>
    <row r="548" spans="1:3" x14ac:dyDescent="0.25">
      <c r="A548" t="s">
        <v>560</v>
      </c>
      <c r="B548" t="s">
        <v>13</v>
      </c>
      <c r="C548" s="1">
        <v>0.115</v>
      </c>
    </row>
    <row r="549" spans="1:3" x14ac:dyDescent="0.25">
      <c r="A549" t="s">
        <v>561</v>
      </c>
      <c r="B549" t="s">
        <v>13</v>
      </c>
      <c r="C549" s="1">
        <v>0.115</v>
      </c>
    </row>
    <row r="550" spans="1:3" x14ac:dyDescent="0.25">
      <c r="A550" t="s">
        <v>562</v>
      </c>
      <c r="B550" t="s">
        <v>13</v>
      </c>
      <c r="C550" s="1">
        <v>0.115</v>
      </c>
    </row>
    <row r="551" spans="1:3" x14ac:dyDescent="0.25">
      <c r="A551" t="s">
        <v>563</v>
      </c>
      <c r="B551" t="s">
        <v>13</v>
      </c>
      <c r="C551" s="1">
        <v>0.115</v>
      </c>
    </row>
    <row r="552" spans="1:3" x14ac:dyDescent="0.25">
      <c r="A552" t="s">
        <v>564</v>
      </c>
      <c r="B552" t="s">
        <v>13</v>
      </c>
      <c r="C552" s="1">
        <v>0.115</v>
      </c>
    </row>
    <row r="553" spans="1:3" x14ac:dyDescent="0.25">
      <c r="A553" t="s">
        <v>565</v>
      </c>
      <c r="B553" t="s">
        <v>13</v>
      </c>
      <c r="C553" s="1">
        <v>0.115</v>
      </c>
    </row>
    <row r="554" spans="1:3" x14ac:dyDescent="0.25">
      <c r="A554" t="s">
        <v>566</v>
      </c>
      <c r="B554" t="s">
        <v>13</v>
      </c>
      <c r="C554" s="1">
        <v>0.115</v>
      </c>
    </row>
    <row r="555" spans="1:3" x14ac:dyDescent="0.25">
      <c r="A555" t="s">
        <v>567</v>
      </c>
      <c r="B555" t="s">
        <v>13</v>
      </c>
      <c r="C555" s="1">
        <v>0.115</v>
      </c>
    </row>
    <row r="556" spans="1:3" x14ac:dyDescent="0.25">
      <c r="A556" t="s">
        <v>568</v>
      </c>
      <c r="B556" t="s">
        <v>13</v>
      </c>
      <c r="C556" s="1">
        <v>0.115</v>
      </c>
    </row>
    <row r="557" spans="1:3" x14ac:dyDescent="0.25">
      <c r="A557" t="s">
        <v>569</v>
      </c>
      <c r="B557" t="s">
        <v>13</v>
      </c>
      <c r="C557" s="1">
        <v>0.115</v>
      </c>
    </row>
    <row r="558" spans="1:3" x14ac:dyDescent="0.25">
      <c r="A558" t="s">
        <v>570</v>
      </c>
      <c r="B558" t="s">
        <v>13</v>
      </c>
      <c r="C558" s="1">
        <v>0.115</v>
      </c>
    </row>
    <row r="559" spans="1:3" x14ac:dyDescent="0.25">
      <c r="A559" t="s">
        <v>571</v>
      </c>
      <c r="B559" t="s">
        <v>13</v>
      </c>
      <c r="C559" s="1">
        <v>0.115</v>
      </c>
    </row>
    <row r="560" spans="1:3" x14ac:dyDescent="0.25">
      <c r="A560" t="s">
        <v>572</v>
      </c>
      <c r="B560" t="s">
        <v>13</v>
      </c>
      <c r="C560" s="1">
        <v>0.115</v>
      </c>
    </row>
    <row r="561" spans="1:3" x14ac:dyDescent="0.25">
      <c r="A561" t="s">
        <v>573</v>
      </c>
      <c r="B561" t="s">
        <v>13</v>
      </c>
      <c r="C561" s="1">
        <v>0.115</v>
      </c>
    </row>
    <row r="562" spans="1:3" x14ac:dyDescent="0.25">
      <c r="A562" t="s">
        <v>574</v>
      </c>
      <c r="B562" t="s">
        <v>13</v>
      </c>
      <c r="C562" s="1">
        <v>0.115</v>
      </c>
    </row>
    <row r="563" spans="1:3" x14ac:dyDescent="0.25">
      <c r="A563" t="s">
        <v>575</v>
      </c>
      <c r="B563" t="s">
        <v>13</v>
      </c>
      <c r="C563" s="1">
        <v>0.115</v>
      </c>
    </row>
    <row r="564" spans="1:3" x14ac:dyDescent="0.25">
      <c r="A564" t="s">
        <v>576</v>
      </c>
      <c r="B564" t="s">
        <v>13</v>
      </c>
      <c r="C564" s="1">
        <v>0.115</v>
      </c>
    </row>
    <row r="565" spans="1:3" x14ac:dyDescent="0.25">
      <c r="A565" t="s">
        <v>577</v>
      </c>
      <c r="B565" t="s">
        <v>13</v>
      </c>
      <c r="C565" s="1">
        <v>0.115</v>
      </c>
    </row>
    <row r="566" spans="1:3" x14ac:dyDescent="0.25">
      <c r="A566" t="s">
        <v>578</v>
      </c>
      <c r="B566" t="s">
        <v>13</v>
      </c>
      <c r="C566" s="1">
        <v>0.115</v>
      </c>
    </row>
    <row r="567" spans="1:3" x14ac:dyDescent="0.25">
      <c r="A567" t="s">
        <v>579</v>
      </c>
      <c r="B567" t="s">
        <v>13</v>
      </c>
      <c r="C567" s="1">
        <v>0.115</v>
      </c>
    </row>
    <row r="568" spans="1:3" x14ac:dyDescent="0.25">
      <c r="A568" t="s">
        <v>580</v>
      </c>
      <c r="B568" t="s">
        <v>13</v>
      </c>
      <c r="C568" s="1">
        <v>0.115</v>
      </c>
    </row>
    <row r="569" spans="1:3" x14ac:dyDescent="0.25">
      <c r="A569" t="s">
        <v>581</v>
      </c>
      <c r="B569" t="s">
        <v>13</v>
      </c>
      <c r="C569" s="1">
        <v>0.115</v>
      </c>
    </row>
    <row r="570" spans="1:3" x14ac:dyDescent="0.25">
      <c r="A570" t="s">
        <v>582</v>
      </c>
      <c r="B570" t="s">
        <v>13</v>
      </c>
      <c r="C570" s="1">
        <v>0.115</v>
      </c>
    </row>
    <row r="571" spans="1:3" x14ac:dyDescent="0.25">
      <c r="A571" t="s">
        <v>583</v>
      </c>
      <c r="B571" t="s">
        <v>13</v>
      </c>
      <c r="C571" s="1">
        <v>0.115</v>
      </c>
    </row>
    <row r="572" spans="1:3" x14ac:dyDescent="0.25">
      <c r="A572" t="s">
        <v>584</v>
      </c>
      <c r="B572" t="s">
        <v>13</v>
      </c>
      <c r="C572" s="1">
        <v>0.115</v>
      </c>
    </row>
    <row r="573" spans="1:3" x14ac:dyDescent="0.25">
      <c r="A573" t="s">
        <v>585</v>
      </c>
      <c r="B573" t="s">
        <v>13</v>
      </c>
      <c r="C573" s="1">
        <v>0.115</v>
      </c>
    </row>
    <row r="574" spans="1:3" x14ac:dyDescent="0.25">
      <c r="A574" t="s">
        <v>586</v>
      </c>
      <c r="B574" t="s">
        <v>13</v>
      </c>
      <c r="C574" s="1">
        <v>0.115</v>
      </c>
    </row>
    <row r="575" spans="1:3" x14ac:dyDescent="0.25">
      <c r="A575" t="s">
        <v>587</v>
      </c>
      <c r="B575" t="s">
        <v>13</v>
      </c>
      <c r="C575" s="1">
        <v>0.115</v>
      </c>
    </row>
    <row r="576" spans="1:3" x14ac:dyDescent="0.25">
      <c r="A576" t="s">
        <v>588</v>
      </c>
      <c r="B576" t="s">
        <v>13</v>
      </c>
      <c r="C576" s="1">
        <v>0.115</v>
      </c>
    </row>
    <row r="577" spans="1:3" x14ac:dyDescent="0.25">
      <c r="A577" t="s">
        <v>589</v>
      </c>
      <c r="B577" t="s">
        <v>13</v>
      </c>
      <c r="C577" s="1">
        <v>0.115</v>
      </c>
    </row>
    <row r="578" spans="1:3" x14ac:dyDescent="0.25">
      <c r="A578" t="s">
        <v>590</v>
      </c>
      <c r="B578" t="s">
        <v>13</v>
      </c>
      <c r="C578" s="1">
        <v>0.115</v>
      </c>
    </row>
    <row r="579" spans="1:3" x14ac:dyDescent="0.25">
      <c r="A579" t="s">
        <v>591</v>
      </c>
      <c r="B579" t="s">
        <v>13</v>
      </c>
      <c r="C579" s="1">
        <v>0.115</v>
      </c>
    </row>
    <row r="580" spans="1:3" x14ac:dyDescent="0.25">
      <c r="A580" t="s">
        <v>592</v>
      </c>
      <c r="B580" t="s">
        <v>13</v>
      </c>
      <c r="C580" s="1">
        <v>0.115</v>
      </c>
    </row>
    <row r="581" spans="1:3" x14ac:dyDescent="0.25">
      <c r="A581" t="s">
        <v>593</v>
      </c>
      <c r="B581" t="s">
        <v>13</v>
      </c>
      <c r="C581" s="1">
        <v>0.115</v>
      </c>
    </row>
    <row r="582" spans="1:3" x14ac:dyDescent="0.25">
      <c r="A582" t="s">
        <v>594</v>
      </c>
      <c r="B582" t="s">
        <v>13</v>
      </c>
      <c r="C582" s="1">
        <v>0.115</v>
      </c>
    </row>
    <row r="583" spans="1:3" x14ac:dyDescent="0.25">
      <c r="A583" t="s">
        <v>595</v>
      </c>
      <c r="B583" t="s">
        <v>13</v>
      </c>
      <c r="C583" s="1">
        <v>0.115</v>
      </c>
    </row>
    <row r="584" spans="1:3" x14ac:dyDescent="0.25">
      <c r="A584" t="s">
        <v>596</v>
      </c>
      <c r="B584" t="s">
        <v>13</v>
      </c>
      <c r="C584" s="1">
        <v>0.115</v>
      </c>
    </row>
    <row r="585" spans="1:3" x14ac:dyDescent="0.25">
      <c r="A585" t="s">
        <v>597</v>
      </c>
      <c r="B585" t="s">
        <v>13</v>
      </c>
      <c r="C585" s="1">
        <v>0.115</v>
      </c>
    </row>
    <row r="586" spans="1:3" x14ac:dyDescent="0.25">
      <c r="A586" t="s">
        <v>598</v>
      </c>
      <c r="B586" t="s">
        <v>13</v>
      </c>
      <c r="C586" s="1">
        <v>0.115</v>
      </c>
    </row>
    <row r="587" spans="1:3" x14ac:dyDescent="0.25">
      <c r="A587" t="s">
        <v>599</v>
      </c>
      <c r="B587" t="s">
        <v>13</v>
      </c>
      <c r="C587" s="1">
        <v>0.115</v>
      </c>
    </row>
    <row r="588" spans="1:3" x14ac:dyDescent="0.25">
      <c r="A588" t="s">
        <v>600</v>
      </c>
      <c r="B588" t="s">
        <v>13</v>
      </c>
      <c r="C588" s="1">
        <v>0.115</v>
      </c>
    </row>
    <row r="589" spans="1:3" x14ac:dyDescent="0.25">
      <c r="A589" t="s">
        <v>601</v>
      </c>
      <c r="B589" t="s">
        <v>13</v>
      </c>
      <c r="C589" s="1">
        <v>0.115</v>
      </c>
    </row>
    <row r="590" spans="1:3" x14ac:dyDescent="0.25">
      <c r="A590" t="s">
        <v>602</v>
      </c>
      <c r="B590" t="s">
        <v>13</v>
      </c>
      <c r="C590" s="1">
        <v>0.115</v>
      </c>
    </row>
    <row r="591" spans="1:3" x14ac:dyDescent="0.25">
      <c r="A591" t="s">
        <v>603</v>
      </c>
      <c r="B591" t="s">
        <v>13</v>
      </c>
      <c r="C591" s="1">
        <v>0.115</v>
      </c>
    </row>
    <row r="592" spans="1:3" x14ac:dyDescent="0.25">
      <c r="A592" t="s">
        <v>604</v>
      </c>
      <c r="B592" t="s">
        <v>13</v>
      </c>
      <c r="C592" s="1">
        <v>0.115</v>
      </c>
    </row>
    <row r="593" spans="1:3" x14ac:dyDescent="0.25">
      <c r="A593" t="s">
        <v>605</v>
      </c>
      <c r="B593" t="s">
        <v>13</v>
      </c>
      <c r="C593" s="1">
        <v>0.115</v>
      </c>
    </row>
    <row r="594" spans="1:3" x14ac:dyDescent="0.25">
      <c r="A594" t="s">
        <v>606</v>
      </c>
      <c r="B594" t="s">
        <v>13</v>
      </c>
      <c r="C594" s="1">
        <v>0.115</v>
      </c>
    </row>
    <row r="595" spans="1:3" x14ac:dyDescent="0.25">
      <c r="A595" t="s">
        <v>607</v>
      </c>
      <c r="B595" t="s">
        <v>13</v>
      </c>
      <c r="C595" s="1">
        <v>0.115</v>
      </c>
    </row>
    <row r="596" spans="1:3" x14ac:dyDescent="0.25">
      <c r="A596" t="s">
        <v>608</v>
      </c>
      <c r="B596" t="s">
        <v>13</v>
      </c>
      <c r="C596" s="1">
        <v>0.115</v>
      </c>
    </row>
    <row r="597" spans="1:3" x14ac:dyDescent="0.25">
      <c r="A597" t="s">
        <v>609</v>
      </c>
      <c r="B597" t="s">
        <v>13</v>
      </c>
      <c r="C597" s="1">
        <v>0.115</v>
      </c>
    </row>
    <row r="598" spans="1:3" x14ac:dyDescent="0.25">
      <c r="A598" t="s">
        <v>610</v>
      </c>
      <c r="B598" t="s">
        <v>13</v>
      </c>
      <c r="C598" s="1">
        <v>0.115</v>
      </c>
    </row>
    <row r="599" spans="1:3" x14ac:dyDescent="0.25">
      <c r="A599" t="s">
        <v>611</v>
      </c>
      <c r="B599" t="s">
        <v>13</v>
      </c>
      <c r="C599" s="1">
        <v>0.115</v>
      </c>
    </row>
    <row r="600" spans="1:3" x14ac:dyDescent="0.25">
      <c r="A600" t="s">
        <v>612</v>
      </c>
      <c r="B600" t="s">
        <v>13</v>
      </c>
      <c r="C600" s="1">
        <v>0.115</v>
      </c>
    </row>
    <row r="601" spans="1:3" x14ac:dyDescent="0.25">
      <c r="A601" t="s">
        <v>613</v>
      </c>
      <c r="B601" t="s">
        <v>13</v>
      </c>
      <c r="C601" s="1">
        <v>0.115</v>
      </c>
    </row>
    <row r="602" spans="1:3" x14ac:dyDescent="0.25">
      <c r="A602" t="s">
        <v>614</v>
      </c>
      <c r="B602" t="s">
        <v>13</v>
      </c>
      <c r="C602" s="1">
        <v>0.115</v>
      </c>
    </row>
    <row r="603" spans="1:3" x14ac:dyDescent="0.25">
      <c r="A603" t="s">
        <v>615</v>
      </c>
      <c r="B603" t="s">
        <v>13</v>
      </c>
      <c r="C603" s="1">
        <v>0.115</v>
      </c>
    </row>
    <row r="604" spans="1:3" x14ac:dyDescent="0.25">
      <c r="A604" t="s">
        <v>616</v>
      </c>
      <c r="B604" t="s">
        <v>13</v>
      </c>
      <c r="C604" s="1">
        <v>0.115</v>
      </c>
    </row>
    <row r="605" spans="1:3" x14ac:dyDescent="0.25">
      <c r="A605" t="s">
        <v>617</v>
      </c>
      <c r="B605" t="s">
        <v>13</v>
      </c>
      <c r="C605" s="1">
        <v>0.115</v>
      </c>
    </row>
    <row r="606" spans="1:3" x14ac:dyDescent="0.25">
      <c r="A606" t="s">
        <v>618</v>
      </c>
      <c r="B606" t="s">
        <v>13</v>
      </c>
      <c r="C606" s="1">
        <v>0.115</v>
      </c>
    </row>
    <row r="607" spans="1:3" x14ac:dyDescent="0.25">
      <c r="A607" t="s">
        <v>619</v>
      </c>
      <c r="B607" t="s">
        <v>13</v>
      </c>
      <c r="C607" s="1">
        <v>0.115</v>
      </c>
    </row>
    <row r="608" spans="1:3" x14ac:dyDescent="0.25">
      <c r="A608" t="s">
        <v>620</v>
      </c>
      <c r="B608" t="s">
        <v>13</v>
      </c>
      <c r="C608" s="1">
        <v>0.115</v>
      </c>
    </row>
    <row r="609" spans="1:3" x14ac:dyDescent="0.25">
      <c r="A609" t="s">
        <v>621</v>
      </c>
      <c r="B609" t="s">
        <v>13</v>
      </c>
      <c r="C609" s="1">
        <v>0.115</v>
      </c>
    </row>
    <row r="610" spans="1:3" x14ac:dyDescent="0.25">
      <c r="A610" t="s">
        <v>622</v>
      </c>
      <c r="B610" t="s">
        <v>13</v>
      </c>
      <c r="C610" s="1">
        <v>0.115</v>
      </c>
    </row>
    <row r="611" spans="1:3" x14ac:dyDescent="0.25">
      <c r="A611" t="s">
        <v>623</v>
      </c>
      <c r="B611" t="s">
        <v>13</v>
      </c>
      <c r="C611" s="1">
        <v>0.115</v>
      </c>
    </row>
    <row r="612" spans="1:3" x14ac:dyDescent="0.25">
      <c r="A612" t="s">
        <v>624</v>
      </c>
      <c r="B612" t="s">
        <v>13</v>
      </c>
      <c r="C612" s="1">
        <v>0.115</v>
      </c>
    </row>
    <row r="613" spans="1:3" x14ac:dyDescent="0.25">
      <c r="A613" t="s">
        <v>625</v>
      </c>
      <c r="B613" t="s">
        <v>13</v>
      </c>
      <c r="C613" s="1">
        <v>0.115</v>
      </c>
    </row>
    <row r="614" spans="1:3" x14ac:dyDescent="0.25">
      <c r="A614" t="s">
        <v>626</v>
      </c>
      <c r="B614" t="s">
        <v>13</v>
      </c>
      <c r="C614" s="1">
        <v>0.115</v>
      </c>
    </row>
    <row r="615" spans="1:3" x14ac:dyDescent="0.25">
      <c r="A615" t="s">
        <v>627</v>
      </c>
      <c r="B615" t="s">
        <v>13</v>
      </c>
      <c r="C615" s="1">
        <v>0.115</v>
      </c>
    </row>
    <row r="616" spans="1:3" x14ac:dyDescent="0.25">
      <c r="A616" t="s">
        <v>628</v>
      </c>
      <c r="B616" t="s">
        <v>13</v>
      </c>
      <c r="C616" s="1">
        <v>0.115</v>
      </c>
    </row>
    <row r="617" spans="1:3" x14ac:dyDescent="0.25">
      <c r="A617" t="s">
        <v>629</v>
      </c>
      <c r="B617" t="s">
        <v>13</v>
      </c>
      <c r="C617" s="1">
        <v>0.115</v>
      </c>
    </row>
    <row r="618" spans="1:3" x14ac:dyDescent="0.25">
      <c r="A618" t="s">
        <v>630</v>
      </c>
      <c r="B618" t="s">
        <v>13</v>
      </c>
      <c r="C618" s="1">
        <v>0.115</v>
      </c>
    </row>
    <row r="619" spans="1:3" x14ac:dyDescent="0.25">
      <c r="A619" t="s">
        <v>631</v>
      </c>
      <c r="B619" t="s">
        <v>13</v>
      </c>
      <c r="C619" s="1">
        <v>0.115</v>
      </c>
    </row>
    <row r="620" spans="1:3" x14ac:dyDescent="0.25">
      <c r="A620" t="s">
        <v>632</v>
      </c>
      <c r="B620" t="s">
        <v>13</v>
      </c>
      <c r="C620" s="1">
        <v>0.115</v>
      </c>
    </row>
    <row r="621" spans="1:3" x14ac:dyDescent="0.25">
      <c r="A621" t="s">
        <v>633</v>
      </c>
      <c r="B621" t="s">
        <v>13</v>
      </c>
      <c r="C621" s="1">
        <v>0.115</v>
      </c>
    </row>
    <row r="622" spans="1:3" x14ac:dyDescent="0.25">
      <c r="A622" t="s">
        <v>634</v>
      </c>
      <c r="B622" t="s">
        <v>13</v>
      </c>
      <c r="C622" s="1">
        <v>0.115</v>
      </c>
    </row>
    <row r="623" spans="1:3" x14ac:dyDescent="0.25">
      <c r="A623" t="s">
        <v>635</v>
      </c>
      <c r="B623" t="s">
        <v>13</v>
      </c>
      <c r="C623" s="1">
        <v>0.115</v>
      </c>
    </row>
    <row r="624" spans="1:3" x14ac:dyDescent="0.25">
      <c r="A624" t="s">
        <v>636</v>
      </c>
      <c r="B624" t="s">
        <v>13</v>
      </c>
      <c r="C624" s="1">
        <v>0.115</v>
      </c>
    </row>
    <row r="625" spans="1:3" x14ac:dyDescent="0.25">
      <c r="A625" t="s">
        <v>637</v>
      </c>
      <c r="B625" t="s">
        <v>13</v>
      </c>
      <c r="C625" s="1">
        <v>0.115</v>
      </c>
    </row>
    <row r="626" spans="1:3" x14ac:dyDescent="0.25">
      <c r="A626" t="s">
        <v>638</v>
      </c>
      <c r="B626" t="s">
        <v>13</v>
      </c>
      <c r="C626" s="1">
        <v>0.115</v>
      </c>
    </row>
    <row r="627" spans="1:3" x14ac:dyDescent="0.25">
      <c r="A627" t="s">
        <v>639</v>
      </c>
      <c r="B627" t="s">
        <v>13</v>
      </c>
      <c r="C627" s="1">
        <v>0.115</v>
      </c>
    </row>
    <row r="628" spans="1:3" x14ac:dyDescent="0.25">
      <c r="A628" t="s">
        <v>640</v>
      </c>
      <c r="B628" t="s">
        <v>13</v>
      </c>
      <c r="C628" s="1">
        <v>0.115</v>
      </c>
    </row>
    <row r="629" spans="1:3" x14ac:dyDescent="0.25">
      <c r="A629" t="s">
        <v>641</v>
      </c>
      <c r="B629" t="s">
        <v>13</v>
      </c>
      <c r="C629" s="1">
        <v>0.115</v>
      </c>
    </row>
    <row r="630" spans="1:3" x14ac:dyDescent="0.25">
      <c r="A630" t="s">
        <v>642</v>
      </c>
      <c r="B630" t="s">
        <v>13</v>
      </c>
      <c r="C630" s="1">
        <v>0.115</v>
      </c>
    </row>
    <row r="631" spans="1:3" x14ac:dyDescent="0.25">
      <c r="A631" t="s">
        <v>643</v>
      </c>
      <c r="B631" t="s">
        <v>13</v>
      </c>
      <c r="C631" s="1">
        <v>0.115</v>
      </c>
    </row>
    <row r="632" spans="1:3" x14ac:dyDescent="0.25">
      <c r="A632" t="s">
        <v>644</v>
      </c>
      <c r="B632" t="s">
        <v>13</v>
      </c>
      <c r="C632" s="1">
        <v>0.115</v>
      </c>
    </row>
    <row r="633" spans="1:3" x14ac:dyDescent="0.25">
      <c r="A633" t="s">
        <v>645</v>
      </c>
      <c r="B633" t="s">
        <v>13</v>
      </c>
      <c r="C633" s="1">
        <v>0.115</v>
      </c>
    </row>
    <row r="634" spans="1:3" x14ac:dyDescent="0.25">
      <c r="A634" t="s">
        <v>646</v>
      </c>
      <c r="B634" t="s">
        <v>13</v>
      </c>
      <c r="C634" s="1">
        <v>0.115</v>
      </c>
    </row>
    <row r="635" spans="1:3" x14ac:dyDescent="0.25">
      <c r="A635" t="s">
        <v>647</v>
      </c>
      <c r="B635" t="s">
        <v>13</v>
      </c>
      <c r="C635" s="1">
        <v>0.115</v>
      </c>
    </row>
    <row r="636" spans="1:3" x14ac:dyDescent="0.25">
      <c r="A636" t="s">
        <v>648</v>
      </c>
      <c r="B636" t="s">
        <v>13</v>
      </c>
      <c r="C636" s="1">
        <v>0.115</v>
      </c>
    </row>
    <row r="637" spans="1:3" x14ac:dyDescent="0.25">
      <c r="A637" t="s">
        <v>649</v>
      </c>
      <c r="B637" t="s">
        <v>13</v>
      </c>
      <c r="C637" s="1">
        <v>0.115</v>
      </c>
    </row>
    <row r="638" spans="1:3" x14ac:dyDescent="0.25">
      <c r="A638" t="s">
        <v>650</v>
      </c>
      <c r="B638" t="s">
        <v>13</v>
      </c>
      <c r="C638" s="1">
        <v>0.115</v>
      </c>
    </row>
    <row r="639" spans="1:3" x14ac:dyDescent="0.25">
      <c r="A639" t="s">
        <v>651</v>
      </c>
      <c r="B639" t="s">
        <v>13</v>
      </c>
      <c r="C639" s="1">
        <v>0.115</v>
      </c>
    </row>
    <row r="640" spans="1:3" x14ac:dyDescent="0.25">
      <c r="A640" t="s">
        <v>652</v>
      </c>
      <c r="B640" t="s">
        <v>13</v>
      </c>
      <c r="C640" s="1">
        <v>0.115</v>
      </c>
    </row>
    <row r="641" spans="1:3" x14ac:dyDescent="0.25">
      <c r="A641" t="s">
        <v>653</v>
      </c>
      <c r="B641" t="s">
        <v>13</v>
      </c>
      <c r="C641" s="1">
        <v>0.115</v>
      </c>
    </row>
    <row r="642" spans="1:3" x14ac:dyDescent="0.25">
      <c r="A642" t="s">
        <v>654</v>
      </c>
      <c r="B642" t="s">
        <v>13</v>
      </c>
      <c r="C642" s="1">
        <v>0.115</v>
      </c>
    </row>
    <row r="643" spans="1:3" x14ac:dyDescent="0.25">
      <c r="A643" t="s">
        <v>655</v>
      </c>
      <c r="B643" t="s">
        <v>13</v>
      </c>
      <c r="C643" s="1">
        <v>0.115</v>
      </c>
    </row>
    <row r="644" spans="1:3" x14ac:dyDescent="0.25">
      <c r="A644" t="s">
        <v>656</v>
      </c>
      <c r="B644" t="s">
        <v>13</v>
      </c>
      <c r="C644" s="1">
        <v>0.115</v>
      </c>
    </row>
    <row r="645" spans="1:3" x14ac:dyDescent="0.25">
      <c r="A645" t="s">
        <v>657</v>
      </c>
      <c r="B645" t="s">
        <v>13</v>
      </c>
      <c r="C645" s="1">
        <v>0.115</v>
      </c>
    </row>
    <row r="646" spans="1:3" x14ac:dyDescent="0.25">
      <c r="A646" t="s">
        <v>658</v>
      </c>
      <c r="B646" t="s">
        <v>13</v>
      </c>
      <c r="C646" s="1">
        <v>0.115</v>
      </c>
    </row>
    <row r="647" spans="1:3" x14ac:dyDescent="0.25">
      <c r="A647" t="s">
        <v>659</v>
      </c>
      <c r="B647" t="s">
        <v>13</v>
      </c>
      <c r="C647" s="1">
        <v>0.115</v>
      </c>
    </row>
    <row r="648" spans="1:3" x14ac:dyDescent="0.25">
      <c r="A648" t="s">
        <v>660</v>
      </c>
      <c r="B648" t="s">
        <v>13</v>
      </c>
      <c r="C648" s="1">
        <v>0.115</v>
      </c>
    </row>
    <row r="649" spans="1:3" x14ac:dyDescent="0.25">
      <c r="A649" t="s">
        <v>661</v>
      </c>
      <c r="B649" t="s">
        <v>13</v>
      </c>
      <c r="C649" s="1">
        <v>0.115</v>
      </c>
    </row>
    <row r="650" spans="1:3" x14ac:dyDescent="0.25">
      <c r="A650" t="s">
        <v>662</v>
      </c>
      <c r="B650" t="s">
        <v>13</v>
      </c>
      <c r="C650" s="1">
        <v>0.115</v>
      </c>
    </row>
    <row r="651" spans="1:3" x14ac:dyDescent="0.25">
      <c r="A651" t="s">
        <v>663</v>
      </c>
      <c r="B651" t="s">
        <v>13</v>
      </c>
      <c r="C651" s="1">
        <v>0.115</v>
      </c>
    </row>
    <row r="652" spans="1:3" x14ac:dyDescent="0.25">
      <c r="A652" t="s">
        <v>664</v>
      </c>
      <c r="B652" t="s">
        <v>13</v>
      </c>
      <c r="C652" s="1">
        <v>0.115</v>
      </c>
    </row>
    <row r="653" spans="1:3" x14ac:dyDescent="0.25">
      <c r="A653" t="s">
        <v>665</v>
      </c>
      <c r="B653" t="s">
        <v>13</v>
      </c>
      <c r="C653" s="1">
        <v>0.115</v>
      </c>
    </row>
    <row r="654" spans="1:3" x14ac:dyDescent="0.25">
      <c r="A654" t="s">
        <v>666</v>
      </c>
      <c r="B654" t="s">
        <v>13</v>
      </c>
      <c r="C654" s="1">
        <v>0.115</v>
      </c>
    </row>
    <row r="655" spans="1:3" x14ac:dyDescent="0.25">
      <c r="A655" t="s">
        <v>667</v>
      </c>
      <c r="B655" t="s">
        <v>13</v>
      </c>
      <c r="C655" s="1">
        <v>0.115</v>
      </c>
    </row>
    <row r="656" spans="1:3" x14ac:dyDescent="0.25">
      <c r="A656" t="s">
        <v>668</v>
      </c>
      <c r="B656" t="s">
        <v>13</v>
      </c>
      <c r="C656" s="1">
        <v>0.115</v>
      </c>
    </row>
    <row r="657" spans="1:3" x14ac:dyDescent="0.25">
      <c r="A657" t="s">
        <v>669</v>
      </c>
      <c r="B657" t="s">
        <v>13</v>
      </c>
      <c r="C657" s="1">
        <v>0.115</v>
      </c>
    </row>
    <row r="658" spans="1:3" x14ac:dyDescent="0.25">
      <c r="A658" t="s">
        <v>670</v>
      </c>
      <c r="B658" t="s">
        <v>13</v>
      </c>
      <c r="C658" s="1">
        <v>0.115</v>
      </c>
    </row>
    <row r="659" spans="1:3" x14ac:dyDescent="0.25">
      <c r="A659" t="s">
        <v>671</v>
      </c>
      <c r="B659" t="s">
        <v>13</v>
      </c>
      <c r="C659" s="1">
        <v>0.115</v>
      </c>
    </row>
    <row r="660" spans="1:3" x14ac:dyDescent="0.25">
      <c r="A660" t="s">
        <v>672</v>
      </c>
      <c r="B660" t="s">
        <v>13</v>
      </c>
      <c r="C660" s="1">
        <v>0.115</v>
      </c>
    </row>
    <row r="661" spans="1:3" x14ac:dyDescent="0.25">
      <c r="A661" t="s">
        <v>673</v>
      </c>
      <c r="B661" t="s">
        <v>13</v>
      </c>
      <c r="C661" s="1">
        <v>0.115</v>
      </c>
    </row>
    <row r="662" spans="1:3" x14ac:dyDescent="0.25">
      <c r="A662" t="s">
        <v>674</v>
      </c>
      <c r="B662" t="s">
        <v>13</v>
      </c>
      <c r="C662" s="1">
        <v>0.115</v>
      </c>
    </row>
    <row r="663" spans="1:3" x14ac:dyDescent="0.25">
      <c r="A663" t="s">
        <v>675</v>
      </c>
      <c r="B663" t="s">
        <v>13</v>
      </c>
      <c r="C663" s="1">
        <v>0.115</v>
      </c>
    </row>
    <row r="664" spans="1:3" x14ac:dyDescent="0.25">
      <c r="A664" t="s">
        <v>676</v>
      </c>
      <c r="B664" t="s">
        <v>13</v>
      </c>
      <c r="C664" s="1">
        <v>0.115</v>
      </c>
    </row>
    <row r="665" spans="1:3" x14ac:dyDescent="0.25">
      <c r="A665" t="s">
        <v>677</v>
      </c>
      <c r="B665" t="s">
        <v>13</v>
      </c>
      <c r="C665" s="1">
        <v>0.115</v>
      </c>
    </row>
    <row r="666" spans="1:3" x14ac:dyDescent="0.25">
      <c r="A666" t="s">
        <v>678</v>
      </c>
      <c r="B666" t="s">
        <v>13</v>
      </c>
      <c r="C666" s="1">
        <v>0.115</v>
      </c>
    </row>
    <row r="667" spans="1:3" x14ac:dyDescent="0.25">
      <c r="A667" t="s">
        <v>679</v>
      </c>
      <c r="B667" t="s">
        <v>156</v>
      </c>
      <c r="C667" s="1">
        <v>0.16500000000000001</v>
      </c>
    </row>
    <row r="668" spans="1:3" x14ac:dyDescent="0.25">
      <c r="A668" t="s">
        <v>680</v>
      </c>
      <c r="B668" t="s">
        <v>156</v>
      </c>
      <c r="C668" s="1">
        <v>0.16500000000000001</v>
      </c>
    </row>
    <row r="669" spans="1:3" x14ac:dyDescent="0.25">
      <c r="A669" t="s">
        <v>681</v>
      </c>
      <c r="B669" t="s">
        <v>156</v>
      </c>
      <c r="C669" s="1">
        <v>0.16500000000000001</v>
      </c>
    </row>
    <row r="670" spans="1:3" x14ac:dyDescent="0.25">
      <c r="A670" t="s">
        <v>682</v>
      </c>
      <c r="B670" t="s">
        <v>156</v>
      </c>
      <c r="C670" s="1">
        <v>0.16500000000000001</v>
      </c>
    </row>
    <row r="671" spans="1:3" x14ac:dyDescent="0.25">
      <c r="A671" t="s">
        <v>683</v>
      </c>
      <c r="B671" t="s">
        <v>156</v>
      </c>
      <c r="C671" s="1">
        <v>0.16500000000000001</v>
      </c>
    </row>
    <row r="672" spans="1:3" x14ac:dyDescent="0.25">
      <c r="A672" t="s">
        <v>684</v>
      </c>
      <c r="B672" t="s">
        <v>156</v>
      </c>
      <c r="C672" s="1">
        <v>0.16500000000000001</v>
      </c>
    </row>
    <row r="673" spans="1:3" x14ac:dyDescent="0.25">
      <c r="A673" t="s">
        <v>685</v>
      </c>
      <c r="B673" t="s">
        <v>156</v>
      </c>
      <c r="C673" s="1">
        <v>0.16500000000000001</v>
      </c>
    </row>
    <row r="674" spans="1:3" x14ac:dyDescent="0.25">
      <c r="A674" t="s">
        <v>686</v>
      </c>
      <c r="B674" t="s">
        <v>156</v>
      </c>
      <c r="C674" s="1">
        <v>0.16500000000000001</v>
      </c>
    </row>
    <row r="675" spans="1:3" x14ac:dyDescent="0.25">
      <c r="A675" t="s">
        <v>687</v>
      </c>
      <c r="B675" t="s">
        <v>156</v>
      </c>
      <c r="C675" s="1">
        <v>0.16500000000000001</v>
      </c>
    </row>
    <row r="676" spans="1:3" x14ac:dyDescent="0.25">
      <c r="A676" t="s">
        <v>688</v>
      </c>
      <c r="B676" t="s">
        <v>156</v>
      </c>
      <c r="C676" s="1">
        <v>0.16500000000000001</v>
      </c>
    </row>
    <row r="677" spans="1:3" x14ac:dyDescent="0.25">
      <c r="A677" t="s">
        <v>689</v>
      </c>
      <c r="B677" t="s">
        <v>156</v>
      </c>
      <c r="C677" s="1">
        <v>0.16500000000000001</v>
      </c>
    </row>
    <row r="678" spans="1:3" x14ac:dyDescent="0.25">
      <c r="A678" t="s">
        <v>690</v>
      </c>
      <c r="B678" t="s">
        <v>156</v>
      </c>
      <c r="C678" s="1">
        <v>0.16500000000000001</v>
      </c>
    </row>
    <row r="679" spans="1:3" x14ac:dyDescent="0.25">
      <c r="A679" t="s">
        <v>691</v>
      </c>
      <c r="B679" t="s">
        <v>156</v>
      </c>
      <c r="C679" s="1">
        <v>0.16500000000000001</v>
      </c>
    </row>
    <row r="680" spans="1:3" x14ac:dyDescent="0.25">
      <c r="A680" t="s">
        <v>692</v>
      </c>
      <c r="B680" t="s">
        <v>156</v>
      </c>
      <c r="C680" s="1">
        <v>0.16500000000000001</v>
      </c>
    </row>
    <row r="681" spans="1:3" x14ac:dyDescent="0.25">
      <c r="A681" t="s">
        <v>693</v>
      </c>
      <c r="B681" t="s">
        <v>156</v>
      </c>
      <c r="C681" s="1">
        <v>0.16500000000000001</v>
      </c>
    </row>
    <row r="682" spans="1:3" x14ac:dyDescent="0.25">
      <c r="A682" t="s">
        <v>694</v>
      </c>
      <c r="B682" t="s">
        <v>156</v>
      </c>
      <c r="C682" s="1">
        <v>0.16500000000000001</v>
      </c>
    </row>
    <row r="683" spans="1:3" x14ac:dyDescent="0.25">
      <c r="A683" t="s">
        <v>695</v>
      </c>
      <c r="B683" t="s">
        <v>156</v>
      </c>
      <c r="C683" s="1">
        <v>0.16500000000000001</v>
      </c>
    </row>
    <row r="684" spans="1:3" x14ac:dyDescent="0.25">
      <c r="A684" t="s">
        <v>696</v>
      </c>
      <c r="B684" t="s">
        <v>156</v>
      </c>
      <c r="C684" s="1">
        <v>0.16500000000000001</v>
      </c>
    </row>
    <row r="685" spans="1:3" x14ac:dyDescent="0.25">
      <c r="A685" t="s">
        <v>697</v>
      </c>
      <c r="B685" t="s">
        <v>156</v>
      </c>
      <c r="C685" s="1">
        <v>0.16500000000000001</v>
      </c>
    </row>
    <row r="686" spans="1:3" x14ac:dyDescent="0.25">
      <c r="A686" t="s">
        <v>698</v>
      </c>
      <c r="B686" t="s">
        <v>156</v>
      </c>
      <c r="C686" s="1">
        <v>0.16500000000000001</v>
      </c>
    </row>
    <row r="687" spans="1:3" x14ac:dyDescent="0.25">
      <c r="A687" t="s">
        <v>699</v>
      </c>
      <c r="B687" t="s">
        <v>156</v>
      </c>
      <c r="C687" s="1">
        <v>0.16500000000000001</v>
      </c>
    </row>
    <row r="688" spans="1:3" x14ac:dyDescent="0.25">
      <c r="A688" t="s">
        <v>700</v>
      </c>
      <c r="B688" t="s">
        <v>156</v>
      </c>
      <c r="C688" s="1">
        <v>0.16500000000000001</v>
      </c>
    </row>
    <row r="689" spans="1:3" x14ac:dyDescent="0.25">
      <c r="A689" t="s">
        <v>701</v>
      </c>
      <c r="B689" t="s">
        <v>156</v>
      </c>
      <c r="C689" s="1">
        <v>0.16500000000000001</v>
      </c>
    </row>
    <row r="690" spans="1:3" x14ac:dyDescent="0.25">
      <c r="A690" t="s">
        <v>702</v>
      </c>
      <c r="B690" t="s">
        <v>156</v>
      </c>
      <c r="C690" s="1">
        <v>0.16500000000000001</v>
      </c>
    </row>
    <row r="691" spans="1:3" x14ac:dyDescent="0.25">
      <c r="A691" t="s">
        <v>703</v>
      </c>
      <c r="B691" t="s">
        <v>156</v>
      </c>
      <c r="C691" s="1">
        <v>0.16500000000000001</v>
      </c>
    </row>
    <row r="692" spans="1:3" x14ac:dyDescent="0.25">
      <c r="A692" t="s">
        <v>704</v>
      </c>
      <c r="B692" t="s">
        <v>156</v>
      </c>
      <c r="C692" s="1">
        <v>0.16500000000000001</v>
      </c>
    </row>
    <row r="693" spans="1:3" x14ac:dyDescent="0.25">
      <c r="A693" t="s">
        <v>705</v>
      </c>
      <c r="B693" t="s">
        <v>156</v>
      </c>
      <c r="C693" s="1">
        <v>0.16500000000000001</v>
      </c>
    </row>
    <row r="694" spans="1:3" x14ac:dyDescent="0.25">
      <c r="A694" t="s">
        <v>706</v>
      </c>
      <c r="B694" t="s">
        <v>156</v>
      </c>
      <c r="C694" s="1">
        <v>0.16500000000000001</v>
      </c>
    </row>
    <row r="695" spans="1:3" x14ac:dyDescent="0.25">
      <c r="A695" t="s">
        <v>707</v>
      </c>
      <c r="B695" t="s">
        <v>156</v>
      </c>
      <c r="C695" s="1">
        <v>0.16500000000000001</v>
      </c>
    </row>
    <row r="696" spans="1:3" x14ac:dyDescent="0.25">
      <c r="A696" t="s">
        <v>708</v>
      </c>
      <c r="B696" t="s">
        <v>156</v>
      </c>
      <c r="C696" s="1">
        <v>0.16500000000000001</v>
      </c>
    </row>
    <row r="697" spans="1:3" x14ac:dyDescent="0.25">
      <c r="A697" t="s">
        <v>709</v>
      </c>
      <c r="B697" t="s">
        <v>156</v>
      </c>
      <c r="C697" s="1">
        <v>0.16500000000000001</v>
      </c>
    </row>
    <row r="698" spans="1:3" x14ac:dyDescent="0.25">
      <c r="A698" t="s">
        <v>710</v>
      </c>
      <c r="B698" t="s">
        <v>156</v>
      </c>
      <c r="C698" s="1">
        <v>0.16500000000000001</v>
      </c>
    </row>
    <row r="699" spans="1:3" x14ac:dyDescent="0.25">
      <c r="A699" t="s">
        <v>711</v>
      </c>
      <c r="B699" t="s">
        <v>156</v>
      </c>
      <c r="C699" s="1">
        <v>0.16500000000000001</v>
      </c>
    </row>
    <row r="700" spans="1:3" x14ac:dyDescent="0.25">
      <c r="A700" t="s">
        <v>712</v>
      </c>
      <c r="B700" t="s">
        <v>156</v>
      </c>
      <c r="C700" s="1">
        <v>0.16500000000000001</v>
      </c>
    </row>
    <row r="701" spans="1:3" x14ac:dyDescent="0.25">
      <c r="A701" t="s">
        <v>713</v>
      </c>
      <c r="B701" t="s">
        <v>156</v>
      </c>
      <c r="C701" s="1">
        <v>0.16500000000000001</v>
      </c>
    </row>
    <row r="702" spans="1:3" x14ac:dyDescent="0.25">
      <c r="A702" t="s">
        <v>714</v>
      </c>
      <c r="B702" t="s">
        <v>156</v>
      </c>
      <c r="C702" s="1">
        <v>0.16500000000000001</v>
      </c>
    </row>
    <row r="703" spans="1:3" x14ac:dyDescent="0.25">
      <c r="A703" t="s">
        <v>715</v>
      </c>
      <c r="B703" t="s">
        <v>156</v>
      </c>
      <c r="C703" s="1">
        <v>0.16500000000000001</v>
      </c>
    </row>
    <row r="704" spans="1:3" x14ac:dyDescent="0.25">
      <c r="A704" t="s">
        <v>716</v>
      </c>
      <c r="B704" t="s">
        <v>156</v>
      </c>
      <c r="C704" s="1">
        <v>0.16500000000000001</v>
      </c>
    </row>
    <row r="705" spans="1:3" x14ac:dyDescent="0.25">
      <c r="A705" t="s">
        <v>717</v>
      </c>
      <c r="B705" t="s">
        <v>156</v>
      </c>
      <c r="C705" s="1">
        <v>0.16500000000000001</v>
      </c>
    </row>
    <row r="706" spans="1:3" x14ac:dyDescent="0.25">
      <c r="A706" t="s">
        <v>718</v>
      </c>
      <c r="B706" t="s">
        <v>156</v>
      </c>
      <c r="C706" s="1">
        <v>0.16500000000000001</v>
      </c>
    </row>
    <row r="707" spans="1:3" x14ac:dyDescent="0.25">
      <c r="A707" t="s">
        <v>719</v>
      </c>
      <c r="B707" t="s">
        <v>156</v>
      </c>
      <c r="C707" s="1">
        <v>0.16500000000000001</v>
      </c>
    </row>
    <row r="708" spans="1:3" x14ac:dyDescent="0.25">
      <c r="A708" t="s">
        <v>720</v>
      </c>
      <c r="B708" t="s">
        <v>156</v>
      </c>
      <c r="C708" s="1">
        <v>0.16500000000000001</v>
      </c>
    </row>
    <row r="709" spans="1:3" x14ac:dyDescent="0.25">
      <c r="A709" t="s">
        <v>721</v>
      </c>
      <c r="B709" t="s">
        <v>156</v>
      </c>
      <c r="C709" s="1">
        <v>0.16500000000000001</v>
      </c>
    </row>
    <row r="710" spans="1:3" x14ac:dyDescent="0.25">
      <c r="A710" t="s">
        <v>722</v>
      </c>
      <c r="B710" t="s">
        <v>156</v>
      </c>
      <c r="C710" s="1">
        <v>0.16500000000000001</v>
      </c>
    </row>
    <row r="711" spans="1:3" x14ac:dyDescent="0.25">
      <c r="A711" t="s">
        <v>723</v>
      </c>
      <c r="B711" t="s">
        <v>156</v>
      </c>
      <c r="C711" s="1">
        <v>0.16500000000000001</v>
      </c>
    </row>
    <row r="712" spans="1:3" x14ac:dyDescent="0.25">
      <c r="A712" t="s">
        <v>724</v>
      </c>
      <c r="B712" t="s">
        <v>156</v>
      </c>
      <c r="C712" s="1">
        <v>0.16500000000000001</v>
      </c>
    </row>
    <row r="713" spans="1:3" x14ac:dyDescent="0.25">
      <c r="A713" t="s">
        <v>725</v>
      </c>
      <c r="B713" t="s">
        <v>156</v>
      </c>
      <c r="C713" s="1">
        <v>0.16500000000000001</v>
      </c>
    </row>
    <row r="714" spans="1:3" x14ac:dyDescent="0.25">
      <c r="A714" t="s">
        <v>726</v>
      </c>
      <c r="B714" t="s">
        <v>156</v>
      </c>
      <c r="C714" s="1">
        <v>0.16500000000000001</v>
      </c>
    </row>
    <row r="715" spans="1:3" x14ac:dyDescent="0.25">
      <c r="A715" t="s">
        <v>727</v>
      </c>
      <c r="B715" t="s">
        <v>156</v>
      </c>
      <c r="C715" s="1">
        <v>0.16500000000000001</v>
      </c>
    </row>
    <row r="716" spans="1:3" x14ac:dyDescent="0.25">
      <c r="A716" t="s">
        <v>728</v>
      </c>
      <c r="B716" t="s">
        <v>156</v>
      </c>
      <c r="C716" s="1">
        <v>0.16500000000000001</v>
      </c>
    </row>
    <row r="717" spans="1:3" x14ac:dyDescent="0.25">
      <c r="A717" t="s">
        <v>729</v>
      </c>
      <c r="B717" t="s">
        <v>156</v>
      </c>
      <c r="C717" s="1">
        <v>0.16500000000000001</v>
      </c>
    </row>
    <row r="718" spans="1:3" x14ac:dyDescent="0.25">
      <c r="A718" t="s">
        <v>730</v>
      </c>
      <c r="B718" t="s">
        <v>156</v>
      </c>
      <c r="C718" s="1">
        <v>0.16500000000000001</v>
      </c>
    </row>
    <row r="719" spans="1:3" x14ac:dyDescent="0.25">
      <c r="A719" t="s">
        <v>731</v>
      </c>
      <c r="B719" t="s">
        <v>156</v>
      </c>
      <c r="C719" s="1">
        <v>0.16500000000000001</v>
      </c>
    </row>
    <row r="720" spans="1:3" x14ac:dyDescent="0.25">
      <c r="A720" t="s">
        <v>732</v>
      </c>
      <c r="B720" t="s">
        <v>156</v>
      </c>
      <c r="C720" s="1">
        <v>0.16500000000000001</v>
      </c>
    </row>
    <row r="721" spans="1:3" x14ac:dyDescent="0.25">
      <c r="A721" t="s">
        <v>733</v>
      </c>
      <c r="B721" t="s">
        <v>156</v>
      </c>
      <c r="C721" s="1">
        <v>0.16500000000000001</v>
      </c>
    </row>
    <row r="722" spans="1:3" x14ac:dyDescent="0.25">
      <c r="A722" t="s">
        <v>734</v>
      </c>
      <c r="B722" t="s">
        <v>156</v>
      </c>
      <c r="C722" s="1">
        <v>0.16500000000000001</v>
      </c>
    </row>
    <row r="723" spans="1:3" x14ac:dyDescent="0.25">
      <c r="A723" t="s">
        <v>735</v>
      </c>
      <c r="B723" t="s">
        <v>156</v>
      </c>
      <c r="C723" s="1">
        <v>0.16500000000000001</v>
      </c>
    </row>
    <row r="724" spans="1:3" x14ac:dyDescent="0.25">
      <c r="A724" t="s">
        <v>736</v>
      </c>
      <c r="B724" t="s">
        <v>156</v>
      </c>
      <c r="C724" s="1">
        <v>0.16500000000000001</v>
      </c>
    </row>
    <row r="725" spans="1:3" x14ac:dyDescent="0.25">
      <c r="A725" t="s">
        <v>737</v>
      </c>
      <c r="B725" t="s">
        <v>156</v>
      </c>
      <c r="C725" s="1">
        <v>0.16500000000000001</v>
      </c>
    </row>
    <row r="726" spans="1:3" x14ac:dyDescent="0.25">
      <c r="A726" t="s">
        <v>738</v>
      </c>
      <c r="B726" t="s">
        <v>156</v>
      </c>
      <c r="C726" s="1">
        <v>0.16500000000000001</v>
      </c>
    </row>
    <row r="727" spans="1:3" x14ac:dyDescent="0.25">
      <c r="A727" t="s">
        <v>739</v>
      </c>
      <c r="B727" t="s">
        <v>156</v>
      </c>
      <c r="C727" s="1">
        <v>0.16500000000000001</v>
      </c>
    </row>
    <row r="728" spans="1:3" x14ac:dyDescent="0.25">
      <c r="A728" t="s">
        <v>740</v>
      </c>
      <c r="B728" t="s">
        <v>156</v>
      </c>
      <c r="C728" s="1">
        <v>0.16500000000000001</v>
      </c>
    </row>
    <row r="729" spans="1:3" x14ac:dyDescent="0.25">
      <c r="A729" t="s">
        <v>741</v>
      </c>
      <c r="B729" t="s">
        <v>156</v>
      </c>
      <c r="C729" s="1">
        <v>0.16500000000000001</v>
      </c>
    </row>
    <row r="730" spans="1:3" x14ac:dyDescent="0.25">
      <c r="A730" t="s">
        <v>742</v>
      </c>
      <c r="B730" t="s">
        <v>156</v>
      </c>
      <c r="C730" s="1">
        <v>0.16500000000000001</v>
      </c>
    </row>
    <row r="731" spans="1:3" x14ac:dyDescent="0.25">
      <c r="A731" t="s">
        <v>743</v>
      </c>
      <c r="B731" t="s">
        <v>156</v>
      </c>
      <c r="C731" s="1">
        <v>0.16500000000000001</v>
      </c>
    </row>
    <row r="732" spans="1:3" x14ac:dyDescent="0.25">
      <c r="A732" t="s">
        <v>744</v>
      </c>
      <c r="B732" t="s">
        <v>156</v>
      </c>
      <c r="C732" s="1">
        <v>0.16500000000000001</v>
      </c>
    </row>
    <row r="733" spans="1:3" x14ac:dyDescent="0.25">
      <c r="A733" t="s">
        <v>745</v>
      </c>
      <c r="B733" t="s">
        <v>156</v>
      </c>
      <c r="C733" s="1">
        <v>0.16500000000000001</v>
      </c>
    </row>
    <row r="734" spans="1:3" x14ac:dyDescent="0.25">
      <c r="A734" t="s">
        <v>746</v>
      </c>
      <c r="B734" t="s">
        <v>156</v>
      </c>
      <c r="C734" s="1">
        <v>0.16500000000000001</v>
      </c>
    </row>
    <row r="735" spans="1:3" x14ac:dyDescent="0.25">
      <c r="A735" t="s">
        <v>747</v>
      </c>
      <c r="B735" t="s">
        <v>156</v>
      </c>
      <c r="C735" s="1">
        <v>0.16500000000000001</v>
      </c>
    </row>
    <row r="736" spans="1:3" x14ac:dyDescent="0.25">
      <c r="A736" t="s">
        <v>748</v>
      </c>
      <c r="B736" t="s">
        <v>156</v>
      </c>
      <c r="C736" s="1">
        <v>0.16500000000000001</v>
      </c>
    </row>
    <row r="737" spans="1:3" x14ac:dyDescent="0.25">
      <c r="A737" t="s">
        <v>749</v>
      </c>
      <c r="B737" t="s">
        <v>156</v>
      </c>
      <c r="C737" s="1">
        <v>0.16500000000000001</v>
      </c>
    </row>
    <row r="738" spans="1:3" x14ac:dyDescent="0.25">
      <c r="A738" t="s">
        <v>750</v>
      </c>
      <c r="B738" t="s">
        <v>156</v>
      </c>
      <c r="C738" s="1">
        <v>0.16500000000000001</v>
      </c>
    </row>
    <row r="739" spans="1:3" x14ac:dyDescent="0.25">
      <c r="A739" t="s">
        <v>751</v>
      </c>
      <c r="B739" t="s">
        <v>156</v>
      </c>
      <c r="C739" s="1">
        <v>0.16500000000000001</v>
      </c>
    </row>
    <row r="740" spans="1:3" x14ac:dyDescent="0.25">
      <c r="A740" t="s">
        <v>752</v>
      </c>
      <c r="B740" t="s">
        <v>156</v>
      </c>
      <c r="C740" s="1">
        <v>0.16500000000000001</v>
      </c>
    </row>
    <row r="741" spans="1:3" x14ac:dyDescent="0.25">
      <c r="A741" t="s">
        <v>753</v>
      </c>
      <c r="B741" t="s">
        <v>156</v>
      </c>
      <c r="C741" s="1">
        <v>0.16500000000000001</v>
      </c>
    </row>
    <row r="742" spans="1:3" x14ac:dyDescent="0.25">
      <c r="A742" t="s">
        <v>754</v>
      </c>
      <c r="B742" t="s">
        <v>156</v>
      </c>
      <c r="C742" s="1">
        <v>0.16500000000000001</v>
      </c>
    </row>
    <row r="743" spans="1:3" x14ac:dyDescent="0.25">
      <c r="A743" t="s">
        <v>755</v>
      </c>
      <c r="B743" t="s">
        <v>156</v>
      </c>
      <c r="C743" s="1">
        <v>0.16500000000000001</v>
      </c>
    </row>
    <row r="744" spans="1:3" x14ac:dyDescent="0.25">
      <c r="A744" t="s">
        <v>756</v>
      </c>
      <c r="B744" t="s">
        <v>156</v>
      </c>
      <c r="C744" s="1">
        <v>0.16500000000000001</v>
      </c>
    </row>
    <row r="745" spans="1:3" x14ac:dyDescent="0.25">
      <c r="A745" t="s">
        <v>757</v>
      </c>
      <c r="B745" t="s">
        <v>156</v>
      </c>
      <c r="C745" s="1">
        <v>0.16500000000000001</v>
      </c>
    </row>
    <row r="746" spans="1:3" x14ac:dyDescent="0.25">
      <c r="A746" t="s">
        <v>758</v>
      </c>
      <c r="B746" t="s">
        <v>156</v>
      </c>
      <c r="C746" s="1">
        <v>0.16500000000000001</v>
      </c>
    </row>
    <row r="747" spans="1:3" x14ac:dyDescent="0.25">
      <c r="A747" t="s">
        <v>759</v>
      </c>
      <c r="B747" t="s">
        <v>156</v>
      </c>
      <c r="C747" s="1">
        <v>0.16500000000000001</v>
      </c>
    </row>
    <row r="748" spans="1:3" x14ac:dyDescent="0.25">
      <c r="A748" t="s">
        <v>760</v>
      </c>
      <c r="B748" t="s">
        <v>156</v>
      </c>
      <c r="C748" s="1">
        <v>0.16500000000000001</v>
      </c>
    </row>
    <row r="749" spans="1:3" x14ac:dyDescent="0.25">
      <c r="A749" t="s">
        <v>761</v>
      </c>
      <c r="B749" t="s">
        <v>156</v>
      </c>
      <c r="C749" s="1">
        <v>0.16500000000000001</v>
      </c>
    </row>
    <row r="750" spans="1:3" x14ac:dyDescent="0.25">
      <c r="A750" t="s">
        <v>762</v>
      </c>
      <c r="B750" t="s">
        <v>156</v>
      </c>
      <c r="C750" s="1">
        <v>0.16500000000000001</v>
      </c>
    </row>
    <row r="751" spans="1:3" x14ac:dyDescent="0.25">
      <c r="A751" t="s">
        <v>763</v>
      </c>
      <c r="B751" t="s">
        <v>156</v>
      </c>
      <c r="C751" s="1">
        <v>0.16500000000000001</v>
      </c>
    </row>
    <row r="752" spans="1:3" x14ac:dyDescent="0.25">
      <c r="A752" t="s">
        <v>764</v>
      </c>
      <c r="B752" t="s">
        <v>156</v>
      </c>
      <c r="C752" s="1">
        <v>0.16500000000000001</v>
      </c>
    </row>
    <row r="753" spans="1:3" x14ac:dyDescent="0.25">
      <c r="A753" t="s">
        <v>765</v>
      </c>
      <c r="B753" t="s">
        <v>156</v>
      </c>
      <c r="C753" s="1">
        <v>0.16500000000000001</v>
      </c>
    </row>
    <row r="754" spans="1:3" x14ac:dyDescent="0.25">
      <c r="A754" t="s">
        <v>766</v>
      </c>
      <c r="B754" t="s">
        <v>156</v>
      </c>
      <c r="C754" s="1">
        <v>0.16500000000000001</v>
      </c>
    </row>
    <row r="755" spans="1:3" x14ac:dyDescent="0.25">
      <c r="A755" t="s">
        <v>767</v>
      </c>
      <c r="B755" t="s">
        <v>156</v>
      </c>
      <c r="C755" s="1">
        <v>0.16500000000000001</v>
      </c>
    </row>
    <row r="756" spans="1:3" x14ac:dyDescent="0.25">
      <c r="A756" t="s">
        <v>768</v>
      </c>
      <c r="B756" t="s">
        <v>156</v>
      </c>
      <c r="C756" s="1">
        <v>0.16500000000000001</v>
      </c>
    </row>
    <row r="757" spans="1:3" x14ac:dyDescent="0.25">
      <c r="A757" t="s">
        <v>769</v>
      </c>
      <c r="B757" t="s">
        <v>156</v>
      </c>
      <c r="C757" s="1">
        <v>0.16500000000000001</v>
      </c>
    </row>
    <row r="758" spans="1:3" x14ac:dyDescent="0.25">
      <c r="A758" t="s">
        <v>770</v>
      </c>
      <c r="B758" t="s">
        <v>156</v>
      </c>
      <c r="C758" s="1">
        <v>0.16500000000000001</v>
      </c>
    </row>
    <row r="759" spans="1:3" x14ac:dyDescent="0.25">
      <c r="A759" t="s">
        <v>771</v>
      </c>
      <c r="B759" t="s">
        <v>156</v>
      </c>
      <c r="C759" s="1">
        <v>0.16500000000000001</v>
      </c>
    </row>
    <row r="760" spans="1:3" x14ac:dyDescent="0.25">
      <c r="A760" t="s">
        <v>772</v>
      </c>
      <c r="B760" t="s">
        <v>156</v>
      </c>
      <c r="C760" s="1">
        <v>0.16500000000000001</v>
      </c>
    </row>
    <row r="761" spans="1:3" x14ac:dyDescent="0.25">
      <c r="A761" t="s">
        <v>773</v>
      </c>
      <c r="B761" t="s">
        <v>156</v>
      </c>
      <c r="C761" s="1">
        <v>0.16500000000000001</v>
      </c>
    </row>
    <row r="762" spans="1:3" x14ac:dyDescent="0.25">
      <c r="A762" t="s">
        <v>774</v>
      </c>
      <c r="B762" t="s">
        <v>156</v>
      </c>
      <c r="C762" s="1">
        <v>0.16500000000000001</v>
      </c>
    </row>
    <row r="763" spans="1:3" x14ac:dyDescent="0.25">
      <c r="A763" t="s">
        <v>775</v>
      </c>
      <c r="B763" t="s">
        <v>156</v>
      </c>
      <c r="C763" s="1">
        <v>0.16500000000000001</v>
      </c>
    </row>
    <row r="764" spans="1:3" x14ac:dyDescent="0.25">
      <c r="A764" t="s">
        <v>776</v>
      </c>
      <c r="B764" t="s">
        <v>156</v>
      </c>
      <c r="C764" s="1">
        <v>0.16500000000000001</v>
      </c>
    </row>
    <row r="765" spans="1:3" x14ac:dyDescent="0.25">
      <c r="A765" t="s">
        <v>777</v>
      </c>
      <c r="B765" t="s">
        <v>156</v>
      </c>
      <c r="C765" s="1">
        <v>0.16500000000000001</v>
      </c>
    </row>
    <row r="766" spans="1:3" x14ac:dyDescent="0.25">
      <c r="A766" t="s">
        <v>778</v>
      </c>
      <c r="B766" t="s">
        <v>156</v>
      </c>
      <c r="C766" s="1">
        <v>0.16500000000000001</v>
      </c>
    </row>
    <row r="767" spans="1:3" x14ac:dyDescent="0.25">
      <c r="A767" t="s">
        <v>779</v>
      </c>
      <c r="B767" t="s">
        <v>156</v>
      </c>
      <c r="C767" s="1">
        <v>0.16500000000000001</v>
      </c>
    </row>
    <row r="768" spans="1:3" x14ac:dyDescent="0.25">
      <c r="A768" t="s">
        <v>780</v>
      </c>
      <c r="B768" t="s">
        <v>156</v>
      </c>
      <c r="C768" s="1">
        <v>0.16500000000000001</v>
      </c>
    </row>
    <row r="769" spans="1:3" x14ac:dyDescent="0.25">
      <c r="A769" t="s">
        <v>781</v>
      </c>
      <c r="B769" t="s">
        <v>156</v>
      </c>
      <c r="C769" s="1">
        <v>0.16500000000000001</v>
      </c>
    </row>
    <row r="770" spans="1:3" x14ac:dyDescent="0.25">
      <c r="A770" t="s">
        <v>782</v>
      </c>
      <c r="B770" t="s">
        <v>156</v>
      </c>
      <c r="C770" s="1">
        <v>0.16500000000000001</v>
      </c>
    </row>
    <row r="771" spans="1:3" x14ac:dyDescent="0.25">
      <c r="A771" t="s">
        <v>783</v>
      </c>
      <c r="B771" t="s">
        <v>156</v>
      </c>
      <c r="C771" s="1">
        <v>0.16500000000000001</v>
      </c>
    </row>
    <row r="772" spans="1:3" x14ac:dyDescent="0.25">
      <c r="A772" t="s">
        <v>784</v>
      </c>
      <c r="B772" t="s">
        <v>156</v>
      </c>
      <c r="C772" s="1">
        <v>0.16500000000000001</v>
      </c>
    </row>
    <row r="773" spans="1:3" x14ac:dyDescent="0.25">
      <c r="A773" t="s">
        <v>785</v>
      </c>
      <c r="B773" t="s">
        <v>156</v>
      </c>
      <c r="C773" s="1">
        <v>0.16500000000000001</v>
      </c>
    </row>
    <row r="774" spans="1:3" x14ac:dyDescent="0.25">
      <c r="A774" t="s">
        <v>786</v>
      </c>
      <c r="B774" t="s">
        <v>156</v>
      </c>
      <c r="C774" s="1">
        <v>0.16500000000000001</v>
      </c>
    </row>
    <row r="775" spans="1:3" x14ac:dyDescent="0.25">
      <c r="A775" t="s">
        <v>787</v>
      </c>
      <c r="B775" t="s">
        <v>156</v>
      </c>
      <c r="C775" s="1">
        <v>0.16500000000000001</v>
      </c>
    </row>
    <row r="776" spans="1:3" x14ac:dyDescent="0.25">
      <c r="A776" t="s">
        <v>788</v>
      </c>
      <c r="B776" t="s">
        <v>156</v>
      </c>
      <c r="C776" s="1">
        <v>0.16500000000000001</v>
      </c>
    </row>
    <row r="777" spans="1:3" x14ac:dyDescent="0.25">
      <c r="A777" t="s">
        <v>789</v>
      </c>
      <c r="B777" t="s">
        <v>156</v>
      </c>
      <c r="C777" s="1">
        <v>0.16500000000000001</v>
      </c>
    </row>
    <row r="778" spans="1:3" x14ac:dyDescent="0.25">
      <c r="A778" t="s">
        <v>790</v>
      </c>
      <c r="B778" t="s">
        <v>156</v>
      </c>
      <c r="C778" s="1">
        <v>0.16500000000000001</v>
      </c>
    </row>
    <row r="779" spans="1:3" x14ac:dyDescent="0.25">
      <c r="A779" t="s">
        <v>791</v>
      </c>
      <c r="B779" t="s">
        <v>156</v>
      </c>
      <c r="C779" s="1">
        <v>0.16500000000000001</v>
      </c>
    </row>
    <row r="780" spans="1:3" x14ac:dyDescent="0.25">
      <c r="A780" t="s">
        <v>792</v>
      </c>
      <c r="B780" t="s">
        <v>156</v>
      </c>
      <c r="C780" s="1">
        <v>0.16500000000000001</v>
      </c>
    </row>
    <row r="781" spans="1:3" x14ac:dyDescent="0.25">
      <c r="A781" t="s">
        <v>793</v>
      </c>
      <c r="B781" t="s">
        <v>156</v>
      </c>
      <c r="C781" s="1">
        <v>0.16500000000000001</v>
      </c>
    </row>
    <row r="782" spans="1:3" x14ac:dyDescent="0.25">
      <c r="A782" t="s">
        <v>794</v>
      </c>
      <c r="B782" t="s">
        <v>156</v>
      </c>
      <c r="C782" s="1">
        <v>0.16500000000000001</v>
      </c>
    </row>
    <row r="783" spans="1:3" x14ac:dyDescent="0.25">
      <c r="A783" t="s">
        <v>795</v>
      </c>
      <c r="B783" t="s">
        <v>156</v>
      </c>
      <c r="C783" s="1">
        <v>0.16500000000000001</v>
      </c>
    </row>
    <row r="784" spans="1:3" x14ac:dyDescent="0.25">
      <c r="A784" t="s">
        <v>796</v>
      </c>
      <c r="B784" t="s">
        <v>156</v>
      </c>
      <c r="C784" s="1">
        <v>0.16500000000000001</v>
      </c>
    </row>
    <row r="785" spans="1:3" x14ac:dyDescent="0.25">
      <c r="A785" t="s">
        <v>797</v>
      </c>
      <c r="B785" t="s">
        <v>156</v>
      </c>
      <c r="C785" s="1">
        <v>0.16500000000000001</v>
      </c>
    </row>
    <row r="786" spans="1:3" x14ac:dyDescent="0.25">
      <c r="A786" t="s">
        <v>798</v>
      </c>
      <c r="B786" t="s">
        <v>156</v>
      </c>
      <c r="C786" s="1">
        <v>0.16500000000000001</v>
      </c>
    </row>
    <row r="787" spans="1:3" x14ac:dyDescent="0.25">
      <c r="A787" t="s">
        <v>799</v>
      </c>
      <c r="B787" t="s">
        <v>156</v>
      </c>
      <c r="C787" s="1">
        <v>0.16500000000000001</v>
      </c>
    </row>
    <row r="788" spans="1:3" x14ac:dyDescent="0.25">
      <c r="A788" t="s">
        <v>800</v>
      </c>
      <c r="B788" t="s">
        <v>156</v>
      </c>
      <c r="C788" s="1">
        <v>0.16500000000000001</v>
      </c>
    </row>
    <row r="789" spans="1:3" x14ac:dyDescent="0.25">
      <c r="A789" t="s">
        <v>801</v>
      </c>
      <c r="B789" t="s">
        <v>156</v>
      </c>
      <c r="C789" s="1">
        <v>0.16500000000000001</v>
      </c>
    </row>
    <row r="790" spans="1:3" x14ac:dyDescent="0.25">
      <c r="A790" t="s">
        <v>802</v>
      </c>
      <c r="B790" t="s">
        <v>156</v>
      </c>
      <c r="C790" s="1">
        <v>0.16500000000000001</v>
      </c>
    </row>
    <row r="791" spans="1:3" x14ac:dyDescent="0.25">
      <c r="A791" t="s">
        <v>803</v>
      </c>
      <c r="B791" t="s">
        <v>156</v>
      </c>
      <c r="C791" s="1">
        <v>0.16500000000000001</v>
      </c>
    </row>
    <row r="792" spans="1:3" x14ac:dyDescent="0.25">
      <c r="A792" t="s">
        <v>804</v>
      </c>
      <c r="B792" t="s">
        <v>156</v>
      </c>
      <c r="C792" s="1">
        <v>0.16500000000000001</v>
      </c>
    </row>
    <row r="793" spans="1:3" x14ac:dyDescent="0.25">
      <c r="A793" t="s">
        <v>805</v>
      </c>
      <c r="B793" t="s">
        <v>156</v>
      </c>
      <c r="C793" s="1">
        <v>0.16500000000000001</v>
      </c>
    </row>
    <row r="794" spans="1:3" x14ac:dyDescent="0.25">
      <c r="A794" t="s">
        <v>806</v>
      </c>
      <c r="B794" t="s">
        <v>156</v>
      </c>
      <c r="C794" s="1">
        <v>0.16500000000000001</v>
      </c>
    </row>
    <row r="795" spans="1:3" x14ac:dyDescent="0.25">
      <c r="A795" t="s">
        <v>807</v>
      </c>
      <c r="B795" t="s">
        <v>156</v>
      </c>
      <c r="C795" s="1">
        <v>0.16500000000000001</v>
      </c>
    </row>
    <row r="796" spans="1:3" x14ac:dyDescent="0.25">
      <c r="A796" t="s">
        <v>808</v>
      </c>
      <c r="B796" t="s">
        <v>156</v>
      </c>
      <c r="C796" s="1">
        <v>0.16500000000000001</v>
      </c>
    </row>
    <row r="797" spans="1:3" x14ac:dyDescent="0.25">
      <c r="A797" t="s">
        <v>809</v>
      </c>
      <c r="B797" t="s">
        <v>156</v>
      </c>
      <c r="C797" s="1">
        <v>0.16500000000000001</v>
      </c>
    </row>
    <row r="798" spans="1:3" x14ac:dyDescent="0.25">
      <c r="A798" t="s">
        <v>810</v>
      </c>
      <c r="B798" t="s">
        <v>156</v>
      </c>
      <c r="C798" s="1">
        <v>0.16500000000000001</v>
      </c>
    </row>
    <row r="799" spans="1:3" x14ac:dyDescent="0.25">
      <c r="A799" t="s">
        <v>811</v>
      </c>
      <c r="B799" t="s">
        <v>156</v>
      </c>
      <c r="C799" s="1">
        <v>0.16500000000000001</v>
      </c>
    </row>
    <row r="800" spans="1:3" x14ac:dyDescent="0.25">
      <c r="A800" t="s">
        <v>812</v>
      </c>
      <c r="B800" t="s">
        <v>156</v>
      </c>
      <c r="C800" s="1">
        <v>0.16500000000000001</v>
      </c>
    </row>
    <row r="801" spans="1:3" x14ac:dyDescent="0.25">
      <c r="A801" t="s">
        <v>813</v>
      </c>
      <c r="B801" t="s">
        <v>156</v>
      </c>
      <c r="C801" s="1">
        <v>0.16500000000000001</v>
      </c>
    </row>
    <row r="802" spans="1:3" x14ac:dyDescent="0.25">
      <c r="A802" t="s">
        <v>814</v>
      </c>
      <c r="B802" t="s">
        <v>156</v>
      </c>
      <c r="C802" s="1">
        <v>0.16500000000000001</v>
      </c>
    </row>
    <row r="803" spans="1:3" x14ac:dyDescent="0.25">
      <c r="A803" t="s">
        <v>815</v>
      </c>
      <c r="B803" t="s">
        <v>156</v>
      </c>
      <c r="C803" s="1">
        <v>0.16500000000000001</v>
      </c>
    </row>
    <row r="804" spans="1:3" x14ac:dyDescent="0.25">
      <c r="A804" t="s">
        <v>816</v>
      </c>
      <c r="B804" t="s">
        <v>156</v>
      </c>
      <c r="C804" s="1">
        <v>0.16500000000000001</v>
      </c>
    </row>
    <row r="805" spans="1:3" x14ac:dyDescent="0.25">
      <c r="A805" t="s">
        <v>817</v>
      </c>
      <c r="B805" t="s">
        <v>156</v>
      </c>
      <c r="C805" s="1">
        <v>0.16500000000000001</v>
      </c>
    </row>
    <row r="806" spans="1:3" x14ac:dyDescent="0.25">
      <c r="A806" t="s">
        <v>818</v>
      </c>
      <c r="B806" t="s">
        <v>156</v>
      </c>
      <c r="C806" s="1">
        <v>0.16500000000000001</v>
      </c>
    </row>
    <row r="807" spans="1:3" x14ac:dyDescent="0.25">
      <c r="A807" t="s">
        <v>819</v>
      </c>
      <c r="B807" t="s">
        <v>156</v>
      </c>
      <c r="C807" s="1">
        <v>0.16500000000000001</v>
      </c>
    </row>
    <row r="808" spans="1:3" x14ac:dyDescent="0.25">
      <c r="A808" t="s">
        <v>820</v>
      </c>
      <c r="B808" t="s">
        <v>156</v>
      </c>
      <c r="C808" s="1">
        <v>0.16500000000000001</v>
      </c>
    </row>
    <row r="809" spans="1:3" x14ac:dyDescent="0.25">
      <c r="A809" t="s">
        <v>821</v>
      </c>
      <c r="B809" t="s">
        <v>156</v>
      </c>
      <c r="C809" s="1">
        <v>0.16500000000000001</v>
      </c>
    </row>
    <row r="810" spans="1:3" x14ac:dyDescent="0.25">
      <c r="A810" t="s">
        <v>822</v>
      </c>
      <c r="B810" t="s">
        <v>156</v>
      </c>
      <c r="C810" s="1">
        <v>0.16500000000000001</v>
      </c>
    </row>
    <row r="811" spans="1:3" x14ac:dyDescent="0.25">
      <c r="A811" t="s">
        <v>823</v>
      </c>
      <c r="B811" t="s">
        <v>156</v>
      </c>
      <c r="C811" s="1">
        <v>0.16500000000000001</v>
      </c>
    </row>
    <row r="812" spans="1:3" x14ac:dyDescent="0.25">
      <c r="A812" t="s">
        <v>824</v>
      </c>
      <c r="B812" t="s">
        <v>156</v>
      </c>
      <c r="C812" s="1">
        <v>0.16500000000000001</v>
      </c>
    </row>
    <row r="813" spans="1:3" x14ac:dyDescent="0.25">
      <c r="A813" t="s">
        <v>825</v>
      </c>
      <c r="B813" t="s">
        <v>156</v>
      </c>
      <c r="C813" s="1">
        <v>0.16500000000000001</v>
      </c>
    </row>
    <row r="814" spans="1:3" x14ac:dyDescent="0.25">
      <c r="A814" t="s">
        <v>826</v>
      </c>
      <c r="B814" t="s">
        <v>156</v>
      </c>
      <c r="C814" s="1">
        <v>0.16500000000000001</v>
      </c>
    </row>
    <row r="815" spans="1:3" x14ac:dyDescent="0.25">
      <c r="A815" t="s">
        <v>827</v>
      </c>
      <c r="B815" t="s">
        <v>156</v>
      </c>
      <c r="C815" s="1">
        <v>0.16500000000000001</v>
      </c>
    </row>
    <row r="816" spans="1:3" x14ac:dyDescent="0.25">
      <c r="A816" t="s">
        <v>828</v>
      </c>
      <c r="B816" t="s">
        <v>156</v>
      </c>
      <c r="C816" s="1">
        <v>0.16500000000000001</v>
      </c>
    </row>
    <row r="817" spans="1:3" x14ac:dyDescent="0.25">
      <c r="A817" t="s">
        <v>829</v>
      </c>
      <c r="B817" t="s">
        <v>156</v>
      </c>
      <c r="C817" s="1">
        <v>0.16500000000000001</v>
      </c>
    </row>
    <row r="818" spans="1:3" x14ac:dyDescent="0.25">
      <c r="A818" t="s">
        <v>830</v>
      </c>
      <c r="B818" t="s">
        <v>156</v>
      </c>
      <c r="C818" s="1">
        <v>0.16500000000000001</v>
      </c>
    </row>
    <row r="819" spans="1:3" x14ac:dyDescent="0.25">
      <c r="A819" t="s">
        <v>831</v>
      </c>
      <c r="B819" t="s">
        <v>156</v>
      </c>
      <c r="C819" s="1">
        <v>0.16500000000000001</v>
      </c>
    </row>
    <row r="820" spans="1:3" x14ac:dyDescent="0.25">
      <c r="A820" t="s">
        <v>832</v>
      </c>
      <c r="B820" t="s">
        <v>156</v>
      </c>
      <c r="C820" s="1">
        <v>0.16500000000000001</v>
      </c>
    </row>
    <row r="821" spans="1:3" x14ac:dyDescent="0.25">
      <c r="A821" t="s">
        <v>833</v>
      </c>
      <c r="B821" t="s">
        <v>156</v>
      </c>
      <c r="C821" s="1">
        <v>0.16500000000000001</v>
      </c>
    </row>
    <row r="822" spans="1:3" x14ac:dyDescent="0.25">
      <c r="A822" t="s">
        <v>834</v>
      </c>
      <c r="B822" t="s">
        <v>156</v>
      </c>
      <c r="C822" s="1">
        <v>0.16500000000000001</v>
      </c>
    </row>
    <row r="823" spans="1:3" x14ac:dyDescent="0.25">
      <c r="A823" t="s">
        <v>835</v>
      </c>
      <c r="B823" t="s">
        <v>156</v>
      </c>
      <c r="C823" s="1">
        <v>0.16500000000000001</v>
      </c>
    </row>
    <row r="824" spans="1:3" x14ac:dyDescent="0.25">
      <c r="A824" t="s">
        <v>836</v>
      </c>
      <c r="B824" t="s">
        <v>156</v>
      </c>
      <c r="C824" s="1">
        <v>0.16500000000000001</v>
      </c>
    </row>
    <row r="825" spans="1:3" x14ac:dyDescent="0.25">
      <c r="A825" t="s">
        <v>837</v>
      </c>
      <c r="B825" t="s">
        <v>156</v>
      </c>
      <c r="C825" s="1">
        <v>0.16500000000000001</v>
      </c>
    </row>
    <row r="826" spans="1:3" x14ac:dyDescent="0.25">
      <c r="A826" t="s">
        <v>838</v>
      </c>
      <c r="B826" t="s">
        <v>156</v>
      </c>
      <c r="C826" s="1">
        <v>0.16500000000000001</v>
      </c>
    </row>
    <row r="827" spans="1:3" x14ac:dyDescent="0.25">
      <c r="A827" t="s">
        <v>839</v>
      </c>
      <c r="B827" t="s">
        <v>156</v>
      </c>
      <c r="C827" s="1">
        <v>0.16500000000000001</v>
      </c>
    </row>
    <row r="828" spans="1:3" x14ac:dyDescent="0.25">
      <c r="A828" t="s">
        <v>840</v>
      </c>
      <c r="B828" t="s">
        <v>156</v>
      </c>
      <c r="C828" s="1">
        <v>0.16500000000000001</v>
      </c>
    </row>
    <row r="829" spans="1:3" x14ac:dyDescent="0.25">
      <c r="A829" t="s">
        <v>841</v>
      </c>
      <c r="B829" t="s">
        <v>156</v>
      </c>
      <c r="C829" s="1">
        <v>0.16500000000000001</v>
      </c>
    </row>
    <row r="830" spans="1:3" x14ac:dyDescent="0.25">
      <c r="A830" t="s">
        <v>842</v>
      </c>
      <c r="B830" t="s">
        <v>156</v>
      </c>
      <c r="C830" s="1">
        <v>0.16500000000000001</v>
      </c>
    </row>
    <row r="831" spans="1:3" x14ac:dyDescent="0.25">
      <c r="A831" t="s">
        <v>843</v>
      </c>
      <c r="B831" t="s">
        <v>156</v>
      </c>
      <c r="C831" s="1">
        <v>0.16500000000000001</v>
      </c>
    </row>
    <row r="832" spans="1:3" x14ac:dyDescent="0.25">
      <c r="A832" t="s">
        <v>844</v>
      </c>
      <c r="B832" t="s">
        <v>156</v>
      </c>
      <c r="C832" s="1">
        <v>0.16500000000000001</v>
      </c>
    </row>
    <row r="833" spans="1:3" x14ac:dyDescent="0.25">
      <c r="A833" t="s">
        <v>845</v>
      </c>
      <c r="B833" t="s">
        <v>156</v>
      </c>
      <c r="C833" s="1">
        <v>0.16500000000000001</v>
      </c>
    </row>
    <row r="834" spans="1:3" x14ac:dyDescent="0.25">
      <c r="A834" t="s">
        <v>846</v>
      </c>
      <c r="B834" t="s">
        <v>156</v>
      </c>
      <c r="C834" s="1">
        <v>0.16500000000000001</v>
      </c>
    </row>
    <row r="835" spans="1:3" x14ac:dyDescent="0.25">
      <c r="A835" t="s">
        <v>847</v>
      </c>
      <c r="B835" t="s">
        <v>156</v>
      </c>
      <c r="C835" s="1">
        <v>0.16500000000000001</v>
      </c>
    </row>
    <row r="836" spans="1:3" x14ac:dyDescent="0.25">
      <c r="A836" t="s">
        <v>848</v>
      </c>
      <c r="B836" t="s">
        <v>156</v>
      </c>
      <c r="C836" s="1">
        <v>0.16500000000000001</v>
      </c>
    </row>
    <row r="837" spans="1:3" x14ac:dyDescent="0.25">
      <c r="A837" t="s">
        <v>849</v>
      </c>
      <c r="B837" t="s">
        <v>156</v>
      </c>
      <c r="C837" s="1">
        <v>0.16500000000000001</v>
      </c>
    </row>
    <row r="838" spans="1:3" x14ac:dyDescent="0.25">
      <c r="A838" t="s">
        <v>850</v>
      </c>
      <c r="B838" t="s">
        <v>156</v>
      </c>
      <c r="C838" s="1">
        <v>0.16500000000000001</v>
      </c>
    </row>
    <row r="839" spans="1:3" x14ac:dyDescent="0.25">
      <c r="A839" t="s">
        <v>851</v>
      </c>
      <c r="B839" t="s">
        <v>156</v>
      </c>
      <c r="C839" s="1">
        <v>0.16500000000000001</v>
      </c>
    </row>
    <row r="840" spans="1:3" x14ac:dyDescent="0.25">
      <c r="A840" t="s">
        <v>852</v>
      </c>
      <c r="B840" t="s">
        <v>156</v>
      </c>
      <c r="C840" s="1">
        <v>0.16500000000000001</v>
      </c>
    </row>
    <row r="841" spans="1:3" x14ac:dyDescent="0.25">
      <c r="A841" t="s">
        <v>853</v>
      </c>
      <c r="B841" t="s">
        <v>156</v>
      </c>
      <c r="C841" s="1">
        <v>0.16500000000000001</v>
      </c>
    </row>
    <row r="842" spans="1:3" x14ac:dyDescent="0.25">
      <c r="A842" t="s">
        <v>854</v>
      </c>
      <c r="B842" t="s">
        <v>156</v>
      </c>
      <c r="C842" s="1">
        <v>0.16500000000000001</v>
      </c>
    </row>
    <row r="843" spans="1:3" x14ac:dyDescent="0.25">
      <c r="A843" t="s">
        <v>855</v>
      </c>
      <c r="B843" t="s">
        <v>156</v>
      </c>
      <c r="C843" s="1">
        <v>0.16500000000000001</v>
      </c>
    </row>
    <row r="844" spans="1:3" x14ac:dyDescent="0.25">
      <c r="A844" t="s">
        <v>856</v>
      </c>
      <c r="B844" t="s">
        <v>156</v>
      </c>
      <c r="C844" s="1">
        <v>0.16500000000000001</v>
      </c>
    </row>
    <row r="845" spans="1:3" x14ac:dyDescent="0.25">
      <c r="A845" t="s">
        <v>857</v>
      </c>
      <c r="B845" t="s">
        <v>156</v>
      </c>
      <c r="C845" s="1">
        <v>0.16500000000000001</v>
      </c>
    </row>
    <row r="846" spans="1:3" x14ac:dyDescent="0.25">
      <c r="A846" t="s">
        <v>858</v>
      </c>
      <c r="B846" t="s">
        <v>156</v>
      </c>
      <c r="C846" s="1">
        <v>0.16500000000000001</v>
      </c>
    </row>
    <row r="847" spans="1:3" x14ac:dyDescent="0.25">
      <c r="A847" t="s">
        <v>859</v>
      </c>
      <c r="B847" t="s">
        <v>156</v>
      </c>
      <c r="C847" s="1">
        <v>0.16500000000000001</v>
      </c>
    </row>
    <row r="848" spans="1:3" x14ac:dyDescent="0.25">
      <c r="A848" t="s">
        <v>860</v>
      </c>
      <c r="B848" t="s">
        <v>156</v>
      </c>
      <c r="C848" s="1">
        <v>0.16500000000000001</v>
      </c>
    </row>
    <row r="849" spans="1:3" x14ac:dyDescent="0.25">
      <c r="A849" t="s">
        <v>861</v>
      </c>
      <c r="B849" t="s">
        <v>156</v>
      </c>
      <c r="C849" s="1">
        <v>0.16500000000000001</v>
      </c>
    </row>
    <row r="850" spans="1:3" x14ac:dyDescent="0.25">
      <c r="A850" t="s">
        <v>862</v>
      </c>
      <c r="B850" t="s">
        <v>156</v>
      </c>
      <c r="C850" s="1">
        <v>0.16500000000000001</v>
      </c>
    </row>
    <row r="851" spans="1:3" x14ac:dyDescent="0.25">
      <c r="A851" t="s">
        <v>863</v>
      </c>
      <c r="B851" t="s">
        <v>156</v>
      </c>
      <c r="C851" s="1">
        <v>0.16500000000000001</v>
      </c>
    </row>
    <row r="852" spans="1:3" x14ac:dyDescent="0.25">
      <c r="A852" t="s">
        <v>864</v>
      </c>
      <c r="B852" t="s">
        <v>156</v>
      </c>
      <c r="C852" s="1">
        <v>0.16500000000000001</v>
      </c>
    </row>
    <row r="853" spans="1:3" x14ac:dyDescent="0.25">
      <c r="A853" t="s">
        <v>865</v>
      </c>
      <c r="B853" t="s">
        <v>156</v>
      </c>
      <c r="C853" s="1">
        <v>0.16500000000000001</v>
      </c>
    </row>
    <row r="854" spans="1:3" x14ac:dyDescent="0.25">
      <c r="A854" t="s">
        <v>866</v>
      </c>
      <c r="B854" t="s">
        <v>156</v>
      </c>
      <c r="C854" s="1">
        <v>0.16500000000000001</v>
      </c>
    </row>
    <row r="855" spans="1:3" x14ac:dyDescent="0.25">
      <c r="A855" t="s">
        <v>867</v>
      </c>
      <c r="B855" t="s">
        <v>156</v>
      </c>
      <c r="C855" s="1">
        <v>0.16500000000000001</v>
      </c>
    </row>
    <row r="856" spans="1:3" x14ac:dyDescent="0.25">
      <c r="A856" t="s">
        <v>868</v>
      </c>
      <c r="B856" t="s">
        <v>156</v>
      </c>
      <c r="C856" s="1">
        <v>0.16500000000000001</v>
      </c>
    </row>
    <row r="857" spans="1:3" x14ac:dyDescent="0.25">
      <c r="A857" t="s">
        <v>869</v>
      </c>
      <c r="B857" t="s">
        <v>156</v>
      </c>
      <c r="C857" s="1">
        <v>0.16500000000000001</v>
      </c>
    </row>
    <row r="858" spans="1:3" x14ac:dyDescent="0.25">
      <c r="A858" t="s">
        <v>870</v>
      </c>
      <c r="B858" t="s">
        <v>156</v>
      </c>
      <c r="C858" s="1">
        <v>0.16500000000000001</v>
      </c>
    </row>
    <row r="859" spans="1:3" x14ac:dyDescent="0.25">
      <c r="A859" t="s">
        <v>871</v>
      </c>
      <c r="B859" t="s">
        <v>156</v>
      </c>
      <c r="C859" s="1">
        <v>0.16500000000000001</v>
      </c>
    </row>
    <row r="860" spans="1:3" x14ac:dyDescent="0.25">
      <c r="A860" t="s">
        <v>872</v>
      </c>
      <c r="B860" t="s">
        <v>156</v>
      </c>
      <c r="C860" s="1">
        <v>0.16500000000000001</v>
      </c>
    </row>
    <row r="861" spans="1:3" x14ac:dyDescent="0.25">
      <c r="A861" t="s">
        <v>873</v>
      </c>
      <c r="B861" t="s">
        <v>156</v>
      </c>
      <c r="C861" s="1">
        <v>0.16500000000000001</v>
      </c>
    </row>
    <row r="862" spans="1:3" x14ac:dyDescent="0.25">
      <c r="A862" t="s">
        <v>874</v>
      </c>
      <c r="B862" t="s">
        <v>156</v>
      </c>
      <c r="C862" s="1">
        <v>0.16500000000000001</v>
      </c>
    </row>
    <row r="863" spans="1:3" x14ac:dyDescent="0.25">
      <c r="A863" t="s">
        <v>875</v>
      </c>
      <c r="B863" t="s">
        <v>156</v>
      </c>
      <c r="C863" s="1">
        <v>0.16500000000000001</v>
      </c>
    </row>
    <row r="864" spans="1:3" x14ac:dyDescent="0.25">
      <c r="A864" t="s">
        <v>876</v>
      </c>
      <c r="B864" t="s">
        <v>156</v>
      </c>
      <c r="C864" s="1">
        <v>0.16500000000000001</v>
      </c>
    </row>
    <row r="865" spans="1:3" x14ac:dyDescent="0.25">
      <c r="A865" t="s">
        <v>877</v>
      </c>
      <c r="B865" t="s">
        <v>156</v>
      </c>
      <c r="C865" s="1">
        <v>0.16500000000000001</v>
      </c>
    </row>
    <row r="866" spans="1:3" x14ac:dyDescent="0.25">
      <c r="A866" t="s">
        <v>878</v>
      </c>
      <c r="B866" t="s">
        <v>156</v>
      </c>
      <c r="C866" s="1">
        <v>0.16500000000000001</v>
      </c>
    </row>
    <row r="867" spans="1:3" x14ac:dyDescent="0.25">
      <c r="A867" t="s">
        <v>879</v>
      </c>
      <c r="B867" t="s">
        <v>156</v>
      </c>
      <c r="C867" s="1">
        <v>0.16500000000000001</v>
      </c>
    </row>
    <row r="868" spans="1:3" x14ac:dyDescent="0.25">
      <c r="A868" t="s">
        <v>880</v>
      </c>
      <c r="B868" t="s">
        <v>156</v>
      </c>
      <c r="C868" s="1">
        <v>0.16500000000000001</v>
      </c>
    </row>
    <row r="869" spans="1:3" x14ac:dyDescent="0.25">
      <c r="A869" t="s">
        <v>881</v>
      </c>
      <c r="B869" t="s">
        <v>156</v>
      </c>
      <c r="C869" s="1">
        <v>0.16500000000000001</v>
      </c>
    </row>
    <row r="870" spans="1:3" x14ac:dyDescent="0.25">
      <c r="A870" t="s">
        <v>882</v>
      </c>
      <c r="B870" t="s">
        <v>156</v>
      </c>
      <c r="C870" s="1">
        <v>0.16500000000000001</v>
      </c>
    </row>
    <row r="871" spans="1:3" x14ac:dyDescent="0.25">
      <c r="A871" t="s">
        <v>883</v>
      </c>
      <c r="B871" t="s">
        <v>156</v>
      </c>
      <c r="C871" s="1">
        <v>0.16500000000000001</v>
      </c>
    </row>
    <row r="872" spans="1:3" x14ac:dyDescent="0.25">
      <c r="A872" t="s">
        <v>884</v>
      </c>
      <c r="B872" t="s">
        <v>156</v>
      </c>
      <c r="C872" s="1">
        <v>0.16500000000000001</v>
      </c>
    </row>
    <row r="873" spans="1:3" x14ac:dyDescent="0.25">
      <c r="A873" t="s">
        <v>885</v>
      </c>
      <c r="B873" t="s">
        <v>156</v>
      </c>
      <c r="C873" s="1">
        <v>0.16500000000000001</v>
      </c>
    </row>
    <row r="874" spans="1:3" x14ac:dyDescent="0.25">
      <c r="A874" t="s">
        <v>886</v>
      </c>
      <c r="B874" t="s">
        <v>156</v>
      </c>
      <c r="C874" s="1">
        <v>0.16500000000000001</v>
      </c>
    </row>
    <row r="875" spans="1:3" x14ac:dyDescent="0.25">
      <c r="A875" t="s">
        <v>887</v>
      </c>
      <c r="B875" t="s">
        <v>156</v>
      </c>
      <c r="C875" s="1">
        <v>0.16500000000000001</v>
      </c>
    </row>
    <row r="876" spans="1:3" x14ac:dyDescent="0.25">
      <c r="A876" t="s">
        <v>888</v>
      </c>
      <c r="B876" t="s">
        <v>156</v>
      </c>
      <c r="C876" s="1">
        <v>0.16500000000000001</v>
      </c>
    </row>
    <row r="877" spans="1:3" x14ac:dyDescent="0.25">
      <c r="A877" t="s">
        <v>889</v>
      </c>
      <c r="B877" t="s">
        <v>156</v>
      </c>
      <c r="C877" s="1">
        <v>0.16500000000000001</v>
      </c>
    </row>
    <row r="878" spans="1:3" x14ac:dyDescent="0.25">
      <c r="A878" t="s">
        <v>890</v>
      </c>
      <c r="B878" t="s">
        <v>156</v>
      </c>
      <c r="C878" s="1">
        <v>0.16500000000000001</v>
      </c>
    </row>
    <row r="879" spans="1:3" x14ac:dyDescent="0.25">
      <c r="A879" t="s">
        <v>891</v>
      </c>
      <c r="B879" t="s">
        <v>156</v>
      </c>
      <c r="C879" s="1">
        <v>0.16500000000000001</v>
      </c>
    </row>
    <row r="880" spans="1:3" x14ac:dyDescent="0.25">
      <c r="A880" t="s">
        <v>892</v>
      </c>
      <c r="B880" t="s">
        <v>156</v>
      </c>
      <c r="C880" s="1">
        <v>0.16500000000000001</v>
      </c>
    </row>
    <row r="881" spans="1:3" x14ac:dyDescent="0.25">
      <c r="A881" t="s">
        <v>893</v>
      </c>
      <c r="B881" t="s">
        <v>156</v>
      </c>
      <c r="C881" s="1">
        <v>0.16500000000000001</v>
      </c>
    </row>
    <row r="882" spans="1:3" x14ac:dyDescent="0.25">
      <c r="A882" t="s">
        <v>894</v>
      </c>
      <c r="B882" t="s">
        <v>156</v>
      </c>
      <c r="C882" s="1">
        <v>0.16500000000000001</v>
      </c>
    </row>
    <row r="883" spans="1:3" x14ac:dyDescent="0.25">
      <c r="A883" t="s">
        <v>895</v>
      </c>
      <c r="B883" t="s">
        <v>156</v>
      </c>
      <c r="C883" s="1">
        <v>0.16500000000000001</v>
      </c>
    </row>
    <row r="884" spans="1:3" x14ac:dyDescent="0.25">
      <c r="A884" t="s">
        <v>896</v>
      </c>
      <c r="B884" t="s">
        <v>156</v>
      </c>
      <c r="C884" s="1">
        <v>0.16500000000000001</v>
      </c>
    </row>
    <row r="885" spans="1:3" x14ac:dyDescent="0.25">
      <c r="A885" t="s">
        <v>897</v>
      </c>
      <c r="B885" t="s">
        <v>156</v>
      </c>
      <c r="C885" s="1">
        <v>0.16500000000000001</v>
      </c>
    </row>
    <row r="886" spans="1:3" x14ac:dyDescent="0.25">
      <c r="A886" t="s">
        <v>898</v>
      </c>
      <c r="B886" t="s">
        <v>156</v>
      </c>
      <c r="C886" s="1">
        <v>0.16500000000000001</v>
      </c>
    </row>
    <row r="887" spans="1:3" x14ac:dyDescent="0.25">
      <c r="A887" t="s">
        <v>899</v>
      </c>
      <c r="B887" t="s">
        <v>156</v>
      </c>
      <c r="C887" s="1">
        <v>0.16500000000000001</v>
      </c>
    </row>
    <row r="888" spans="1:3" x14ac:dyDescent="0.25">
      <c r="A888" t="s">
        <v>900</v>
      </c>
      <c r="B888" t="s">
        <v>156</v>
      </c>
      <c r="C888" s="1">
        <v>0.16500000000000001</v>
      </c>
    </row>
    <row r="889" spans="1:3" x14ac:dyDescent="0.25">
      <c r="A889" t="s">
        <v>901</v>
      </c>
      <c r="B889" t="s">
        <v>156</v>
      </c>
      <c r="C889" s="1">
        <v>0.16500000000000001</v>
      </c>
    </row>
    <row r="890" spans="1:3" x14ac:dyDescent="0.25">
      <c r="A890" t="s">
        <v>902</v>
      </c>
      <c r="B890" t="s">
        <v>156</v>
      </c>
      <c r="C890" s="1">
        <v>0.16500000000000001</v>
      </c>
    </row>
    <row r="891" spans="1:3" x14ac:dyDescent="0.25">
      <c r="A891" t="s">
        <v>903</v>
      </c>
      <c r="B891" t="s">
        <v>156</v>
      </c>
      <c r="C891" s="1">
        <v>0.16500000000000001</v>
      </c>
    </row>
    <row r="892" spans="1:3" x14ac:dyDescent="0.25">
      <c r="A892" t="s">
        <v>904</v>
      </c>
      <c r="B892" t="s">
        <v>156</v>
      </c>
      <c r="C892" s="1">
        <v>0.16500000000000001</v>
      </c>
    </row>
    <row r="893" spans="1:3" x14ac:dyDescent="0.25">
      <c r="A893" t="s">
        <v>905</v>
      </c>
      <c r="B893" t="s">
        <v>156</v>
      </c>
      <c r="C893" s="1">
        <v>0.16500000000000001</v>
      </c>
    </row>
    <row r="894" spans="1:3" x14ac:dyDescent="0.25">
      <c r="A894" t="s">
        <v>906</v>
      </c>
      <c r="B894" t="s">
        <v>156</v>
      </c>
      <c r="C894" s="1">
        <v>0.16500000000000001</v>
      </c>
    </row>
    <row r="895" spans="1:3" x14ac:dyDescent="0.25">
      <c r="A895" t="s">
        <v>907</v>
      </c>
      <c r="B895" t="s">
        <v>156</v>
      </c>
      <c r="C895" s="1">
        <v>0.16500000000000001</v>
      </c>
    </row>
    <row r="896" spans="1:3" x14ac:dyDescent="0.25">
      <c r="A896" t="s">
        <v>908</v>
      </c>
      <c r="B896" t="s">
        <v>156</v>
      </c>
      <c r="C896" s="1">
        <v>0.16500000000000001</v>
      </c>
    </row>
    <row r="897" spans="1:3" x14ac:dyDescent="0.25">
      <c r="A897" t="s">
        <v>909</v>
      </c>
      <c r="B897" t="s">
        <v>156</v>
      </c>
      <c r="C897" s="1">
        <v>0.16500000000000001</v>
      </c>
    </row>
    <row r="898" spans="1:3" x14ac:dyDescent="0.25">
      <c r="A898" t="s">
        <v>910</v>
      </c>
      <c r="B898" t="s">
        <v>156</v>
      </c>
      <c r="C898" s="1">
        <v>0.16500000000000001</v>
      </c>
    </row>
    <row r="899" spans="1:3" x14ac:dyDescent="0.25">
      <c r="A899" t="s">
        <v>911</v>
      </c>
      <c r="B899" t="s">
        <v>156</v>
      </c>
      <c r="C899" s="1">
        <v>0.16500000000000001</v>
      </c>
    </row>
    <row r="900" spans="1:3" x14ac:dyDescent="0.25">
      <c r="A900" t="s">
        <v>912</v>
      </c>
      <c r="B900" t="s">
        <v>156</v>
      </c>
      <c r="C900" s="1">
        <v>0.16500000000000001</v>
      </c>
    </row>
    <row r="901" spans="1:3" x14ac:dyDescent="0.25">
      <c r="A901" t="s">
        <v>913</v>
      </c>
      <c r="B901" t="s">
        <v>156</v>
      </c>
      <c r="C901" s="1">
        <v>0.16500000000000001</v>
      </c>
    </row>
    <row r="902" spans="1:3" x14ac:dyDescent="0.25">
      <c r="A902" t="s">
        <v>914</v>
      </c>
      <c r="B902" t="s">
        <v>156</v>
      </c>
      <c r="C902" s="1">
        <v>0.16500000000000001</v>
      </c>
    </row>
    <row r="903" spans="1:3" x14ac:dyDescent="0.25">
      <c r="A903" t="s">
        <v>915</v>
      </c>
      <c r="B903" t="s">
        <v>156</v>
      </c>
      <c r="C903" s="1">
        <v>0.16500000000000001</v>
      </c>
    </row>
    <row r="904" spans="1:3" x14ac:dyDescent="0.25">
      <c r="A904" t="s">
        <v>916</v>
      </c>
      <c r="B904" t="s">
        <v>156</v>
      </c>
      <c r="C904" s="1">
        <v>0.16500000000000001</v>
      </c>
    </row>
    <row r="905" spans="1:3" x14ac:dyDescent="0.25">
      <c r="A905" t="s">
        <v>917</v>
      </c>
      <c r="B905" t="s">
        <v>156</v>
      </c>
      <c r="C905" s="1">
        <v>0.16500000000000001</v>
      </c>
    </row>
    <row r="906" spans="1:3" x14ac:dyDescent="0.25">
      <c r="A906" t="s">
        <v>918</v>
      </c>
      <c r="B906" t="s">
        <v>156</v>
      </c>
      <c r="C906" s="1">
        <v>0.16500000000000001</v>
      </c>
    </row>
    <row r="907" spans="1:3" x14ac:dyDescent="0.25">
      <c r="A907" t="s">
        <v>919</v>
      </c>
      <c r="B907" t="s">
        <v>156</v>
      </c>
      <c r="C907" s="1">
        <v>0.16500000000000001</v>
      </c>
    </row>
    <row r="908" spans="1:3" x14ac:dyDescent="0.25">
      <c r="A908" t="s">
        <v>920</v>
      </c>
      <c r="B908" t="s">
        <v>156</v>
      </c>
      <c r="C908" s="1">
        <v>0.16500000000000001</v>
      </c>
    </row>
    <row r="909" spans="1:3" x14ac:dyDescent="0.25">
      <c r="A909" t="s">
        <v>921</v>
      </c>
      <c r="B909" t="s">
        <v>156</v>
      </c>
      <c r="C909" s="1">
        <v>0.16500000000000001</v>
      </c>
    </row>
    <row r="910" spans="1:3" x14ac:dyDescent="0.25">
      <c r="A910" t="s">
        <v>922</v>
      </c>
      <c r="B910" t="s">
        <v>156</v>
      </c>
      <c r="C910" s="1">
        <v>0.16500000000000001</v>
      </c>
    </row>
    <row r="911" spans="1:3" x14ac:dyDescent="0.25">
      <c r="A911" t="s">
        <v>923</v>
      </c>
      <c r="B911" t="s">
        <v>156</v>
      </c>
      <c r="C911" s="1">
        <v>0.16500000000000001</v>
      </c>
    </row>
    <row r="912" spans="1:3" x14ac:dyDescent="0.25">
      <c r="A912" t="s">
        <v>924</v>
      </c>
      <c r="B912" t="s">
        <v>156</v>
      </c>
      <c r="C912" s="1">
        <v>0.16500000000000001</v>
      </c>
    </row>
    <row r="913" spans="1:3" x14ac:dyDescent="0.25">
      <c r="A913" t="s">
        <v>925</v>
      </c>
      <c r="B913" t="s">
        <v>156</v>
      </c>
      <c r="C913" s="1">
        <v>0.16500000000000001</v>
      </c>
    </row>
    <row r="914" spans="1:3" x14ac:dyDescent="0.25">
      <c r="A914" t="s">
        <v>926</v>
      </c>
      <c r="B914" t="s">
        <v>156</v>
      </c>
      <c r="C914" s="1">
        <v>0.16500000000000001</v>
      </c>
    </row>
    <row r="915" spans="1:3" x14ac:dyDescent="0.25">
      <c r="A915" t="s">
        <v>927</v>
      </c>
      <c r="B915" t="s">
        <v>156</v>
      </c>
      <c r="C915" s="1">
        <v>0.16500000000000001</v>
      </c>
    </row>
    <row r="916" spans="1:3" x14ac:dyDescent="0.25">
      <c r="A916" t="s">
        <v>928</v>
      </c>
      <c r="B916" t="s">
        <v>156</v>
      </c>
      <c r="C916" s="1">
        <v>0.16500000000000001</v>
      </c>
    </row>
    <row r="917" spans="1:3" x14ac:dyDescent="0.25">
      <c r="A917" t="s">
        <v>929</v>
      </c>
      <c r="B917" t="s">
        <v>156</v>
      </c>
      <c r="C917" s="1">
        <v>0.16500000000000001</v>
      </c>
    </row>
    <row r="918" spans="1:3" x14ac:dyDescent="0.25">
      <c r="A918" t="s">
        <v>930</v>
      </c>
      <c r="B918" t="s">
        <v>156</v>
      </c>
      <c r="C918" s="1">
        <v>0.16500000000000001</v>
      </c>
    </row>
    <row r="919" spans="1:3" x14ac:dyDescent="0.25">
      <c r="A919" t="s">
        <v>931</v>
      </c>
      <c r="B919" t="s">
        <v>156</v>
      </c>
      <c r="C919" s="1">
        <v>0.16500000000000001</v>
      </c>
    </row>
    <row r="920" spans="1:3" x14ac:dyDescent="0.25">
      <c r="A920" t="s">
        <v>932</v>
      </c>
      <c r="B920" t="s">
        <v>156</v>
      </c>
      <c r="C920" s="1">
        <v>0.16500000000000001</v>
      </c>
    </row>
    <row r="921" spans="1:3" x14ac:dyDescent="0.25">
      <c r="A921" t="s">
        <v>933</v>
      </c>
      <c r="B921" t="s">
        <v>156</v>
      </c>
      <c r="C921" s="1">
        <v>0.16500000000000001</v>
      </c>
    </row>
    <row r="922" spans="1:3" x14ac:dyDescent="0.25">
      <c r="A922" t="s">
        <v>934</v>
      </c>
      <c r="B922" t="s">
        <v>156</v>
      </c>
      <c r="C922" s="1">
        <v>0.16500000000000001</v>
      </c>
    </row>
    <row r="923" spans="1:3" x14ac:dyDescent="0.25">
      <c r="A923" t="s">
        <v>935</v>
      </c>
      <c r="B923" t="s">
        <v>156</v>
      </c>
      <c r="C923" s="1">
        <v>0.16500000000000001</v>
      </c>
    </row>
    <row r="924" spans="1:3" x14ac:dyDescent="0.25">
      <c r="A924" t="s">
        <v>936</v>
      </c>
      <c r="B924" t="s">
        <v>156</v>
      </c>
      <c r="C924" s="1">
        <v>0.16500000000000001</v>
      </c>
    </row>
    <row r="925" spans="1:3" x14ac:dyDescent="0.25">
      <c r="A925" t="s">
        <v>937</v>
      </c>
      <c r="B925" t="s">
        <v>156</v>
      </c>
      <c r="C925" s="1">
        <v>0.16500000000000001</v>
      </c>
    </row>
    <row r="926" spans="1:3" x14ac:dyDescent="0.25">
      <c r="A926" t="s">
        <v>938</v>
      </c>
      <c r="B926" t="s">
        <v>156</v>
      </c>
      <c r="C926" s="1">
        <v>0.16500000000000001</v>
      </c>
    </row>
    <row r="927" spans="1:3" x14ac:dyDescent="0.25">
      <c r="A927" t="s">
        <v>939</v>
      </c>
      <c r="B927" t="s">
        <v>156</v>
      </c>
      <c r="C927" s="1">
        <v>0.16500000000000001</v>
      </c>
    </row>
    <row r="928" spans="1:3" x14ac:dyDescent="0.25">
      <c r="A928" t="s">
        <v>940</v>
      </c>
      <c r="B928" t="s">
        <v>156</v>
      </c>
      <c r="C928" s="1">
        <v>0.16500000000000001</v>
      </c>
    </row>
    <row r="929" spans="1:3" x14ac:dyDescent="0.25">
      <c r="A929" t="s">
        <v>941</v>
      </c>
      <c r="B929" t="s">
        <v>156</v>
      </c>
      <c r="C929" s="1">
        <v>0.16500000000000001</v>
      </c>
    </row>
    <row r="930" spans="1:3" x14ac:dyDescent="0.25">
      <c r="A930" t="s">
        <v>942</v>
      </c>
      <c r="B930" t="s">
        <v>156</v>
      </c>
      <c r="C930" s="1">
        <v>0.16500000000000001</v>
      </c>
    </row>
    <row r="931" spans="1:3" x14ac:dyDescent="0.25">
      <c r="A931" t="s">
        <v>943</v>
      </c>
      <c r="B931" t="s">
        <v>156</v>
      </c>
      <c r="C931" s="1">
        <v>0.16500000000000001</v>
      </c>
    </row>
    <row r="932" spans="1:3" x14ac:dyDescent="0.25">
      <c r="A932" t="s">
        <v>944</v>
      </c>
      <c r="B932" t="s">
        <v>156</v>
      </c>
      <c r="C932" s="1">
        <v>0.16500000000000001</v>
      </c>
    </row>
    <row r="933" spans="1:3" x14ac:dyDescent="0.25">
      <c r="A933" t="s">
        <v>945</v>
      </c>
      <c r="B933" t="s">
        <v>156</v>
      </c>
      <c r="C933" s="1">
        <v>0.16500000000000001</v>
      </c>
    </row>
    <row r="934" spans="1:3" x14ac:dyDescent="0.25">
      <c r="A934" t="s">
        <v>946</v>
      </c>
      <c r="B934" t="s">
        <v>156</v>
      </c>
      <c r="C934" s="1">
        <v>0.16500000000000001</v>
      </c>
    </row>
    <row r="935" spans="1:3" x14ac:dyDescent="0.25">
      <c r="A935" t="s">
        <v>947</v>
      </c>
      <c r="B935" t="s">
        <v>156</v>
      </c>
      <c r="C935" s="1">
        <v>0.16500000000000001</v>
      </c>
    </row>
    <row r="936" spans="1:3" x14ac:dyDescent="0.25">
      <c r="A936" t="s">
        <v>948</v>
      </c>
      <c r="B936" t="s">
        <v>156</v>
      </c>
      <c r="C936" s="1">
        <v>0.16500000000000001</v>
      </c>
    </row>
    <row r="937" spans="1:3" x14ac:dyDescent="0.25">
      <c r="A937" t="s">
        <v>949</v>
      </c>
      <c r="B937" t="s">
        <v>156</v>
      </c>
      <c r="C937" s="1">
        <v>0.16500000000000001</v>
      </c>
    </row>
    <row r="938" spans="1:3" x14ac:dyDescent="0.25">
      <c r="A938" t="s">
        <v>950</v>
      </c>
      <c r="B938" t="s">
        <v>156</v>
      </c>
      <c r="C938" s="1">
        <v>0.16500000000000001</v>
      </c>
    </row>
    <row r="939" spans="1:3" x14ac:dyDescent="0.25">
      <c r="A939" t="s">
        <v>951</v>
      </c>
      <c r="B939" t="s">
        <v>156</v>
      </c>
      <c r="C939" s="1">
        <v>0.16500000000000001</v>
      </c>
    </row>
    <row r="940" spans="1:3" x14ac:dyDescent="0.25">
      <c r="A940" t="s">
        <v>952</v>
      </c>
      <c r="B940" t="s">
        <v>156</v>
      </c>
      <c r="C940" s="1">
        <v>0.16500000000000001</v>
      </c>
    </row>
    <row r="941" spans="1:3" x14ac:dyDescent="0.25">
      <c r="A941" t="s">
        <v>953</v>
      </c>
      <c r="B941" t="s">
        <v>156</v>
      </c>
      <c r="C941" s="1">
        <v>0.16500000000000001</v>
      </c>
    </row>
    <row r="942" spans="1:3" x14ac:dyDescent="0.25">
      <c r="A942" t="s">
        <v>954</v>
      </c>
      <c r="B942" t="s">
        <v>156</v>
      </c>
      <c r="C942" s="1">
        <v>0.16500000000000001</v>
      </c>
    </row>
    <row r="943" spans="1:3" x14ac:dyDescent="0.25">
      <c r="A943" t="s">
        <v>955</v>
      </c>
      <c r="B943" t="s">
        <v>156</v>
      </c>
      <c r="C943" s="1">
        <v>0.16500000000000001</v>
      </c>
    </row>
    <row r="944" spans="1:3" x14ac:dyDescent="0.25">
      <c r="A944" t="s">
        <v>956</v>
      </c>
      <c r="B944" t="s">
        <v>156</v>
      </c>
      <c r="C944" s="1">
        <v>0.16500000000000001</v>
      </c>
    </row>
    <row r="945" spans="1:3" x14ac:dyDescent="0.25">
      <c r="A945" t="s">
        <v>957</v>
      </c>
      <c r="B945" t="s">
        <v>156</v>
      </c>
      <c r="C945" s="1">
        <v>0.16500000000000001</v>
      </c>
    </row>
    <row r="946" spans="1:3" x14ac:dyDescent="0.25">
      <c r="A946" t="s">
        <v>958</v>
      </c>
      <c r="B946" t="s">
        <v>156</v>
      </c>
      <c r="C946" s="1">
        <v>0.16500000000000001</v>
      </c>
    </row>
    <row r="947" spans="1:3" x14ac:dyDescent="0.25">
      <c r="A947" t="s">
        <v>959</v>
      </c>
      <c r="B947" t="s">
        <v>156</v>
      </c>
      <c r="C947" s="1">
        <v>0.16500000000000001</v>
      </c>
    </row>
    <row r="948" spans="1:3" x14ac:dyDescent="0.25">
      <c r="A948" t="s">
        <v>960</v>
      </c>
      <c r="B948" t="s">
        <v>156</v>
      </c>
      <c r="C948" s="1">
        <v>0.16500000000000001</v>
      </c>
    </row>
    <row r="949" spans="1:3" x14ac:dyDescent="0.25">
      <c r="A949" t="s">
        <v>961</v>
      </c>
      <c r="B949" t="s">
        <v>156</v>
      </c>
      <c r="C949" s="1">
        <v>0.16500000000000001</v>
      </c>
    </row>
    <row r="950" spans="1:3" x14ac:dyDescent="0.25">
      <c r="A950" t="s">
        <v>962</v>
      </c>
      <c r="B950" t="s">
        <v>156</v>
      </c>
      <c r="C950" s="1">
        <v>0.16500000000000001</v>
      </c>
    </row>
    <row r="951" spans="1:3" x14ac:dyDescent="0.25">
      <c r="A951" t="s">
        <v>963</v>
      </c>
      <c r="B951" t="s">
        <v>156</v>
      </c>
      <c r="C951" s="1">
        <v>0.16500000000000001</v>
      </c>
    </row>
    <row r="952" spans="1:3" x14ac:dyDescent="0.25">
      <c r="A952" t="s">
        <v>964</v>
      </c>
      <c r="B952" t="s">
        <v>156</v>
      </c>
      <c r="C952" s="1">
        <v>0.16500000000000001</v>
      </c>
    </row>
    <row r="953" spans="1:3" x14ac:dyDescent="0.25">
      <c r="A953" t="s">
        <v>965</v>
      </c>
      <c r="B953" t="s">
        <v>156</v>
      </c>
      <c r="C953" s="1">
        <v>0.16500000000000001</v>
      </c>
    </row>
    <row r="954" spans="1:3" x14ac:dyDescent="0.25">
      <c r="A954" t="s">
        <v>966</v>
      </c>
      <c r="B954" t="s">
        <v>156</v>
      </c>
      <c r="C954" s="1">
        <v>0.16500000000000001</v>
      </c>
    </row>
    <row r="955" spans="1:3" x14ac:dyDescent="0.25">
      <c r="A955" t="s">
        <v>967</v>
      </c>
      <c r="B955" t="s">
        <v>156</v>
      </c>
      <c r="C955" s="1">
        <v>0.16500000000000001</v>
      </c>
    </row>
    <row r="956" spans="1:3" x14ac:dyDescent="0.25">
      <c r="A956" t="s">
        <v>968</v>
      </c>
      <c r="B956" t="s">
        <v>156</v>
      </c>
      <c r="C956" s="1">
        <v>0.16500000000000001</v>
      </c>
    </row>
    <row r="957" spans="1:3" x14ac:dyDescent="0.25">
      <c r="A957" t="s">
        <v>969</v>
      </c>
      <c r="B957" t="s">
        <v>156</v>
      </c>
      <c r="C957" s="1">
        <v>0.16500000000000001</v>
      </c>
    </row>
    <row r="958" spans="1:3" x14ac:dyDescent="0.25">
      <c r="A958" t="s">
        <v>970</v>
      </c>
      <c r="B958" t="s">
        <v>156</v>
      </c>
      <c r="C958" s="1">
        <v>0.16500000000000001</v>
      </c>
    </row>
    <row r="959" spans="1:3" x14ac:dyDescent="0.25">
      <c r="A959" t="s">
        <v>971</v>
      </c>
      <c r="B959" t="s">
        <v>156</v>
      </c>
      <c r="C959" s="1">
        <v>0.16500000000000001</v>
      </c>
    </row>
    <row r="960" spans="1:3" x14ac:dyDescent="0.25">
      <c r="A960" t="s">
        <v>972</v>
      </c>
      <c r="B960" t="s">
        <v>156</v>
      </c>
      <c r="C960" s="1">
        <v>0.16500000000000001</v>
      </c>
    </row>
    <row r="961" spans="1:3" x14ac:dyDescent="0.25">
      <c r="A961" t="s">
        <v>973</v>
      </c>
      <c r="B961" t="s">
        <v>156</v>
      </c>
      <c r="C961" s="1">
        <v>0.16500000000000001</v>
      </c>
    </row>
    <row r="962" spans="1:3" x14ac:dyDescent="0.25">
      <c r="A962" t="s">
        <v>974</v>
      </c>
      <c r="B962" t="s">
        <v>156</v>
      </c>
      <c r="C962" s="1">
        <v>0.16500000000000001</v>
      </c>
    </row>
    <row r="963" spans="1:3" x14ac:dyDescent="0.25">
      <c r="A963" t="s">
        <v>975</v>
      </c>
      <c r="B963" t="s">
        <v>156</v>
      </c>
      <c r="C963" s="1">
        <v>0.16500000000000001</v>
      </c>
    </row>
    <row r="964" spans="1:3" x14ac:dyDescent="0.25">
      <c r="A964" t="s">
        <v>976</v>
      </c>
      <c r="B964" t="s">
        <v>156</v>
      </c>
      <c r="C964" s="1">
        <v>0.16500000000000001</v>
      </c>
    </row>
    <row r="965" spans="1:3" x14ac:dyDescent="0.25">
      <c r="A965" t="s">
        <v>977</v>
      </c>
      <c r="B965" t="s">
        <v>156</v>
      </c>
      <c r="C965" s="1">
        <v>0.16500000000000001</v>
      </c>
    </row>
    <row r="966" spans="1:3" x14ac:dyDescent="0.25">
      <c r="A966" t="s">
        <v>978</v>
      </c>
      <c r="B966" t="s">
        <v>156</v>
      </c>
      <c r="C966" s="1">
        <v>0.16500000000000001</v>
      </c>
    </row>
    <row r="967" spans="1:3" x14ac:dyDescent="0.25">
      <c r="A967" t="s">
        <v>979</v>
      </c>
      <c r="B967" t="s">
        <v>156</v>
      </c>
      <c r="C967" s="1">
        <v>0.16500000000000001</v>
      </c>
    </row>
    <row r="968" spans="1:3" x14ac:dyDescent="0.25">
      <c r="A968" t="s">
        <v>980</v>
      </c>
      <c r="B968" t="s">
        <v>156</v>
      </c>
      <c r="C968" s="1">
        <v>0.16500000000000001</v>
      </c>
    </row>
    <row r="969" spans="1:3" x14ac:dyDescent="0.25">
      <c r="A969" t="s">
        <v>981</v>
      </c>
      <c r="B969" t="s">
        <v>156</v>
      </c>
      <c r="C969" s="1">
        <v>0.16500000000000001</v>
      </c>
    </row>
    <row r="970" spans="1:3" x14ac:dyDescent="0.25">
      <c r="A970" t="s">
        <v>982</v>
      </c>
      <c r="B970" t="s">
        <v>156</v>
      </c>
      <c r="C970" s="1">
        <v>0.16500000000000001</v>
      </c>
    </row>
    <row r="971" spans="1:3" x14ac:dyDescent="0.25">
      <c r="A971" t="s">
        <v>983</v>
      </c>
      <c r="B971" t="s">
        <v>156</v>
      </c>
      <c r="C971" s="1">
        <v>0.16500000000000001</v>
      </c>
    </row>
    <row r="972" spans="1:3" x14ac:dyDescent="0.25">
      <c r="A972" t="s">
        <v>984</v>
      </c>
      <c r="B972" t="s">
        <v>156</v>
      </c>
      <c r="C972" s="1">
        <v>0.16500000000000001</v>
      </c>
    </row>
    <row r="973" spans="1:3" x14ac:dyDescent="0.25">
      <c r="A973" t="s">
        <v>985</v>
      </c>
      <c r="B973" t="s">
        <v>156</v>
      </c>
      <c r="C973" s="1">
        <v>0.16500000000000001</v>
      </c>
    </row>
    <row r="974" spans="1:3" x14ac:dyDescent="0.25">
      <c r="A974" t="s">
        <v>986</v>
      </c>
      <c r="B974" t="s">
        <v>156</v>
      </c>
      <c r="C974" s="1">
        <v>0.16500000000000001</v>
      </c>
    </row>
    <row r="975" spans="1:3" x14ac:dyDescent="0.25">
      <c r="A975" t="s">
        <v>987</v>
      </c>
      <c r="B975" t="s">
        <v>156</v>
      </c>
      <c r="C975" s="1">
        <v>0.16500000000000001</v>
      </c>
    </row>
    <row r="976" spans="1:3" x14ac:dyDescent="0.25">
      <c r="A976" t="s">
        <v>988</v>
      </c>
      <c r="B976" t="s">
        <v>156</v>
      </c>
      <c r="C976" s="1">
        <v>0.16500000000000001</v>
      </c>
    </row>
    <row r="977" spans="1:3" x14ac:dyDescent="0.25">
      <c r="A977" t="s">
        <v>989</v>
      </c>
      <c r="B977" t="s">
        <v>156</v>
      </c>
      <c r="C977" s="1">
        <v>0.16500000000000001</v>
      </c>
    </row>
    <row r="978" spans="1:3" x14ac:dyDescent="0.25">
      <c r="A978" t="s">
        <v>990</v>
      </c>
      <c r="B978" t="s">
        <v>156</v>
      </c>
      <c r="C978" s="1">
        <v>0.16500000000000001</v>
      </c>
    </row>
    <row r="979" spans="1:3" x14ac:dyDescent="0.25">
      <c r="A979" t="s">
        <v>991</v>
      </c>
      <c r="B979" t="s">
        <v>156</v>
      </c>
      <c r="C979" s="1">
        <v>0.16500000000000001</v>
      </c>
    </row>
    <row r="980" spans="1:3" x14ac:dyDescent="0.25">
      <c r="A980" t="s">
        <v>992</v>
      </c>
      <c r="B980" t="s">
        <v>156</v>
      </c>
      <c r="C980" s="1">
        <v>0.16500000000000001</v>
      </c>
    </row>
    <row r="981" spans="1:3" x14ac:dyDescent="0.25">
      <c r="A981" t="s">
        <v>993</v>
      </c>
      <c r="B981" t="s">
        <v>156</v>
      </c>
      <c r="C981" s="1">
        <v>0.16500000000000001</v>
      </c>
    </row>
    <row r="982" spans="1:3" x14ac:dyDescent="0.25">
      <c r="A982" t="s">
        <v>994</v>
      </c>
      <c r="B982" t="s">
        <v>156</v>
      </c>
      <c r="C982" s="1">
        <v>0.16500000000000001</v>
      </c>
    </row>
    <row r="983" spans="1:3" x14ac:dyDescent="0.25">
      <c r="A983" t="s">
        <v>995</v>
      </c>
      <c r="B983" t="s">
        <v>156</v>
      </c>
      <c r="C983" s="1">
        <v>0.16500000000000001</v>
      </c>
    </row>
    <row r="984" spans="1:3" x14ac:dyDescent="0.25">
      <c r="A984" t="s">
        <v>996</v>
      </c>
      <c r="B984" t="s">
        <v>156</v>
      </c>
      <c r="C984" s="1">
        <v>0.16500000000000001</v>
      </c>
    </row>
    <row r="985" spans="1:3" x14ac:dyDescent="0.25">
      <c r="A985" t="s">
        <v>997</v>
      </c>
      <c r="B985" t="s">
        <v>156</v>
      </c>
      <c r="C985" s="1">
        <v>0.16500000000000001</v>
      </c>
    </row>
    <row r="986" spans="1:3" x14ac:dyDescent="0.25">
      <c r="A986" t="s">
        <v>998</v>
      </c>
      <c r="B986" t="s">
        <v>156</v>
      </c>
      <c r="C986" s="1">
        <v>0.16500000000000001</v>
      </c>
    </row>
    <row r="987" spans="1:3" x14ac:dyDescent="0.25">
      <c r="A987" t="s">
        <v>999</v>
      </c>
      <c r="B987" t="s">
        <v>156</v>
      </c>
      <c r="C987" s="1">
        <v>0.16500000000000001</v>
      </c>
    </row>
    <row r="988" spans="1:3" x14ac:dyDescent="0.25">
      <c r="A988" t="s">
        <v>1000</v>
      </c>
      <c r="B988" t="s">
        <v>156</v>
      </c>
      <c r="C988" s="1">
        <v>0.16500000000000001</v>
      </c>
    </row>
    <row r="989" spans="1:3" x14ac:dyDescent="0.25">
      <c r="A989" t="s">
        <v>1001</v>
      </c>
      <c r="B989" t="s">
        <v>156</v>
      </c>
      <c r="C989" s="1">
        <v>0.16500000000000001</v>
      </c>
    </row>
    <row r="990" spans="1:3" x14ac:dyDescent="0.25">
      <c r="A990" t="s">
        <v>1002</v>
      </c>
      <c r="B990" t="s">
        <v>156</v>
      </c>
      <c r="C990" s="1">
        <v>0.16500000000000001</v>
      </c>
    </row>
    <row r="991" spans="1:3" x14ac:dyDescent="0.25">
      <c r="A991" t="s">
        <v>1003</v>
      </c>
      <c r="B991" t="s">
        <v>156</v>
      </c>
      <c r="C991" s="1">
        <v>0.16500000000000001</v>
      </c>
    </row>
    <row r="992" spans="1:3" x14ac:dyDescent="0.25">
      <c r="A992" t="s">
        <v>1004</v>
      </c>
      <c r="B992" t="s">
        <v>156</v>
      </c>
      <c r="C992" s="1">
        <v>0.16500000000000001</v>
      </c>
    </row>
    <row r="993" spans="1:3" x14ac:dyDescent="0.25">
      <c r="A993" t="s">
        <v>1005</v>
      </c>
      <c r="B993" t="s">
        <v>156</v>
      </c>
      <c r="C993" s="1">
        <v>0.16500000000000001</v>
      </c>
    </row>
    <row r="994" spans="1:3" x14ac:dyDescent="0.25">
      <c r="A994" t="s">
        <v>1006</v>
      </c>
      <c r="B994" t="s">
        <v>156</v>
      </c>
      <c r="C994" s="1">
        <v>0.16500000000000001</v>
      </c>
    </row>
    <row r="995" spans="1:3" x14ac:dyDescent="0.25">
      <c r="A995" t="s">
        <v>1007</v>
      </c>
      <c r="B995" t="s">
        <v>156</v>
      </c>
      <c r="C995" s="1">
        <v>0.16500000000000001</v>
      </c>
    </row>
    <row r="996" spans="1:3" x14ac:dyDescent="0.25">
      <c r="A996" t="s">
        <v>1008</v>
      </c>
      <c r="B996" t="s">
        <v>156</v>
      </c>
      <c r="C996" s="1">
        <v>0.16500000000000001</v>
      </c>
    </row>
    <row r="997" spans="1:3" x14ac:dyDescent="0.25">
      <c r="A997" t="s">
        <v>1009</v>
      </c>
      <c r="B997" t="s">
        <v>156</v>
      </c>
      <c r="C997" s="1">
        <v>0.16500000000000001</v>
      </c>
    </row>
    <row r="998" spans="1:3" x14ac:dyDescent="0.25">
      <c r="A998" t="s">
        <v>1010</v>
      </c>
      <c r="B998" t="s">
        <v>156</v>
      </c>
      <c r="C998" s="1">
        <v>0.16500000000000001</v>
      </c>
    </row>
    <row r="999" spans="1:3" x14ac:dyDescent="0.25">
      <c r="A999" t="s">
        <v>1011</v>
      </c>
      <c r="B999" t="s">
        <v>156</v>
      </c>
      <c r="C999" s="1">
        <v>0.16500000000000001</v>
      </c>
    </row>
    <row r="1000" spans="1:3" x14ac:dyDescent="0.25">
      <c r="A1000" t="s">
        <v>1012</v>
      </c>
      <c r="B1000" t="s">
        <v>156</v>
      </c>
      <c r="C1000" s="1">
        <v>0.16500000000000001</v>
      </c>
    </row>
    <row r="1001" spans="1:3" x14ac:dyDescent="0.25">
      <c r="A1001" t="s">
        <v>1013</v>
      </c>
      <c r="B1001" t="s">
        <v>156</v>
      </c>
      <c r="C1001" s="1">
        <v>0.16500000000000001</v>
      </c>
    </row>
    <row r="1002" spans="1:3" x14ac:dyDescent="0.25">
      <c r="A1002" t="s">
        <v>1014</v>
      </c>
      <c r="B1002" t="s">
        <v>156</v>
      </c>
      <c r="C1002" s="1">
        <v>0.16500000000000001</v>
      </c>
    </row>
    <row r="1003" spans="1:3" x14ac:dyDescent="0.25">
      <c r="A1003" t="s">
        <v>1015</v>
      </c>
      <c r="B1003" t="s">
        <v>156</v>
      </c>
      <c r="C1003" s="1">
        <v>0.16500000000000001</v>
      </c>
    </row>
    <row r="1004" spans="1:3" x14ac:dyDescent="0.25">
      <c r="A1004" t="s">
        <v>1016</v>
      </c>
      <c r="B1004" t="s">
        <v>156</v>
      </c>
      <c r="C1004" s="1">
        <v>0.16500000000000001</v>
      </c>
    </row>
    <row r="1005" spans="1:3" x14ac:dyDescent="0.25">
      <c r="A1005" t="s">
        <v>1017</v>
      </c>
      <c r="B1005" t="s">
        <v>156</v>
      </c>
      <c r="C1005" s="1">
        <v>0.16500000000000001</v>
      </c>
    </row>
    <row r="1006" spans="1:3" x14ac:dyDescent="0.25">
      <c r="A1006" t="s">
        <v>1018</v>
      </c>
      <c r="B1006" t="s">
        <v>156</v>
      </c>
      <c r="C1006" s="1">
        <v>0.16500000000000001</v>
      </c>
    </row>
    <row r="1007" spans="1:3" x14ac:dyDescent="0.25">
      <c r="A1007" t="s">
        <v>1019</v>
      </c>
      <c r="B1007" t="s">
        <v>156</v>
      </c>
      <c r="C1007" s="1">
        <v>0.16500000000000001</v>
      </c>
    </row>
    <row r="1008" spans="1:3" x14ac:dyDescent="0.25">
      <c r="A1008" t="s">
        <v>1020</v>
      </c>
      <c r="B1008" t="s">
        <v>156</v>
      </c>
      <c r="C1008" s="1">
        <v>0.16500000000000001</v>
      </c>
    </row>
    <row r="1009" spans="1:3" x14ac:dyDescent="0.25">
      <c r="A1009" t="s">
        <v>1021</v>
      </c>
      <c r="B1009" t="s">
        <v>156</v>
      </c>
      <c r="C1009" s="1">
        <v>0.16500000000000001</v>
      </c>
    </row>
    <row r="1010" spans="1:3" x14ac:dyDescent="0.25">
      <c r="A1010" t="s">
        <v>1022</v>
      </c>
      <c r="B1010" t="s">
        <v>156</v>
      </c>
      <c r="C1010" s="1">
        <v>0.16500000000000001</v>
      </c>
    </row>
    <row r="1011" spans="1:3" x14ac:dyDescent="0.25">
      <c r="A1011" t="s">
        <v>1023</v>
      </c>
      <c r="B1011" t="s">
        <v>156</v>
      </c>
      <c r="C1011" s="1">
        <v>0.16500000000000001</v>
      </c>
    </row>
    <row r="1012" spans="1:3" x14ac:dyDescent="0.25">
      <c r="A1012" t="s">
        <v>1024</v>
      </c>
      <c r="B1012" t="s">
        <v>156</v>
      </c>
      <c r="C1012" s="1">
        <v>0.16500000000000001</v>
      </c>
    </row>
    <row r="1013" spans="1:3" x14ac:dyDescent="0.25">
      <c r="A1013" t="s">
        <v>1025</v>
      </c>
      <c r="B1013" t="s">
        <v>156</v>
      </c>
      <c r="C1013" s="1">
        <v>0.16500000000000001</v>
      </c>
    </row>
    <row r="1014" spans="1:3" x14ac:dyDescent="0.25">
      <c r="A1014" t="s">
        <v>1026</v>
      </c>
      <c r="B1014" t="s">
        <v>156</v>
      </c>
      <c r="C1014" s="1">
        <v>0.16500000000000001</v>
      </c>
    </row>
    <row r="1015" spans="1:3" x14ac:dyDescent="0.25">
      <c r="A1015" t="s">
        <v>1027</v>
      </c>
      <c r="B1015" t="s">
        <v>156</v>
      </c>
      <c r="C1015" s="1">
        <v>0.16500000000000001</v>
      </c>
    </row>
    <row r="1016" spans="1:3" x14ac:dyDescent="0.25">
      <c r="A1016" t="s">
        <v>1028</v>
      </c>
      <c r="B1016" t="s">
        <v>156</v>
      </c>
      <c r="C1016" s="1">
        <v>0.16500000000000001</v>
      </c>
    </row>
    <row r="1017" spans="1:3" x14ac:dyDescent="0.25">
      <c r="A1017" t="s">
        <v>1029</v>
      </c>
      <c r="B1017" t="s">
        <v>156</v>
      </c>
      <c r="C1017" s="1">
        <v>0.16500000000000001</v>
      </c>
    </row>
    <row r="1018" spans="1:3" x14ac:dyDescent="0.25">
      <c r="A1018" t="s">
        <v>1030</v>
      </c>
      <c r="B1018" t="s">
        <v>156</v>
      </c>
      <c r="C1018" s="1">
        <v>0.16500000000000001</v>
      </c>
    </row>
    <row r="1019" spans="1:3" x14ac:dyDescent="0.25">
      <c r="A1019" t="s">
        <v>1031</v>
      </c>
      <c r="B1019" t="s">
        <v>156</v>
      </c>
      <c r="C1019" s="1">
        <v>0.16500000000000001</v>
      </c>
    </row>
    <row r="1020" spans="1:3" x14ac:dyDescent="0.25">
      <c r="A1020" t="s">
        <v>1032</v>
      </c>
      <c r="B1020" t="s">
        <v>156</v>
      </c>
      <c r="C1020" s="1">
        <v>0.16500000000000001</v>
      </c>
    </row>
    <row r="1021" spans="1:3" x14ac:dyDescent="0.25">
      <c r="A1021" t="s">
        <v>1033</v>
      </c>
      <c r="B1021" t="s">
        <v>156</v>
      </c>
      <c r="C1021" s="1">
        <v>0.16500000000000001</v>
      </c>
    </row>
    <row r="1022" spans="1:3" x14ac:dyDescent="0.25">
      <c r="A1022" t="s">
        <v>1034</v>
      </c>
      <c r="B1022" t="s">
        <v>156</v>
      </c>
      <c r="C1022" s="1">
        <v>0.16500000000000001</v>
      </c>
    </row>
    <row r="1023" spans="1:3" x14ac:dyDescent="0.25">
      <c r="A1023" t="s">
        <v>1035</v>
      </c>
      <c r="B1023" t="s">
        <v>156</v>
      </c>
      <c r="C1023" s="1">
        <v>0.16500000000000001</v>
      </c>
    </row>
    <row r="1024" spans="1:3" x14ac:dyDescent="0.25">
      <c r="A1024" t="s">
        <v>1036</v>
      </c>
      <c r="B1024" t="s">
        <v>156</v>
      </c>
      <c r="C1024" s="1">
        <v>0.16500000000000001</v>
      </c>
    </row>
    <row r="1025" spans="1:3" x14ac:dyDescent="0.25">
      <c r="A1025" t="s">
        <v>1037</v>
      </c>
      <c r="B1025" t="s">
        <v>156</v>
      </c>
      <c r="C1025" s="1">
        <v>0.16500000000000001</v>
      </c>
    </row>
    <row r="1026" spans="1:3" x14ac:dyDescent="0.25">
      <c r="A1026" t="s">
        <v>1038</v>
      </c>
      <c r="B1026" t="s">
        <v>156</v>
      </c>
      <c r="C1026" s="1">
        <v>0.16500000000000001</v>
      </c>
    </row>
    <row r="1027" spans="1:3" x14ac:dyDescent="0.25">
      <c r="A1027" t="s">
        <v>1039</v>
      </c>
      <c r="B1027" t="s">
        <v>156</v>
      </c>
      <c r="C1027" s="1">
        <v>0.16500000000000001</v>
      </c>
    </row>
    <row r="1028" spans="1:3" x14ac:dyDescent="0.25">
      <c r="A1028" t="s">
        <v>1040</v>
      </c>
      <c r="B1028" t="s">
        <v>156</v>
      </c>
      <c r="C1028" s="1">
        <v>0.16500000000000001</v>
      </c>
    </row>
    <row r="1029" spans="1:3" x14ac:dyDescent="0.25">
      <c r="A1029" t="s">
        <v>1041</v>
      </c>
      <c r="B1029" t="s">
        <v>156</v>
      </c>
      <c r="C1029" s="1">
        <v>0.16500000000000001</v>
      </c>
    </row>
    <row r="1030" spans="1:3" x14ac:dyDescent="0.25">
      <c r="A1030" t="s">
        <v>1042</v>
      </c>
      <c r="B1030" t="s">
        <v>156</v>
      </c>
      <c r="C1030" s="1">
        <v>0.16500000000000001</v>
      </c>
    </row>
    <row r="1031" spans="1:3" x14ac:dyDescent="0.25">
      <c r="A1031" t="s">
        <v>1043</v>
      </c>
      <c r="B1031" t="s">
        <v>156</v>
      </c>
      <c r="C1031" s="1">
        <v>0.16500000000000001</v>
      </c>
    </row>
    <row r="1032" spans="1:3" x14ac:dyDescent="0.25">
      <c r="A1032" t="s">
        <v>1044</v>
      </c>
      <c r="B1032" t="s">
        <v>156</v>
      </c>
      <c r="C1032" s="1">
        <v>0.16500000000000001</v>
      </c>
    </row>
    <row r="1033" spans="1:3" x14ac:dyDescent="0.25">
      <c r="A1033" t="s">
        <v>1045</v>
      </c>
      <c r="B1033" t="s">
        <v>156</v>
      </c>
      <c r="C1033" s="1">
        <v>0.16500000000000001</v>
      </c>
    </row>
    <row r="1034" spans="1:3" x14ac:dyDescent="0.25">
      <c r="A1034" t="s">
        <v>1046</v>
      </c>
      <c r="B1034" t="s">
        <v>156</v>
      </c>
      <c r="C1034" s="1">
        <v>0.16500000000000001</v>
      </c>
    </row>
    <row r="1035" spans="1:3" x14ac:dyDescent="0.25">
      <c r="A1035" t="s">
        <v>1047</v>
      </c>
      <c r="B1035" t="s">
        <v>156</v>
      </c>
      <c r="C1035" s="1">
        <v>0.16500000000000001</v>
      </c>
    </row>
    <row r="1036" spans="1:3" x14ac:dyDescent="0.25">
      <c r="A1036" t="s">
        <v>1048</v>
      </c>
      <c r="B1036" t="s">
        <v>156</v>
      </c>
      <c r="C1036" s="1">
        <v>0.16500000000000001</v>
      </c>
    </row>
    <row r="1037" spans="1:3" x14ac:dyDescent="0.25">
      <c r="A1037" t="s">
        <v>1049</v>
      </c>
      <c r="B1037" t="s">
        <v>156</v>
      </c>
      <c r="C1037" s="1">
        <v>0.16500000000000001</v>
      </c>
    </row>
    <row r="1038" spans="1:3" x14ac:dyDescent="0.25">
      <c r="A1038" t="s">
        <v>1050</v>
      </c>
      <c r="B1038" t="s">
        <v>156</v>
      </c>
      <c r="C1038" s="1">
        <v>0.16500000000000001</v>
      </c>
    </row>
    <row r="1039" spans="1:3" x14ac:dyDescent="0.25">
      <c r="A1039" t="s">
        <v>1051</v>
      </c>
      <c r="B1039" t="s">
        <v>156</v>
      </c>
      <c r="C1039" s="1">
        <v>0.16500000000000001</v>
      </c>
    </row>
    <row r="1040" spans="1:3" x14ac:dyDescent="0.25">
      <c r="A1040" t="s">
        <v>1052</v>
      </c>
      <c r="B1040" t="s">
        <v>156</v>
      </c>
      <c r="C1040" s="1">
        <v>0.16500000000000001</v>
      </c>
    </row>
    <row r="1041" spans="1:3" x14ac:dyDescent="0.25">
      <c r="A1041" t="s">
        <v>1053</v>
      </c>
      <c r="B1041" t="s">
        <v>156</v>
      </c>
      <c r="C1041" s="1">
        <v>0.16500000000000001</v>
      </c>
    </row>
    <row r="1042" spans="1:3" x14ac:dyDescent="0.25">
      <c r="A1042" t="s">
        <v>1054</v>
      </c>
      <c r="B1042" t="s">
        <v>156</v>
      </c>
      <c r="C1042" s="1">
        <v>0.16500000000000001</v>
      </c>
    </row>
    <row r="1043" spans="1:3" x14ac:dyDescent="0.25">
      <c r="A1043" t="s">
        <v>1055</v>
      </c>
      <c r="B1043" t="s">
        <v>156</v>
      </c>
      <c r="C1043" s="1">
        <v>0.16500000000000001</v>
      </c>
    </row>
    <row r="1044" spans="1:3" x14ac:dyDescent="0.25">
      <c r="A1044" t="s">
        <v>1056</v>
      </c>
      <c r="B1044" t="s">
        <v>156</v>
      </c>
      <c r="C1044" s="1">
        <v>0.16500000000000001</v>
      </c>
    </row>
    <row r="1045" spans="1:3" x14ac:dyDescent="0.25">
      <c r="A1045" t="s">
        <v>1057</v>
      </c>
      <c r="B1045" t="s">
        <v>156</v>
      </c>
      <c r="C1045" s="1">
        <v>0.16500000000000001</v>
      </c>
    </row>
    <row r="1046" spans="1:3" x14ac:dyDescent="0.25">
      <c r="A1046" t="s">
        <v>1058</v>
      </c>
      <c r="B1046" t="s">
        <v>156</v>
      </c>
      <c r="C1046" s="1">
        <v>0.16500000000000001</v>
      </c>
    </row>
    <row r="1047" spans="1:3" x14ac:dyDescent="0.25">
      <c r="A1047" t="s">
        <v>1059</v>
      </c>
      <c r="B1047" t="s">
        <v>156</v>
      </c>
      <c r="C1047" s="1">
        <v>0.16500000000000001</v>
      </c>
    </row>
    <row r="1048" spans="1:3" x14ac:dyDescent="0.25">
      <c r="A1048" t="s">
        <v>1060</v>
      </c>
      <c r="B1048" t="s">
        <v>156</v>
      </c>
      <c r="C1048" s="1">
        <v>0.16500000000000001</v>
      </c>
    </row>
    <row r="1049" spans="1:3" x14ac:dyDescent="0.25">
      <c r="A1049" t="s">
        <v>1061</v>
      </c>
      <c r="B1049" t="s">
        <v>156</v>
      </c>
      <c r="C1049" s="1">
        <v>0.16500000000000001</v>
      </c>
    </row>
    <row r="1050" spans="1:3" x14ac:dyDescent="0.25">
      <c r="A1050" t="s">
        <v>1062</v>
      </c>
      <c r="B1050" t="s">
        <v>156</v>
      </c>
      <c r="C1050" s="1">
        <v>0.16500000000000001</v>
      </c>
    </row>
    <row r="1051" spans="1:3" x14ac:dyDescent="0.25">
      <c r="A1051" t="s">
        <v>1063</v>
      </c>
      <c r="B1051" t="s">
        <v>156</v>
      </c>
      <c r="C1051" s="1">
        <v>0.16500000000000001</v>
      </c>
    </row>
    <row r="1052" spans="1:3" x14ac:dyDescent="0.25">
      <c r="A1052" t="s">
        <v>1064</v>
      </c>
      <c r="B1052" t="s">
        <v>156</v>
      </c>
      <c r="C1052" s="1">
        <v>0.16500000000000001</v>
      </c>
    </row>
    <row r="1053" spans="1:3" x14ac:dyDescent="0.25">
      <c r="A1053" t="s">
        <v>1065</v>
      </c>
      <c r="B1053" t="s">
        <v>156</v>
      </c>
      <c r="C1053" s="1">
        <v>0.16500000000000001</v>
      </c>
    </row>
    <row r="1054" spans="1:3" x14ac:dyDescent="0.25">
      <c r="A1054" t="s">
        <v>1066</v>
      </c>
      <c r="B1054" t="s">
        <v>156</v>
      </c>
      <c r="C1054" s="1">
        <v>0.16500000000000001</v>
      </c>
    </row>
    <row r="1055" spans="1:3" x14ac:dyDescent="0.25">
      <c r="A1055" t="s">
        <v>1067</v>
      </c>
      <c r="B1055" t="s">
        <v>156</v>
      </c>
      <c r="C1055" s="1">
        <v>0.16500000000000001</v>
      </c>
    </row>
    <row r="1056" spans="1:3" x14ac:dyDescent="0.25">
      <c r="A1056" t="s">
        <v>1068</v>
      </c>
      <c r="B1056" t="s">
        <v>156</v>
      </c>
      <c r="C1056" s="1">
        <v>0.16500000000000001</v>
      </c>
    </row>
    <row r="1057" spans="1:3" x14ac:dyDescent="0.25">
      <c r="A1057" t="s">
        <v>1069</v>
      </c>
      <c r="B1057" t="s">
        <v>156</v>
      </c>
      <c r="C1057" s="1">
        <v>0.16500000000000001</v>
      </c>
    </row>
    <row r="1058" spans="1:3" x14ac:dyDescent="0.25">
      <c r="A1058" t="s">
        <v>1070</v>
      </c>
      <c r="B1058" t="s">
        <v>156</v>
      </c>
      <c r="C1058" s="1">
        <v>0.16500000000000001</v>
      </c>
    </row>
    <row r="1059" spans="1:3" x14ac:dyDescent="0.25">
      <c r="A1059" t="s">
        <v>1071</v>
      </c>
      <c r="B1059" t="s">
        <v>156</v>
      </c>
      <c r="C1059" s="1">
        <v>0.16500000000000001</v>
      </c>
    </row>
    <row r="1060" spans="1:3" x14ac:dyDescent="0.25">
      <c r="A1060" t="s">
        <v>1072</v>
      </c>
      <c r="B1060" t="s">
        <v>156</v>
      </c>
      <c r="C1060" s="1">
        <v>0.16500000000000001</v>
      </c>
    </row>
    <row r="1061" spans="1:3" x14ac:dyDescent="0.25">
      <c r="A1061" t="s">
        <v>1073</v>
      </c>
      <c r="B1061" t="s">
        <v>156</v>
      </c>
      <c r="C1061" s="1">
        <v>0.16500000000000001</v>
      </c>
    </row>
    <row r="1062" spans="1:3" x14ac:dyDescent="0.25">
      <c r="A1062" t="s">
        <v>1074</v>
      </c>
      <c r="B1062" t="s">
        <v>156</v>
      </c>
      <c r="C1062" s="1">
        <v>0.16500000000000001</v>
      </c>
    </row>
    <row r="1063" spans="1:3" x14ac:dyDescent="0.25">
      <c r="A1063" t="s">
        <v>1075</v>
      </c>
      <c r="B1063" t="s">
        <v>156</v>
      </c>
      <c r="C1063" s="1">
        <v>0.16500000000000001</v>
      </c>
    </row>
    <row r="1064" spans="1:3" x14ac:dyDescent="0.25">
      <c r="A1064" t="s">
        <v>1076</v>
      </c>
      <c r="B1064" t="s">
        <v>156</v>
      </c>
      <c r="C1064" s="1">
        <v>0.16500000000000001</v>
      </c>
    </row>
    <row r="1065" spans="1:3" x14ac:dyDescent="0.25">
      <c r="A1065" t="s">
        <v>1077</v>
      </c>
      <c r="B1065" t="s">
        <v>156</v>
      </c>
      <c r="C1065" s="1">
        <v>0.16500000000000001</v>
      </c>
    </row>
    <row r="1066" spans="1:3" x14ac:dyDescent="0.25">
      <c r="A1066" t="s">
        <v>1078</v>
      </c>
      <c r="B1066" t="s">
        <v>156</v>
      </c>
      <c r="C1066" s="1">
        <v>0.16500000000000001</v>
      </c>
    </row>
    <row r="1067" spans="1:3" x14ac:dyDescent="0.25">
      <c r="A1067" t="s">
        <v>1108</v>
      </c>
      <c r="B1067" t="s">
        <v>13</v>
      </c>
      <c r="C1067" s="1">
        <v>0.115</v>
      </c>
    </row>
    <row r="1068" spans="1:3" x14ac:dyDescent="0.25">
      <c r="A1068" t="s">
        <v>1110</v>
      </c>
      <c r="B1068" t="s">
        <v>156</v>
      </c>
      <c r="C1068" s="1">
        <v>0.16500000000000001</v>
      </c>
    </row>
    <row r="1069" spans="1:3" x14ac:dyDescent="0.25">
      <c r="A1069" t="s">
        <v>1123</v>
      </c>
      <c r="B1069" t="s">
        <v>156</v>
      </c>
      <c r="C1069" s="1">
        <v>0.16500000000000001</v>
      </c>
    </row>
    <row r="1070" spans="1:3" x14ac:dyDescent="0.25">
      <c r="A1070" t="s">
        <v>1131</v>
      </c>
      <c r="B1070" t="s">
        <v>156</v>
      </c>
      <c r="C1070" s="1">
        <v>0.16500000000000001</v>
      </c>
    </row>
    <row r="1071" spans="1:3" x14ac:dyDescent="0.25">
      <c r="A1071" t="s">
        <v>1124</v>
      </c>
      <c r="B1071" t="s">
        <v>13</v>
      </c>
      <c r="C1071" s="1">
        <v>0.115</v>
      </c>
    </row>
    <row r="1072" spans="1:3" x14ac:dyDescent="0.25">
      <c r="A1072" t="s">
        <v>1127</v>
      </c>
      <c r="B1072" t="s">
        <v>13</v>
      </c>
      <c r="C1072" s="1">
        <v>0.115</v>
      </c>
    </row>
    <row r="1073" spans="1:3" x14ac:dyDescent="0.25">
      <c r="A1073" t="s">
        <v>1115</v>
      </c>
      <c r="B1073" t="s">
        <v>13</v>
      </c>
      <c r="C1073" s="1">
        <v>0.115</v>
      </c>
    </row>
    <row r="1074" spans="1:3" x14ac:dyDescent="0.25">
      <c r="A1074" t="s">
        <v>1128</v>
      </c>
      <c r="B1074" t="s">
        <v>156</v>
      </c>
      <c r="C1074" s="1">
        <v>0.16500000000000001</v>
      </c>
    </row>
    <row r="1075" spans="1:3" x14ac:dyDescent="0.25">
      <c r="A1075" t="s">
        <v>1133</v>
      </c>
      <c r="B1075" t="s">
        <v>13</v>
      </c>
      <c r="C1075" s="1">
        <v>0.115</v>
      </c>
    </row>
    <row r="1076" spans="1:3" x14ac:dyDescent="0.25">
      <c r="A1076" t="s">
        <v>1114</v>
      </c>
      <c r="B1076" t="s">
        <v>156</v>
      </c>
      <c r="C1076" s="1">
        <v>0.115</v>
      </c>
    </row>
    <row r="1077" spans="1:3" x14ac:dyDescent="0.25">
      <c r="A1077" t="s">
        <v>1130</v>
      </c>
      <c r="B1077" t="s">
        <v>13</v>
      </c>
      <c r="C1077" s="1">
        <v>0.115</v>
      </c>
    </row>
    <row r="1078" spans="1:3" x14ac:dyDescent="0.25">
      <c r="A1078" t="s">
        <v>1136</v>
      </c>
      <c r="B1078" t="s">
        <v>156</v>
      </c>
      <c r="C1078" s="1">
        <v>0.16500000000000001</v>
      </c>
    </row>
    <row r="1079" spans="1:3" x14ac:dyDescent="0.25">
      <c r="A1079" t="s">
        <v>1134</v>
      </c>
      <c r="B1079" t="s">
        <v>13</v>
      </c>
      <c r="C1079" s="1">
        <v>0.115</v>
      </c>
    </row>
    <row r="1080" spans="1:3" x14ac:dyDescent="0.25">
      <c r="A1080" t="s">
        <v>1135</v>
      </c>
      <c r="B1080" t="s">
        <v>156</v>
      </c>
      <c r="C1080" s="1">
        <v>0.16500000000000001</v>
      </c>
    </row>
    <row r="1081" spans="1:3" x14ac:dyDescent="0.25">
      <c r="A1081" t="s">
        <v>1138</v>
      </c>
      <c r="B1081" t="s">
        <v>156</v>
      </c>
      <c r="C1081" s="1">
        <v>0.16500000000000001</v>
      </c>
    </row>
    <row r="1082" spans="1:3" x14ac:dyDescent="0.25">
      <c r="A1082" t="s">
        <v>1139</v>
      </c>
      <c r="B1082" t="s">
        <v>156</v>
      </c>
      <c r="C1082" s="1">
        <v>0.16500000000000001</v>
      </c>
    </row>
    <row r="1083" spans="1:3" x14ac:dyDescent="0.25">
      <c r="A1083" t="s">
        <v>1122</v>
      </c>
      <c r="B1083" t="s">
        <v>156</v>
      </c>
      <c r="C1083" s="1">
        <v>0.16500000000000001</v>
      </c>
    </row>
    <row r="1084" spans="1:3" x14ac:dyDescent="0.25">
      <c r="A1084" t="s">
        <v>1118</v>
      </c>
      <c r="B1084" t="s">
        <v>156</v>
      </c>
      <c r="C1084" s="1">
        <v>0.115</v>
      </c>
    </row>
    <row r="1085" spans="1:3" x14ac:dyDescent="0.25">
      <c r="A1085" t="s">
        <v>1121</v>
      </c>
      <c r="B1085" t="s">
        <v>156</v>
      </c>
      <c r="C1085" s="1">
        <v>0.115</v>
      </c>
    </row>
    <row r="1086" spans="1:3" x14ac:dyDescent="0.25">
      <c r="A1086" t="s">
        <v>1137</v>
      </c>
      <c r="B1086" t="s">
        <v>13</v>
      </c>
      <c r="C1086" s="1">
        <v>0.115</v>
      </c>
    </row>
    <row r="1087" spans="1:3" x14ac:dyDescent="0.25">
      <c r="A1087" t="s">
        <v>1126</v>
      </c>
      <c r="B1087" t="s">
        <v>156</v>
      </c>
      <c r="C1087" s="1">
        <v>0.115</v>
      </c>
    </row>
    <row r="1088" spans="1:3" x14ac:dyDescent="0.25">
      <c r="A1088" t="s">
        <v>1129</v>
      </c>
      <c r="B1088" t="s">
        <v>13</v>
      </c>
      <c r="C1088" s="1">
        <v>0.115</v>
      </c>
    </row>
    <row r="1089" spans="1:3" x14ac:dyDescent="0.25">
      <c r="A1089" t="s">
        <v>1132</v>
      </c>
      <c r="B1089" t="s">
        <v>156</v>
      </c>
      <c r="C1089" s="1">
        <v>0.16500000000000001</v>
      </c>
    </row>
    <row r="1090" spans="1:3" x14ac:dyDescent="0.25">
      <c r="A1090" t="s">
        <v>1142</v>
      </c>
      <c r="B1090" t="s">
        <v>13</v>
      </c>
      <c r="C1090" s="1">
        <v>0.115</v>
      </c>
    </row>
    <row r="1091" spans="1:3" x14ac:dyDescent="0.25">
      <c r="A1091" t="s">
        <v>1145</v>
      </c>
      <c r="B1091" t="s">
        <v>156</v>
      </c>
      <c r="C1091" s="1">
        <v>0.16500000000000001</v>
      </c>
    </row>
    <row r="1092" spans="1:3" x14ac:dyDescent="0.25">
      <c r="A1092" t="s">
        <v>1146</v>
      </c>
      <c r="B1092" t="s">
        <v>156</v>
      </c>
      <c r="C1092" s="1">
        <v>0.16500000000000001</v>
      </c>
    </row>
    <row r="1093" spans="1:3" x14ac:dyDescent="0.25">
      <c r="A1093" t="s">
        <v>1147</v>
      </c>
      <c r="B1093" t="s">
        <v>156</v>
      </c>
      <c r="C1093" s="1">
        <v>0.16500000000000001</v>
      </c>
    </row>
    <row r="1094" spans="1:3" x14ac:dyDescent="0.25">
      <c r="A1094" t="s">
        <v>1144</v>
      </c>
      <c r="B1094" t="s">
        <v>13</v>
      </c>
      <c r="C1094" s="1">
        <v>0.115</v>
      </c>
    </row>
    <row r="1095" spans="1:3" x14ac:dyDescent="0.25">
      <c r="A1095" t="s">
        <v>1172</v>
      </c>
      <c r="B1095" t="s">
        <v>13</v>
      </c>
      <c r="C1095" s="1">
        <v>0.115</v>
      </c>
    </row>
    <row r="1096" spans="1:3" x14ac:dyDescent="0.25">
      <c r="A1096" t="s">
        <v>1164</v>
      </c>
      <c r="B1096" t="s">
        <v>156</v>
      </c>
      <c r="C1096" s="1">
        <v>0.16500000000000001</v>
      </c>
    </row>
    <row r="1097" spans="1:3" x14ac:dyDescent="0.25">
      <c r="A1097" t="s">
        <v>1174</v>
      </c>
      <c r="B1097" t="s">
        <v>156</v>
      </c>
      <c r="C1097" s="1">
        <v>0.16500000000000001</v>
      </c>
    </row>
    <row r="1098" spans="1:3" x14ac:dyDescent="0.25">
      <c r="A1098" t="s">
        <v>1195</v>
      </c>
      <c r="B1098" t="s">
        <v>156</v>
      </c>
      <c r="C1098" s="1">
        <v>0.16500000000000001</v>
      </c>
    </row>
    <row r="1099" spans="1:3" x14ac:dyDescent="0.25">
      <c r="A1099" t="s">
        <v>1191</v>
      </c>
      <c r="B1099" t="s">
        <v>156</v>
      </c>
      <c r="C1099" s="1">
        <v>0.16500000000000001</v>
      </c>
    </row>
    <row r="1100" spans="1:3" x14ac:dyDescent="0.25">
      <c r="A1100" t="s">
        <v>1190</v>
      </c>
      <c r="B1100" t="s">
        <v>156</v>
      </c>
      <c r="C1100" s="1">
        <v>0.16500000000000001</v>
      </c>
    </row>
    <row r="1101" spans="1:3" x14ac:dyDescent="0.25">
      <c r="A1101" t="s">
        <v>1197</v>
      </c>
      <c r="B1101" t="s">
        <v>13</v>
      </c>
      <c r="C1101" s="1">
        <v>0.115</v>
      </c>
    </row>
    <row r="1102" spans="1:3" x14ac:dyDescent="0.25">
      <c r="A1102" t="s">
        <v>1188</v>
      </c>
      <c r="B1102" t="s">
        <v>13</v>
      </c>
      <c r="C1102" s="1">
        <v>0.115</v>
      </c>
    </row>
    <row r="1103" spans="1:3" x14ac:dyDescent="0.25">
      <c r="A1103" t="s">
        <v>1196</v>
      </c>
      <c r="B1103" t="s">
        <v>13</v>
      </c>
      <c r="C1103" s="1">
        <v>0.115</v>
      </c>
    </row>
    <row r="1104" spans="1:3" x14ac:dyDescent="0.25">
      <c r="A1104" t="s">
        <v>1199</v>
      </c>
      <c r="B1104" t="s">
        <v>156</v>
      </c>
      <c r="C1104" s="1">
        <v>0.16500000000000001</v>
      </c>
    </row>
    <row r="1105" spans="1:3" x14ac:dyDescent="0.25">
      <c r="A1105" t="s">
        <v>1192</v>
      </c>
      <c r="B1105" t="s">
        <v>13</v>
      </c>
      <c r="C1105" s="1">
        <v>0.115</v>
      </c>
    </row>
    <row r="1106" spans="1:3" x14ac:dyDescent="0.25">
      <c r="A1106" t="s">
        <v>1189</v>
      </c>
      <c r="B1106" t="s">
        <v>13</v>
      </c>
      <c r="C1106" s="1">
        <v>0.115</v>
      </c>
    </row>
    <row r="1107" spans="1:3" x14ac:dyDescent="0.25">
      <c r="A1107" t="s">
        <v>1198</v>
      </c>
      <c r="B1107" t="s">
        <v>156</v>
      </c>
      <c r="C1107" s="1">
        <v>0.16500000000000001</v>
      </c>
    </row>
    <row r="1108" spans="1:3" x14ac:dyDescent="0.25">
      <c r="A1108" t="s">
        <v>1201</v>
      </c>
      <c r="B1108" t="s">
        <v>156</v>
      </c>
      <c r="C1108" s="1">
        <v>0.16500000000000001</v>
      </c>
    </row>
    <row r="1109" spans="1:3" x14ac:dyDescent="0.25">
      <c r="A1109" t="s">
        <v>1193</v>
      </c>
      <c r="B1109" t="s">
        <v>13</v>
      </c>
      <c r="C1109" s="1">
        <v>0.115</v>
      </c>
    </row>
    <row r="1110" spans="1:3" x14ac:dyDescent="0.25">
      <c r="A1110" t="s">
        <v>1200</v>
      </c>
      <c r="B1110" t="s">
        <v>13</v>
      </c>
      <c r="C1110" s="1">
        <v>0.115</v>
      </c>
    </row>
    <row r="1111" spans="1:3" x14ac:dyDescent="0.25">
      <c r="A1111" t="s">
        <v>1194</v>
      </c>
      <c r="B1111" t="s">
        <v>13</v>
      </c>
      <c r="C1111" s="1">
        <v>0.115</v>
      </c>
    </row>
    <row r="1112" spans="1:3" x14ac:dyDescent="0.25">
      <c r="A1112" t="s">
        <v>1202</v>
      </c>
      <c r="B1112" t="s">
        <v>13</v>
      </c>
      <c r="C1112" s="1">
        <v>0.115</v>
      </c>
    </row>
    <row r="1113" spans="1:3" x14ac:dyDescent="0.25">
      <c r="A1113" t="s">
        <v>1204</v>
      </c>
      <c r="B1113" t="s">
        <v>156</v>
      </c>
      <c r="C1113" s="1">
        <v>0.16500000000000001</v>
      </c>
    </row>
    <row r="1114" spans="1:3" x14ac:dyDescent="0.25">
      <c r="A1114" t="s">
        <v>1203</v>
      </c>
      <c r="B1114" t="s">
        <v>13</v>
      </c>
      <c r="C1114" s="1">
        <v>0.115</v>
      </c>
    </row>
    <row r="1115" spans="1:3" x14ac:dyDescent="0.25">
      <c r="A1115" t="s">
        <v>4686</v>
      </c>
      <c r="B1115" t="s">
        <v>13</v>
      </c>
      <c r="C1115" s="1">
        <v>0.115</v>
      </c>
    </row>
    <row r="1116" spans="1:3" x14ac:dyDescent="0.25">
      <c r="A1116" t="s">
        <v>4687</v>
      </c>
      <c r="B1116" t="s">
        <v>13</v>
      </c>
      <c r="C1116" s="1">
        <v>0.115</v>
      </c>
    </row>
    <row r="1117" spans="1:3" x14ac:dyDescent="0.25">
      <c r="A1117" t="s">
        <v>4713</v>
      </c>
      <c r="B1117" t="s">
        <v>13</v>
      </c>
      <c r="C1117" s="1">
        <v>0.115</v>
      </c>
    </row>
    <row r="1118" spans="1:3" x14ac:dyDescent="0.25">
      <c r="A1118" t="s">
        <v>4714</v>
      </c>
      <c r="B1118" t="s">
        <v>13</v>
      </c>
      <c r="C1118" s="1">
        <v>0.115</v>
      </c>
    </row>
    <row r="1119" spans="1:3" x14ac:dyDescent="0.25">
      <c r="A1119" t="s">
        <v>4706</v>
      </c>
      <c r="B1119" t="s">
        <v>156</v>
      </c>
      <c r="C1119" s="1">
        <v>0.16500000000000001</v>
      </c>
    </row>
    <row r="1120" spans="1:3" x14ac:dyDescent="0.25">
      <c r="A1120" t="s">
        <v>4691</v>
      </c>
      <c r="B1120" t="s">
        <v>13</v>
      </c>
      <c r="C1120" s="1">
        <v>0.115</v>
      </c>
    </row>
    <row r="1121" spans="1:3" x14ac:dyDescent="0.25">
      <c r="A1121" t="s">
        <v>4696</v>
      </c>
      <c r="B1121" t="s">
        <v>156</v>
      </c>
      <c r="C1121" s="1">
        <v>0.16500000000000001</v>
      </c>
    </row>
    <row r="1122" spans="1:3" x14ac:dyDescent="0.25">
      <c r="A1122" t="s">
        <v>4689</v>
      </c>
      <c r="B1122" t="s">
        <v>156</v>
      </c>
      <c r="C1122" s="1">
        <v>0.16500000000000001</v>
      </c>
    </row>
    <row r="1123" spans="1:3" x14ac:dyDescent="0.25">
      <c r="A1123" t="s">
        <v>4690</v>
      </c>
      <c r="B1123" t="s">
        <v>13</v>
      </c>
      <c r="C1123" s="1">
        <v>0.115</v>
      </c>
    </row>
    <row r="1124" spans="1:3" x14ac:dyDescent="0.25">
      <c r="A1124" t="s">
        <v>4697</v>
      </c>
      <c r="B1124" t="s">
        <v>13</v>
      </c>
      <c r="C1124" s="1">
        <v>0.115</v>
      </c>
    </row>
    <row r="1125" spans="1:3" x14ac:dyDescent="0.25">
      <c r="A1125" t="s">
        <v>4716</v>
      </c>
      <c r="B1125" t="s">
        <v>156</v>
      </c>
      <c r="C1125" s="1">
        <v>0.16500000000000001</v>
      </c>
    </row>
    <row r="1126" spans="1:3" x14ac:dyDescent="0.25">
      <c r="A1126" t="s">
        <v>4698</v>
      </c>
      <c r="B1126" t="s">
        <v>13</v>
      </c>
      <c r="C1126" s="1">
        <v>0.115</v>
      </c>
    </row>
    <row r="1127" spans="1:3" x14ac:dyDescent="0.25">
      <c r="A1127" t="s">
        <v>4699</v>
      </c>
      <c r="B1127" t="s">
        <v>156</v>
      </c>
      <c r="C1127" s="1">
        <v>0.16500000000000001</v>
      </c>
    </row>
    <row r="1128" spans="1:3" x14ac:dyDescent="0.25">
      <c r="A1128" t="s">
        <v>4715</v>
      </c>
      <c r="B1128" t="s">
        <v>156</v>
      </c>
      <c r="C1128" s="1">
        <v>0.16500000000000001</v>
      </c>
    </row>
    <row r="1129" spans="1:3" x14ac:dyDescent="0.25">
      <c r="A1129" t="s">
        <v>4692</v>
      </c>
      <c r="B1129" t="s">
        <v>13</v>
      </c>
      <c r="C1129" s="1">
        <v>0.115</v>
      </c>
    </row>
    <row r="1130" spans="1:3" x14ac:dyDescent="0.25">
      <c r="A1130" t="s">
        <v>4702</v>
      </c>
      <c r="B1130" t="s">
        <v>13</v>
      </c>
      <c r="C1130" s="1">
        <v>0.115</v>
      </c>
    </row>
    <row r="1131" spans="1:3" x14ac:dyDescent="0.25">
      <c r="A1131" t="s">
        <v>4700</v>
      </c>
      <c r="B1131" t="s">
        <v>13</v>
      </c>
      <c r="C1131" s="1">
        <v>0.115</v>
      </c>
    </row>
    <row r="1132" spans="1:3" x14ac:dyDescent="0.25">
      <c r="A1132" t="s">
        <v>4708</v>
      </c>
      <c r="B1132" t="s">
        <v>13</v>
      </c>
      <c r="C1132" s="1">
        <v>0.115</v>
      </c>
    </row>
    <row r="1133" spans="1:3" x14ac:dyDescent="0.25">
      <c r="A1133" t="s">
        <v>4717</v>
      </c>
      <c r="B1133" t="s">
        <v>156</v>
      </c>
      <c r="C1133" s="1">
        <v>0.16500000000000001</v>
      </c>
    </row>
    <row r="1134" spans="1:3" x14ac:dyDescent="0.25">
      <c r="A1134" t="s">
        <v>4710</v>
      </c>
      <c r="B1134" t="s">
        <v>13</v>
      </c>
      <c r="C1134" s="1">
        <v>0.115</v>
      </c>
    </row>
    <row r="1135" spans="1:3" x14ac:dyDescent="0.25">
      <c r="A1135" t="s">
        <v>4694</v>
      </c>
      <c r="B1135" t="s">
        <v>13</v>
      </c>
      <c r="C1135" s="1">
        <v>0.115</v>
      </c>
    </row>
    <row r="1136" spans="1:3" x14ac:dyDescent="0.25">
      <c r="A1136" t="s">
        <v>4704</v>
      </c>
      <c r="B1136" t="s">
        <v>13</v>
      </c>
      <c r="C1136" s="1">
        <v>0.115</v>
      </c>
    </row>
    <row r="1137" spans="1:3" x14ac:dyDescent="0.25">
      <c r="A1137" s="17" t="s">
        <v>102</v>
      </c>
      <c r="B1137" t="s">
        <v>13</v>
      </c>
      <c r="C1137" s="1">
        <v>0.115</v>
      </c>
    </row>
    <row r="1138" spans="1:3" x14ac:dyDescent="0.25">
      <c r="A1138" s="17" t="s">
        <v>26</v>
      </c>
      <c r="B1138" t="s">
        <v>13</v>
      </c>
      <c r="C1138" s="1">
        <v>0.115</v>
      </c>
    </row>
    <row r="1139" spans="1:3" x14ac:dyDescent="0.25">
      <c r="A1139" s="17" t="s">
        <v>198</v>
      </c>
      <c r="B1139" t="s">
        <v>156</v>
      </c>
      <c r="C1139" s="1">
        <v>0.16500000000000001</v>
      </c>
    </row>
    <row r="1140" spans="1:3" x14ac:dyDescent="0.25">
      <c r="A1140" s="17" t="s">
        <v>99</v>
      </c>
      <c r="B1140" t="s">
        <v>13</v>
      </c>
      <c r="C1140" s="1">
        <v>0.115</v>
      </c>
    </row>
    <row r="1141" spans="1:3" x14ac:dyDescent="0.25">
      <c r="A1141" s="17" t="s">
        <v>188</v>
      </c>
      <c r="B1141" t="s">
        <v>156</v>
      </c>
      <c r="C1141" s="1">
        <v>0.16500000000000001</v>
      </c>
    </row>
    <row r="1142" spans="1:3" x14ac:dyDescent="0.25">
      <c r="A1142" s="17" t="s">
        <v>104</v>
      </c>
      <c r="B1142" t="s">
        <v>13</v>
      </c>
      <c r="C1142" s="1">
        <v>0.115</v>
      </c>
    </row>
    <row r="1143" spans="1:3" x14ac:dyDescent="0.25">
      <c r="A1143" s="17" t="s">
        <v>236</v>
      </c>
      <c r="B1143" t="s">
        <v>156</v>
      </c>
      <c r="C1143" s="1">
        <v>0.16500000000000001</v>
      </c>
    </row>
    <row r="1144" spans="1:3" x14ac:dyDescent="0.25">
      <c r="A1144" s="17" t="s">
        <v>186</v>
      </c>
      <c r="B1144" t="s">
        <v>156</v>
      </c>
      <c r="C1144" s="1">
        <v>0.16500000000000001</v>
      </c>
    </row>
    <row r="1145" spans="1:3" x14ac:dyDescent="0.25">
      <c r="A1145" s="17" t="s">
        <v>30</v>
      </c>
      <c r="B1145" t="s">
        <v>13</v>
      </c>
      <c r="C1145" s="1">
        <v>0.115</v>
      </c>
    </row>
    <row r="1146" spans="1:3" x14ac:dyDescent="0.25">
      <c r="A1146" s="17" t="s">
        <v>172</v>
      </c>
      <c r="B1146" t="s">
        <v>156</v>
      </c>
      <c r="C1146" s="1">
        <v>0.16500000000000001</v>
      </c>
    </row>
    <row r="1147" spans="1:3" x14ac:dyDescent="0.25">
      <c r="A1147" s="17" t="s">
        <v>61</v>
      </c>
      <c r="B1147" t="s">
        <v>13</v>
      </c>
      <c r="C1147" s="1">
        <v>0.115</v>
      </c>
    </row>
    <row r="1148" spans="1:3" x14ac:dyDescent="0.25">
      <c r="A1148" s="17" t="s">
        <v>49</v>
      </c>
      <c r="B1148" t="s">
        <v>13</v>
      </c>
      <c r="C1148" s="1">
        <v>0.115</v>
      </c>
    </row>
    <row r="1149" spans="1:3" x14ac:dyDescent="0.25">
      <c r="A1149" s="17" t="s">
        <v>228</v>
      </c>
      <c r="B1149" t="s">
        <v>156</v>
      </c>
      <c r="C1149" s="1">
        <v>0.16500000000000001</v>
      </c>
    </row>
    <row r="1150" spans="1:3" x14ac:dyDescent="0.25">
      <c r="A1150" s="17" t="s">
        <v>191</v>
      </c>
      <c r="B1150" t="s">
        <v>156</v>
      </c>
      <c r="C1150" s="1">
        <v>0.16500000000000001</v>
      </c>
    </row>
    <row r="1151" spans="1:3" x14ac:dyDescent="0.25">
      <c r="A1151" s="17" t="s">
        <v>22</v>
      </c>
      <c r="B1151" t="s">
        <v>13</v>
      </c>
      <c r="C1151" s="1">
        <v>0.115</v>
      </c>
    </row>
    <row r="1152" spans="1:3" x14ac:dyDescent="0.25">
      <c r="A1152" s="17" t="s">
        <v>127</v>
      </c>
      <c r="B1152" t="s">
        <v>13</v>
      </c>
      <c r="C1152" s="1">
        <v>0.115</v>
      </c>
    </row>
    <row r="1153" spans="1:3" x14ac:dyDescent="0.25">
      <c r="A1153" s="17" t="s">
        <v>266</v>
      </c>
      <c r="B1153" t="s">
        <v>156</v>
      </c>
      <c r="C1153" s="1">
        <v>0.16500000000000001</v>
      </c>
    </row>
    <row r="1154" spans="1:3" x14ac:dyDescent="0.25">
      <c r="A1154" s="17" t="s">
        <v>249</v>
      </c>
      <c r="B1154" t="s">
        <v>156</v>
      </c>
      <c r="C1154" s="1">
        <v>0.16500000000000001</v>
      </c>
    </row>
    <row r="1155" spans="1:3" x14ac:dyDescent="0.25">
      <c r="A1155" s="17" t="s">
        <v>36</v>
      </c>
      <c r="B1155" t="s">
        <v>13</v>
      </c>
      <c r="C1155" s="1">
        <v>0.115</v>
      </c>
    </row>
    <row r="1156" spans="1:3" x14ac:dyDescent="0.25">
      <c r="A1156" s="17" t="s">
        <v>222</v>
      </c>
      <c r="B1156" t="s">
        <v>156</v>
      </c>
      <c r="C1156" s="1">
        <v>0.16500000000000001</v>
      </c>
    </row>
    <row r="1157" spans="1:3" x14ac:dyDescent="0.25">
      <c r="A1157" s="17" t="s">
        <v>70</v>
      </c>
      <c r="B1157" t="s">
        <v>13</v>
      </c>
      <c r="C1157" s="1">
        <v>0.115</v>
      </c>
    </row>
    <row r="1158" spans="1:3" x14ac:dyDescent="0.25">
      <c r="A1158" s="17" t="s">
        <v>162</v>
      </c>
      <c r="B1158" t="s">
        <v>156</v>
      </c>
      <c r="C1158" s="1">
        <v>0.16500000000000001</v>
      </c>
    </row>
    <row r="1159" spans="1:3" x14ac:dyDescent="0.25">
      <c r="A1159" s="17" t="s">
        <v>219</v>
      </c>
      <c r="B1159" t="s">
        <v>156</v>
      </c>
      <c r="C1159" s="1">
        <v>0.16500000000000001</v>
      </c>
    </row>
    <row r="1160" spans="1:3" x14ac:dyDescent="0.25">
      <c r="A1160" s="17" t="s">
        <v>133</v>
      </c>
      <c r="B1160" t="s">
        <v>13</v>
      </c>
      <c r="C1160" s="1">
        <v>0.115</v>
      </c>
    </row>
    <row r="1161" spans="1:3" x14ac:dyDescent="0.25">
      <c r="A1161" s="17" t="s">
        <v>264</v>
      </c>
      <c r="B1161" t="s">
        <v>156</v>
      </c>
      <c r="C1161" s="1">
        <v>0.16500000000000001</v>
      </c>
    </row>
    <row r="1162" spans="1:3" x14ac:dyDescent="0.25">
      <c r="A1162" s="17" t="s">
        <v>110</v>
      </c>
      <c r="B1162" t="s">
        <v>13</v>
      </c>
      <c r="C1162" s="1">
        <v>0.115</v>
      </c>
    </row>
    <row r="1163" spans="1:3" x14ac:dyDescent="0.25">
      <c r="A1163" s="17" t="s">
        <v>271</v>
      </c>
      <c r="B1163" t="s">
        <v>156</v>
      </c>
      <c r="C1163" s="1">
        <v>0.16500000000000001</v>
      </c>
    </row>
    <row r="1164" spans="1:3" x14ac:dyDescent="0.25">
      <c r="A1164" s="17" t="s">
        <v>124</v>
      </c>
      <c r="B1164" t="s">
        <v>13</v>
      </c>
      <c r="C1164" s="1">
        <v>0.115</v>
      </c>
    </row>
    <row r="1165" spans="1:3" x14ac:dyDescent="0.25">
      <c r="A1165" s="17" t="s">
        <v>39</v>
      </c>
      <c r="B1165" t="s">
        <v>13</v>
      </c>
      <c r="C1165" s="1">
        <v>0.115</v>
      </c>
    </row>
    <row r="1166" spans="1:3" x14ac:dyDescent="0.25">
      <c r="A1166" s="17" t="s">
        <v>37</v>
      </c>
      <c r="B1166" t="s">
        <v>13</v>
      </c>
      <c r="C1166" s="1">
        <v>0.115</v>
      </c>
    </row>
    <row r="1167" spans="1:3" x14ac:dyDescent="0.25">
      <c r="A1167" s="17" t="s">
        <v>217</v>
      </c>
      <c r="B1167" t="s">
        <v>156</v>
      </c>
      <c r="C1167" s="1">
        <v>0.16500000000000001</v>
      </c>
    </row>
    <row r="1168" spans="1:3" x14ac:dyDescent="0.25">
      <c r="A1168" s="17" t="s">
        <v>16</v>
      </c>
      <c r="B1168" t="s">
        <v>13</v>
      </c>
      <c r="C1168" s="1">
        <v>0.115</v>
      </c>
    </row>
    <row r="1169" spans="1:3" x14ac:dyDescent="0.25">
      <c r="A1169" s="17" t="s">
        <v>245</v>
      </c>
      <c r="B1169" t="s">
        <v>156</v>
      </c>
      <c r="C1169" s="1">
        <v>0.16500000000000001</v>
      </c>
    </row>
    <row r="1170" spans="1:3" x14ac:dyDescent="0.25">
      <c r="A1170" s="17" t="s">
        <v>189</v>
      </c>
      <c r="B1170" t="s">
        <v>156</v>
      </c>
      <c r="C1170" s="1">
        <v>0.16500000000000001</v>
      </c>
    </row>
    <row r="1171" spans="1:3" x14ac:dyDescent="0.25">
      <c r="A1171" s="17" t="s">
        <v>20</v>
      </c>
      <c r="B1171" t="s">
        <v>13</v>
      </c>
      <c r="C1171" s="1">
        <v>0.115</v>
      </c>
    </row>
    <row r="1172" spans="1:3" x14ac:dyDescent="0.25">
      <c r="A1172" s="17" t="s">
        <v>144</v>
      </c>
      <c r="B1172" t="s">
        <v>13</v>
      </c>
      <c r="C1172" s="1">
        <v>0.115</v>
      </c>
    </row>
    <row r="1173" spans="1:3" x14ac:dyDescent="0.25">
      <c r="A1173" s="17" t="s">
        <v>141</v>
      </c>
      <c r="B1173" t="s">
        <v>13</v>
      </c>
      <c r="C1173" s="1">
        <v>0.115</v>
      </c>
    </row>
    <row r="1174" spans="1:3" x14ac:dyDescent="0.25">
      <c r="A1174" s="17" t="s">
        <v>142</v>
      </c>
      <c r="B1174" t="s">
        <v>13</v>
      </c>
      <c r="C1174" s="1">
        <v>0.115</v>
      </c>
    </row>
    <row r="1175" spans="1:3" x14ac:dyDescent="0.25">
      <c r="A1175" s="17" t="s">
        <v>243</v>
      </c>
      <c r="B1175" t="s">
        <v>156</v>
      </c>
      <c r="C1175" s="1">
        <v>0.16500000000000001</v>
      </c>
    </row>
    <row r="1176" spans="1:3" x14ac:dyDescent="0.25">
      <c r="A1176" s="17" t="s">
        <v>71</v>
      </c>
      <c r="B1176" t="s">
        <v>13</v>
      </c>
      <c r="C1176" s="1">
        <v>0.115</v>
      </c>
    </row>
    <row r="1177" spans="1:3" x14ac:dyDescent="0.25">
      <c r="A1177" s="17" t="s">
        <v>25</v>
      </c>
      <c r="B1177" t="s">
        <v>13</v>
      </c>
      <c r="C1177" s="1">
        <v>0.115</v>
      </c>
    </row>
    <row r="1178" spans="1:3" x14ac:dyDescent="0.25">
      <c r="A1178" s="17" t="s">
        <v>28</v>
      </c>
      <c r="B1178" t="s">
        <v>13</v>
      </c>
      <c r="C1178" s="1">
        <v>0.115</v>
      </c>
    </row>
    <row r="1179" spans="1:3" x14ac:dyDescent="0.25">
      <c r="A1179" s="17" t="s">
        <v>27</v>
      </c>
      <c r="B1179" t="s">
        <v>13</v>
      </c>
      <c r="C1179" s="1">
        <v>0.115</v>
      </c>
    </row>
    <row r="1180" spans="1:3" x14ac:dyDescent="0.25">
      <c r="A1180" s="17" t="s">
        <v>185</v>
      </c>
      <c r="B1180" t="s">
        <v>156</v>
      </c>
      <c r="C1180" s="1">
        <v>0.16500000000000001</v>
      </c>
    </row>
    <row r="1181" spans="1:3" x14ac:dyDescent="0.25">
      <c r="A1181" s="17" t="s">
        <v>29</v>
      </c>
      <c r="B1181" t="s">
        <v>13</v>
      </c>
      <c r="C1181" s="1">
        <v>0.115</v>
      </c>
    </row>
    <row r="1182" spans="1:3" x14ac:dyDescent="0.25">
      <c r="A1182" s="17" t="s">
        <v>196</v>
      </c>
      <c r="B1182" t="s">
        <v>156</v>
      </c>
      <c r="C1182" s="1">
        <v>0.16500000000000001</v>
      </c>
    </row>
    <row r="1183" spans="1:3" x14ac:dyDescent="0.25">
      <c r="A1183" s="17" t="s">
        <v>1129</v>
      </c>
      <c r="B1183" t="s">
        <v>13</v>
      </c>
      <c r="C1183" s="1">
        <v>0.115</v>
      </c>
    </row>
    <row r="1184" spans="1:3" x14ac:dyDescent="0.25">
      <c r="A1184" s="17" t="s">
        <v>4738</v>
      </c>
      <c r="B1184" t="s">
        <v>156</v>
      </c>
      <c r="C1184" s="1">
        <v>0.16500000000000001</v>
      </c>
    </row>
    <row r="1185" spans="1:3" x14ac:dyDescent="0.25">
      <c r="A1185" s="17" t="s">
        <v>4739</v>
      </c>
      <c r="B1185" t="s">
        <v>13</v>
      </c>
      <c r="C1185" s="1">
        <v>0.115</v>
      </c>
    </row>
    <row r="1186" spans="1:3" x14ac:dyDescent="0.25">
      <c r="A1186" s="17" t="s">
        <v>4740</v>
      </c>
      <c r="B1186" t="s">
        <v>156</v>
      </c>
      <c r="C1186" s="1">
        <v>0.16500000000000001</v>
      </c>
    </row>
    <row r="1187" spans="1:3" x14ac:dyDescent="0.25">
      <c r="A1187" s="17" t="s">
        <v>4741</v>
      </c>
      <c r="B1187" t="s">
        <v>13</v>
      </c>
      <c r="C1187" s="1">
        <v>0.115</v>
      </c>
    </row>
    <row r="1188" spans="1:3" x14ac:dyDescent="0.25">
      <c r="A1188" s="17" t="s">
        <v>1131</v>
      </c>
      <c r="B1188" t="s">
        <v>156</v>
      </c>
      <c r="C1188" s="1">
        <v>0.16500000000000001</v>
      </c>
    </row>
    <row r="1189" spans="1:3" x14ac:dyDescent="0.25">
      <c r="A1189" s="17" t="s">
        <v>1132</v>
      </c>
      <c r="B1189" t="s">
        <v>156</v>
      </c>
      <c r="C1189" s="1">
        <v>0.16500000000000001</v>
      </c>
    </row>
    <row r="1190" spans="1:3" x14ac:dyDescent="0.25">
      <c r="A1190" s="17" t="s">
        <v>1133</v>
      </c>
      <c r="B1190" t="s">
        <v>13</v>
      </c>
      <c r="C1190" s="1">
        <v>0.115</v>
      </c>
    </row>
    <row r="1191" spans="1:3" x14ac:dyDescent="0.25">
      <c r="A1191" s="17" t="s">
        <v>1114</v>
      </c>
      <c r="B1191" t="s">
        <v>156</v>
      </c>
      <c r="C1191" s="1">
        <v>0.115</v>
      </c>
    </row>
    <row r="1192" spans="1:3" x14ac:dyDescent="0.25">
      <c r="A1192" s="17" t="s">
        <v>1195</v>
      </c>
      <c r="B1192" t="s">
        <v>156</v>
      </c>
      <c r="C1192" s="1">
        <v>0.16500000000000001</v>
      </c>
    </row>
    <row r="1193" spans="1:3" x14ac:dyDescent="0.25">
      <c r="A1193" s="17" t="s">
        <v>4742</v>
      </c>
      <c r="B1193" t="s">
        <v>13</v>
      </c>
      <c r="C1193" s="1">
        <v>0.115</v>
      </c>
    </row>
    <row r="1194" spans="1:3" x14ac:dyDescent="0.25">
      <c r="A1194" s="17" t="s">
        <v>4743</v>
      </c>
      <c r="B1194" t="s">
        <v>13</v>
      </c>
      <c r="C1194" s="1">
        <v>0.115</v>
      </c>
    </row>
    <row r="1195" spans="1:3" x14ac:dyDescent="0.25">
      <c r="A1195" s="17" t="s">
        <v>4744</v>
      </c>
      <c r="B1195" t="s">
        <v>13</v>
      </c>
      <c r="C1195" s="1">
        <v>0.115</v>
      </c>
    </row>
    <row r="1196" spans="1:3" x14ac:dyDescent="0.25">
      <c r="A1196" s="17" t="s">
        <v>1121</v>
      </c>
      <c r="B1196" t="s">
        <v>156</v>
      </c>
      <c r="C1196" s="1">
        <v>0.115</v>
      </c>
    </row>
    <row r="1197" spans="1:3" x14ac:dyDescent="0.25">
      <c r="A1197" s="17" t="s">
        <v>1122</v>
      </c>
      <c r="B1197" t="s">
        <v>156</v>
      </c>
      <c r="C1197" s="1">
        <v>0.16500000000000001</v>
      </c>
    </row>
    <row r="1198" spans="1:3" x14ac:dyDescent="0.25">
      <c r="A1198" s="17" t="s">
        <v>4745</v>
      </c>
      <c r="B1198" t="s">
        <v>156</v>
      </c>
      <c r="C1198" s="1">
        <v>0.16500000000000001</v>
      </c>
    </row>
    <row r="1199" spans="1:3" x14ac:dyDescent="0.25">
      <c r="A1199" s="17" t="s">
        <v>4746</v>
      </c>
      <c r="B1199" t="s">
        <v>13</v>
      </c>
      <c r="C1199" s="1">
        <v>0.115</v>
      </c>
    </row>
    <row r="1200" spans="1:3" x14ac:dyDescent="0.25">
      <c r="A1200" s="17" t="s">
        <v>1123</v>
      </c>
      <c r="B1200" t="s">
        <v>156</v>
      </c>
      <c r="C1200" s="1">
        <v>0.16500000000000001</v>
      </c>
    </row>
    <row r="1201" spans="1:3" x14ac:dyDescent="0.25">
      <c r="A1201" s="17" t="s">
        <v>4747</v>
      </c>
      <c r="B1201" t="s">
        <v>156</v>
      </c>
      <c r="C1201" s="1">
        <v>0.16500000000000001</v>
      </c>
    </row>
    <row r="1202" spans="1:3" x14ac:dyDescent="0.25">
      <c r="A1202" s="17" t="s">
        <v>4748</v>
      </c>
      <c r="B1202" t="s">
        <v>13</v>
      </c>
      <c r="C1202" s="1">
        <v>0.115</v>
      </c>
    </row>
    <row r="1203" spans="1:3" x14ac:dyDescent="0.25">
      <c r="A1203" s="17" t="s">
        <v>4749</v>
      </c>
      <c r="B1203" t="s">
        <v>156</v>
      </c>
      <c r="C1203" s="1">
        <v>0.16500000000000001</v>
      </c>
    </row>
    <row r="1204" spans="1:3" x14ac:dyDescent="0.25">
      <c r="A1204" s="17" t="s">
        <v>1134</v>
      </c>
      <c r="B1204" t="s">
        <v>13</v>
      </c>
      <c r="C1204" s="1">
        <v>0.115</v>
      </c>
    </row>
    <row r="1205" spans="1:3" x14ac:dyDescent="0.25">
      <c r="A1205" s="17" t="s">
        <v>4750</v>
      </c>
      <c r="B1205" t="s">
        <v>156</v>
      </c>
      <c r="C1205" s="1">
        <v>0.16500000000000001</v>
      </c>
    </row>
    <row r="1206" spans="1:3" x14ac:dyDescent="0.25">
      <c r="A1206" s="17" t="s">
        <v>4751</v>
      </c>
      <c r="B1206" t="s">
        <v>13</v>
      </c>
      <c r="C1206" s="1">
        <v>0.115</v>
      </c>
    </row>
    <row r="1207" spans="1:3" x14ac:dyDescent="0.25">
      <c r="A1207" s="17" t="s">
        <v>1124</v>
      </c>
      <c r="B1207" t="s">
        <v>13</v>
      </c>
      <c r="C1207" s="1">
        <v>0.115</v>
      </c>
    </row>
    <row r="1208" spans="1:3" x14ac:dyDescent="0.25">
      <c r="A1208" s="17" t="s">
        <v>1115</v>
      </c>
      <c r="B1208" t="s">
        <v>13</v>
      </c>
      <c r="C1208" s="1">
        <v>0.115</v>
      </c>
    </row>
    <row r="1209" spans="1:3" x14ac:dyDescent="0.25">
      <c r="A1209" s="17" t="s">
        <v>4752</v>
      </c>
      <c r="B1209" t="s">
        <v>156</v>
      </c>
      <c r="C1209" s="1">
        <v>0.16500000000000001</v>
      </c>
    </row>
    <row r="1210" spans="1:3" x14ac:dyDescent="0.25">
      <c r="A1210" s="17" t="s">
        <v>4753</v>
      </c>
      <c r="B1210" t="s">
        <v>13</v>
      </c>
      <c r="C1210" s="1">
        <v>0.115</v>
      </c>
    </row>
    <row r="1211" spans="1:3" x14ac:dyDescent="0.25">
      <c r="A1211" s="17" t="s">
        <v>4754</v>
      </c>
      <c r="B1211" t="s">
        <v>13</v>
      </c>
      <c r="C1211" s="1">
        <v>0.115</v>
      </c>
    </row>
    <row r="1212" spans="1:3" x14ac:dyDescent="0.25">
      <c r="A1212" s="17" t="s">
        <v>4755</v>
      </c>
      <c r="B1212" t="s">
        <v>156</v>
      </c>
      <c r="C1212" s="1">
        <v>0.16500000000000001</v>
      </c>
    </row>
    <row r="1213" spans="1:3" x14ac:dyDescent="0.25">
      <c r="A1213" s="17" t="s">
        <v>4756</v>
      </c>
      <c r="B1213" t="s">
        <v>13</v>
      </c>
      <c r="C1213" s="1">
        <v>0.115</v>
      </c>
    </row>
    <row r="1214" spans="1:3" x14ac:dyDescent="0.25">
      <c r="A1214" s="17" t="s">
        <v>4757</v>
      </c>
      <c r="B1214" t="s">
        <v>13</v>
      </c>
      <c r="C1214" s="1">
        <v>0.115</v>
      </c>
    </row>
    <row r="1215" spans="1:3" x14ac:dyDescent="0.25">
      <c r="A1215" s="17" t="s">
        <v>4758</v>
      </c>
      <c r="B1215" t="s">
        <v>156</v>
      </c>
      <c r="C1215" s="1">
        <v>0.16500000000000001</v>
      </c>
    </row>
    <row r="1216" spans="1:3" x14ac:dyDescent="0.25">
      <c r="A1216" s="17" t="s">
        <v>4759</v>
      </c>
      <c r="B1216" t="s">
        <v>13</v>
      </c>
      <c r="C1216" s="1">
        <v>0.115</v>
      </c>
    </row>
    <row r="1217" spans="1:3" x14ac:dyDescent="0.25">
      <c r="A1217" s="17" t="s">
        <v>1127</v>
      </c>
      <c r="B1217" t="s">
        <v>13</v>
      </c>
      <c r="C1217" s="1">
        <v>0.115</v>
      </c>
    </row>
    <row r="1218" spans="1:3" x14ac:dyDescent="0.25">
      <c r="A1218" s="17" t="s">
        <v>4760</v>
      </c>
      <c r="B1218" t="s">
        <v>156</v>
      </c>
      <c r="C1218" s="1">
        <v>0.16500000000000001</v>
      </c>
    </row>
    <row r="1219" spans="1:3" x14ac:dyDescent="0.25">
      <c r="A1219" s="17" t="s">
        <v>4729</v>
      </c>
      <c r="B1219" t="s">
        <v>156</v>
      </c>
      <c r="C1219" s="1">
        <v>0.16500000000000001</v>
      </c>
    </row>
    <row r="1220" spans="1:3" x14ac:dyDescent="0.25">
      <c r="A1220" s="17" t="s">
        <v>4696</v>
      </c>
      <c r="B1220" t="s">
        <v>156</v>
      </c>
      <c r="C1220" s="1">
        <v>0.16500000000000001</v>
      </c>
    </row>
    <row r="1221" spans="1:3" x14ac:dyDescent="0.25">
      <c r="A1221" s="17" t="s">
        <v>4723</v>
      </c>
      <c r="B1221" t="s">
        <v>156</v>
      </c>
      <c r="C1221" s="1">
        <v>0.16500000000000001</v>
      </c>
    </row>
    <row r="1222" spans="1:3" x14ac:dyDescent="0.25">
      <c r="A1222" s="17" t="s">
        <v>1196</v>
      </c>
      <c r="B1222" t="s">
        <v>13</v>
      </c>
      <c r="C1222" s="1">
        <v>0.115</v>
      </c>
    </row>
    <row r="1223" spans="1:3" x14ac:dyDescent="0.25">
      <c r="A1223" s="17" t="s">
        <v>4728</v>
      </c>
      <c r="B1223" t="s">
        <v>156</v>
      </c>
      <c r="C1223" s="1">
        <v>0.16500000000000001</v>
      </c>
    </row>
    <row r="1224" spans="1:3" x14ac:dyDescent="0.25">
      <c r="A1224" s="17" t="s">
        <v>1192</v>
      </c>
      <c r="B1224" t="s">
        <v>13</v>
      </c>
      <c r="C1224" s="1">
        <v>0.115</v>
      </c>
    </row>
    <row r="1225" spans="1:3" x14ac:dyDescent="0.25">
      <c r="A1225" s="17" t="s">
        <v>4722</v>
      </c>
      <c r="B1225" t="s">
        <v>156</v>
      </c>
      <c r="C1225" s="1">
        <v>0.16500000000000001</v>
      </c>
    </row>
    <row r="1226" spans="1:3" x14ac:dyDescent="0.25">
      <c r="A1226" s="17" t="s">
        <v>4761</v>
      </c>
      <c r="B1226" t="s">
        <v>156</v>
      </c>
      <c r="C1226" s="1">
        <v>0.16500000000000001</v>
      </c>
    </row>
    <row r="1227" spans="1:3" x14ac:dyDescent="0.25">
      <c r="A1227" s="17" t="s">
        <v>4762</v>
      </c>
      <c r="B1227" t="s">
        <v>13</v>
      </c>
      <c r="C1227" s="1">
        <v>0.115</v>
      </c>
    </row>
    <row r="1228" spans="1:3" x14ac:dyDescent="0.25">
      <c r="A1228" s="17" t="s">
        <v>235</v>
      </c>
      <c r="B1228" t="s">
        <v>156</v>
      </c>
      <c r="C1228" s="1">
        <v>0.16500000000000001</v>
      </c>
    </row>
    <row r="1229" spans="1:3" x14ac:dyDescent="0.25">
      <c r="A1229" s="17" t="s">
        <v>4763</v>
      </c>
      <c r="B1229" t="s">
        <v>13</v>
      </c>
      <c r="C1229" s="1">
        <v>0.115</v>
      </c>
    </row>
    <row r="1230" spans="1:3" x14ac:dyDescent="0.25">
      <c r="A1230" s="17" t="s">
        <v>4764</v>
      </c>
      <c r="B1230" t="s">
        <v>156</v>
      </c>
      <c r="C1230" s="1">
        <v>0.16500000000000001</v>
      </c>
    </row>
    <row r="1231" spans="1:3" x14ac:dyDescent="0.25">
      <c r="A1231" s="17" t="s">
        <v>229</v>
      </c>
      <c r="B1231" t="s">
        <v>156</v>
      </c>
      <c r="C1231" s="1">
        <v>0.16500000000000001</v>
      </c>
    </row>
    <row r="1232" spans="1:3" x14ac:dyDescent="0.25">
      <c r="A1232" s="17" t="s">
        <v>18</v>
      </c>
      <c r="B1232" t="s">
        <v>13</v>
      </c>
      <c r="C1232" s="1">
        <v>0.115</v>
      </c>
    </row>
    <row r="1233" spans="1:3" x14ac:dyDescent="0.25">
      <c r="A1233" s="17" t="s">
        <v>231</v>
      </c>
      <c r="B1233" t="s">
        <v>156</v>
      </c>
      <c r="C1233" s="1">
        <v>0.16500000000000001</v>
      </c>
    </row>
    <row r="1234" spans="1:3" x14ac:dyDescent="0.25">
      <c r="A1234" s="17" t="s">
        <v>123</v>
      </c>
      <c r="B1234" t="s">
        <v>13</v>
      </c>
      <c r="C1234" s="1">
        <v>0.115</v>
      </c>
    </row>
    <row r="1235" spans="1:3" x14ac:dyDescent="0.25">
      <c r="A1235" s="17" t="s">
        <v>238</v>
      </c>
      <c r="B1235" t="s">
        <v>156</v>
      </c>
      <c r="C1235" s="1">
        <v>0.16500000000000001</v>
      </c>
    </row>
    <row r="1236" spans="1:3" x14ac:dyDescent="0.25">
      <c r="A1236" s="17" t="s">
        <v>165</v>
      </c>
      <c r="B1236" t="s">
        <v>156</v>
      </c>
      <c r="C1236" s="1">
        <v>0.16500000000000001</v>
      </c>
    </row>
    <row r="1237" spans="1:3" x14ac:dyDescent="0.25">
      <c r="A1237" s="17" t="s">
        <v>43</v>
      </c>
      <c r="B1237" t="s">
        <v>13</v>
      </c>
      <c r="C1237" s="1">
        <v>0.115</v>
      </c>
    </row>
    <row r="1238" spans="1:3" x14ac:dyDescent="0.25">
      <c r="A1238" s="17" t="s">
        <v>214</v>
      </c>
      <c r="B1238" t="s">
        <v>156</v>
      </c>
      <c r="C1238" s="1">
        <v>0.16500000000000001</v>
      </c>
    </row>
    <row r="1239" spans="1:3" x14ac:dyDescent="0.25">
      <c r="A1239" s="17" t="s">
        <v>63</v>
      </c>
      <c r="B1239" t="s">
        <v>13</v>
      </c>
      <c r="C1239" s="1">
        <v>0.115</v>
      </c>
    </row>
    <row r="1240" spans="1:3" x14ac:dyDescent="0.25">
      <c r="A1240" s="17" t="s">
        <v>210</v>
      </c>
      <c r="B1240" t="s">
        <v>156</v>
      </c>
      <c r="C1240" s="1">
        <v>0.16500000000000001</v>
      </c>
    </row>
    <row r="1241" spans="1:3" x14ac:dyDescent="0.25">
      <c r="A1241" s="17" t="s">
        <v>194</v>
      </c>
      <c r="B1241" t="s">
        <v>156</v>
      </c>
      <c r="C1241" s="1">
        <v>0.16500000000000001</v>
      </c>
    </row>
    <row r="1242" spans="1:3" x14ac:dyDescent="0.25">
      <c r="A1242" s="17" t="s">
        <v>15</v>
      </c>
      <c r="B1242" t="s">
        <v>13</v>
      </c>
      <c r="C1242" s="1">
        <v>0.115</v>
      </c>
    </row>
    <row r="1243" spans="1:3" x14ac:dyDescent="0.25">
      <c r="A1243" s="17" t="s">
        <v>211</v>
      </c>
      <c r="B1243" t="s">
        <v>156</v>
      </c>
      <c r="C1243" s="1">
        <v>0.16500000000000001</v>
      </c>
    </row>
    <row r="1244" spans="1:3" x14ac:dyDescent="0.25">
      <c r="A1244" s="17" t="s">
        <v>103</v>
      </c>
      <c r="B1244" t="s">
        <v>13</v>
      </c>
      <c r="C1244" s="1">
        <v>0.115</v>
      </c>
    </row>
    <row r="1245" spans="1:3" x14ac:dyDescent="0.25">
      <c r="A1245" s="17" t="s">
        <v>47</v>
      </c>
      <c r="B1245" t="s">
        <v>13</v>
      </c>
      <c r="C1245" s="1">
        <v>0.115</v>
      </c>
    </row>
    <row r="1246" spans="1:3" x14ac:dyDescent="0.25">
      <c r="A1246" s="17" t="s">
        <v>242</v>
      </c>
      <c r="B1246" t="s">
        <v>156</v>
      </c>
      <c r="C1246" s="1">
        <v>0.16500000000000001</v>
      </c>
    </row>
    <row r="1247" spans="1:3" x14ac:dyDescent="0.25">
      <c r="A1247" s="17" t="s">
        <v>122</v>
      </c>
      <c r="B1247" t="s">
        <v>13</v>
      </c>
      <c r="C1247" s="1">
        <v>0.115</v>
      </c>
    </row>
    <row r="1248" spans="1:3" x14ac:dyDescent="0.25">
      <c r="A1248" s="17" t="s">
        <v>278</v>
      </c>
      <c r="B1248" t="s">
        <v>156</v>
      </c>
      <c r="C1248" s="1">
        <v>0.16500000000000001</v>
      </c>
    </row>
    <row r="1249" spans="1:3" x14ac:dyDescent="0.25">
      <c r="A1249" s="17" t="s">
        <v>41</v>
      </c>
      <c r="B1249" t="s">
        <v>13</v>
      </c>
      <c r="C1249" s="1">
        <v>0.115</v>
      </c>
    </row>
    <row r="1250" spans="1:3" x14ac:dyDescent="0.25">
      <c r="A1250" s="17" t="s">
        <v>69</v>
      </c>
      <c r="B1250" t="s">
        <v>13</v>
      </c>
      <c r="C1250" s="1">
        <v>0.115</v>
      </c>
    </row>
    <row r="1251" spans="1:3" x14ac:dyDescent="0.25">
      <c r="A1251" s="17" t="s">
        <v>159</v>
      </c>
      <c r="B1251" t="s">
        <v>156</v>
      </c>
      <c r="C1251" s="1">
        <v>0.16500000000000001</v>
      </c>
    </row>
    <row r="1252" spans="1:3" x14ac:dyDescent="0.25">
      <c r="A1252" s="17" t="s">
        <v>252</v>
      </c>
      <c r="B1252" t="s">
        <v>156</v>
      </c>
      <c r="C1252" s="1">
        <v>0.16500000000000001</v>
      </c>
    </row>
    <row r="1253" spans="1:3" x14ac:dyDescent="0.25">
      <c r="A1253" s="17" t="s">
        <v>208</v>
      </c>
      <c r="B1253" t="s">
        <v>156</v>
      </c>
      <c r="C1253" s="1">
        <v>0.16500000000000001</v>
      </c>
    </row>
    <row r="1254" spans="1:3" x14ac:dyDescent="0.25">
      <c r="A1254" s="17" t="s">
        <v>253</v>
      </c>
      <c r="B1254" t="s">
        <v>156</v>
      </c>
      <c r="C1254" s="1">
        <v>0.16500000000000001</v>
      </c>
    </row>
    <row r="1255" spans="1:3" x14ac:dyDescent="0.25">
      <c r="A1255" s="17" t="s">
        <v>203</v>
      </c>
      <c r="B1255" t="s">
        <v>156</v>
      </c>
      <c r="C1255" s="1">
        <v>0.16500000000000001</v>
      </c>
    </row>
    <row r="1256" spans="1:3" x14ac:dyDescent="0.25">
      <c r="A1256" s="17" t="s">
        <v>113</v>
      </c>
      <c r="B1256" t="s">
        <v>13</v>
      </c>
      <c r="C1256" s="1">
        <v>0.115</v>
      </c>
    </row>
    <row r="1257" spans="1:3" x14ac:dyDescent="0.25">
      <c r="A1257" s="17" t="s">
        <v>44</v>
      </c>
      <c r="B1257" t="s">
        <v>13</v>
      </c>
      <c r="C1257" s="1">
        <v>0.115</v>
      </c>
    </row>
    <row r="1258" spans="1:3" x14ac:dyDescent="0.25">
      <c r="A1258" s="17" t="s">
        <v>59</v>
      </c>
      <c r="B1258" t="s">
        <v>13</v>
      </c>
      <c r="C1258" s="1">
        <v>0.115</v>
      </c>
    </row>
    <row r="1259" spans="1:3" x14ac:dyDescent="0.25">
      <c r="A1259" s="17" t="s">
        <v>57</v>
      </c>
      <c r="B1259" t="s">
        <v>13</v>
      </c>
      <c r="C1259" s="1">
        <v>0.115</v>
      </c>
    </row>
    <row r="1260" spans="1:3" x14ac:dyDescent="0.25">
      <c r="A1260" s="17" t="s">
        <v>206</v>
      </c>
      <c r="B1260" t="s">
        <v>156</v>
      </c>
      <c r="C1260" s="1">
        <v>0.16500000000000001</v>
      </c>
    </row>
    <row r="1261" spans="1:3" x14ac:dyDescent="0.25">
      <c r="A1261" s="17" t="s">
        <v>218</v>
      </c>
      <c r="B1261" t="s">
        <v>156</v>
      </c>
      <c r="C1261" s="1">
        <v>0.16500000000000001</v>
      </c>
    </row>
    <row r="1262" spans="1:3" x14ac:dyDescent="0.25">
      <c r="A1262" s="17" t="s">
        <v>202</v>
      </c>
      <c r="B1262" t="s">
        <v>156</v>
      </c>
      <c r="C1262" s="1">
        <v>0.16500000000000001</v>
      </c>
    </row>
    <row r="1263" spans="1:3" x14ac:dyDescent="0.25">
      <c r="A1263" s="17" t="s">
        <v>55</v>
      </c>
      <c r="B1263" t="s">
        <v>13</v>
      </c>
      <c r="C1263" s="1">
        <v>0.115</v>
      </c>
    </row>
    <row r="1264" spans="1:3" x14ac:dyDescent="0.25">
      <c r="A1264" s="17" t="s">
        <v>75</v>
      </c>
      <c r="B1264" t="s">
        <v>13</v>
      </c>
      <c r="C1264" s="1">
        <v>0.115</v>
      </c>
    </row>
    <row r="1265" spans="1:3" x14ac:dyDescent="0.25">
      <c r="A1265" s="17" t="s">
        <v>205</v>
      </c>
      <c r="B1265" t="s">
        <v>156</v>
      </c>
      <c r="C1265" s="1">
        <v>0.16500000000000001</v>
      </c>
    </row>
    <row r="1266" spans="1:3" x14ac:dyDescent="0.25">
      <c r="A1266" s="17" t="s">
        <v>166</v>
      </c>
      <c r="B1266" t="s">
        <v>156</v>
      </c>
      <c r="C1266" s="1">
        <v>0.16500000000000001</v>
      </c>
    </row>
    <row r="1267" spans="1:3" x14ac:dyDescent="0.25">
      <c r="A1267" s="17" t="s">
        <v>221</v>
      </c>
      <c r="B1267" t="s">
        <v>156</v>
      </c>
      <c r="C1267" s="1">
        <v>0.16500000000000001</v>
      </c>
    </row>
    <row r="1268" spans="1:3" x14ac:dyDescent="0.25">
      <c r="A1268" s="17" t="s">
        <v>182</v>
      </c>
      <c r="B1268" t="s">
        <v>156</v>
      </c>
      <c r="C1268" s="1">
        <v>0.16500000000000001</v>
      </c>
    </row>
    <row r="1269" spans="1:3" x14ac:dyDescent="0.25">
      <c r="A1269" s="17" t="s">
        <v>224</v>
      </c>
      <c r="B1269" t="s">
        <v>156</v>
      </c>
      <c r="C1269" s="1">
        <v>0.16500000000000001</v>
      </c>
    </row>
    <row r="1270" spans="1:3" x14ac:dyDescent="0.25">
      <c r="A1270" s="17" t="s">
        <v>85</v>
      </c>
      <c r="B1270" t="s">
        <v>13</v>
      </c>
      <c r="C1270" s="1">
        <v>0.115</v>
      </c>
    </row>
    <row r="1271" spans="1:3" x14ac:dyDescent="0.25">
      <c r="A1271" s="17" t="s">
        <v>114</v>
      </c>
      <c r="B1271" t="s">
        <v>13</v>
      </c>
      <c r="C1271" s="1">
        <v>0.115</v>
      </c>
    </row>
    <row r="1272" spans="1:3" x14ac:dyDescent="0.25">
      <c r="A1272" s="17" t="s">
        <v>34</v>
      </c>
      <c r="B1272" t="s">
        <v>13</v>
      </c>
      <c r="C1272" s="1">
        <v>0.115</v>
      </c>
    </row>
    <row r="1273" spans="1:3" x14ac:dyDescent="0.25">
      <c r="A1273" s="17" t="s">
        <v>4765</v>
      </c>
      <c r="B1273" t="s">
        <v>156</v>
      </c>
      <c r="C1273" s="1">
        <v>0.16500000000000001</v>
      </c>
    </row>
    <row r="1274" spans="1:3" x14ac:dyDescent="0.25">
      <c r="A1274" s="17" t="s">
        <v>4766</v>
      </c>
      <c r="B1274" t="s">
        <v>13</v>
      </c>
      <c r="C1274" s="1">
        <v>0.115</v>
      </c>
    </row>
    <row r="1275" spans="1:3" x14ac:dyDescent="0.25">
      <c r="A1275" s="17" t="s">
        <v>4767</v>
      </c>
      <c r="B1275" t="s">
        <v>13</v>
      </c>
      <c r="C1275" s="1">
        <v>0.115</v>
      </c>
    </row>
    <row r="1276" spans="1:3" x14ac:dyDescent="0.25">
      <c r="A1276" s="17" t="s">
        <v>4768</v>
      </c>
      <c r="B1276" t="s">
        <v>13</v>
      </c>
      <c r="C1276" s="1">
        <v>0.115</v>
      </c>
    </row>
    <row r="1277" spans="1:3" x14ac:dyDescent="0.25">
      <c r="A1277" s="17" t="s">
        <v>1193</v>
      </c>
      <c r="B1277" t="s">
        <v>13</v>
      </c>
      <c r="C1277" s="1">
        <v>0.115</v>
      </c>
    </row>
    <row r="1278" spans="1:3" x14ac:dyDescent="0.25">
      <c r="A1278" s="17" t="s">
        <v>4769</v>
      </c>
      <c r="B1278" t="s">
        <v>156</v>
      </c>
      <c r="C1278" s="1">
        <v>0.16500000000000001</v>
      </c>
    </row>
    <row r="1279" spans="1:3" x14ac:dyDescent="0.25">
      <c r="A1279" s="17" t="s">
        <v>1135</v>
      </c>
      <c r="B1279" t="s">
        <v>156</v>
      </c>
      <c r="C1279" s="1">
        <v>0.16500000000000001</v>
      </c>
    </row>
    <row r="1280" spans="1:3" x14ac:dyDescent="0.25">
      <c r="A1280" s="17" t="s">
        <v>4770</v>
      </c>
      <c r="B1280" t="s">
        <v>13</v>
      </c>
      <c r="C1280" s="1">
        <v>0.115</v>
      </c>
    </row>
    <row r="1281" spans="1:3" x14ac:dyDescent="0.25">
      <c r="A1281" s="17" t="s">
        <v>4771</v>
      </c>
      <c r="B1281" t="s">
        <v>13</v>
      </c>
      <c r="C1281" s="1">
        <v>0.115</v>
      </c>
    </row>
    <row r="1282" spans="1:3" x14ac:dyDescent="0.25">
      <c r="A1282" s="17" t="s">
        <v>4772</v>
      </c>
      <c r="B1282" t="s">
        <v>156</v>
      </c>
      <c r="C1282" s="1">
        <v>0.16500000000000001</v>
      </c>
    </row>
    <row r="1283" spans="1:3" x14ac:dyDescent="0.25">
      <c r="A1283" s="17" t="s">
        <v>1189</v>
      </c>
      <c r="B1283" t="s">
        <v>13</v>
      </c>
      <c r="C1283" s="1">
        <v>0.115</v>
      </c>
    </row>
    <row r="1284" spans="1:3" x14ac:dyDescent="0.25">
      <c r="A1284" s="17" t="s">
        <v>1118</v>
      </c>
      <c r="B1284" t="s">
        <v>156</v>
      </c>
      <c r="C1284" s="1">
        <v>0.115</v>
      </c>
    </row>
    <row r="1285" spans="1:3" x14ac:dyDescent="0.25">
      <c r="A1285" s="17" t="s">
        <v>1197</v>
      </c>
      <c r="B1285" t="s">
        <v>13</v>
      </c>
      <c r="C1285" s="1">
        <v>0.115</v>
      </c>
    </row>
    <row r="1286" spans="1:3" x14ac:dyDescent="0.25">
      <c r="A1286" s="17" t="s">
        <v>1136</v>
      </c>
      <c r="B1286" t="s">
        <v>156</v>
      </c>
      <c r="C1286" s="1">
        <v>0.16500000000000001</v>
      </c>
    </row>
    <row r="1287" spans="1:3" x14ac:dyDescent="0.25">
      <c r="A1287" s="17" t="s">
        <v>4773</v>
      </c>
      <c r="B1287" t="s">
        <v>13</v>
      </c>
      <c r="C1287" s="1">
        <v>0.115</v>
      </c>
    </row>
    <row r="1288" spans="1:3" x14ac:dyDescent="0.25">
      <c r="A1288" s="17" t="s">
        <v>4774</v>
      </c>
      <c r="B1288" t="s">
        <v>13</v>
      </c>
      <c r="C1288" s="1">
        <v>0.115</v>
      </c>
    </row>
    <row r="1289" spans="1:3" x14ac:dyDescent="0.25">
      <c r="A1289" s="17" t="s">
        <v>4775</v>
      </c>
      <c r="B1289" t="s">
        <v>13</v>
      </c>
      <c r="C1289" s="1">
        <v>0.115</v>
      </c>
    </row>
    <row r="1290" spans="1:3" x14ac:dyDescent="0.25">
      <c r="A1290" s="17" t="s">
        <v>4776</v>
      </c>
      <c r="B1290" t="s">
        <v>13</v>
      </c>
      <c r="C1290" s="1">
        <v>0.115</v>
      </c>
    </row>
    <row r="1291" spans="1:3" x14ac:dyDescent="0.25">
      <c r="A1291" s="17" t="s">
        <v>4777</v>
      </c>
      <c r="B1291" t="s">
        <v>13</v>
      </c>
      <c r="C1291" s="1">
        <v>0.115</v>
      </c>
    </row>
    <row r="1292" spans="1:3" x14ac:dyDescent="0.25">
      <c r="A1292" s="17" t="s">
        <v>1126</v>
      </c>
      <c r="B1292" t="s">
        <v>156</v>
      </c>
      <c r="C1292" s="1">
        <v>0.115</v>
      </c>
    </row>
    <row r="1293" spans="1:3" x14ac:dyDescent="0.25">
      <c r="A1293" s="17" t="s">
        <v>4778</v>
      </c>
      <c r="B1293" t="s">
        <v>156</v>
      </c>
      <c r="C1293" s="1">
        <v>0.16500000000000001</v>
      </c>
    </row>
    <row r="1294" spans="1:3" x14ac:dyDescent="0.25">
      <c r="A1294" s="17" t="s">
        <v>1128</v>
      </c>
      <c r="B1294" t="s">
        <v>156</v>
      </c>
      <c r="C1294" s="1">
        <v>0.16500000000000001</v>
      </c>
    </row>
    <row r="1295" spans="1:3" x14ac:dyDescent="0.25">
      <c r="A1295" s="17" t="s">
        <v>4779</v>
      </c>
      <c r="B1295" t="s">
        <v>13</v>
      </c>
      <c r="C1295" s="1">
        <v>0.115</v>
      </c>
    </row>
    <row r="1296" spans="1:3" x14ac:dyDescent="0.25">
      <c r="A1296" s="17" t="s">
        <v>1138</v>
      </c>
      <c r="B1296" t="s">
        <v>156</v>
      </c>
      <c r="C1296" s="1">
        <v>0.16500000000000001</v>
      </c>
    </row>
    <row r="1297" spans="1:3" x14ac:dyDescent="0.25">
      <c r="A1297" s="17" t="s">
        <v>4780</v>
      </c>
      <c r="B1297" t="s">
        <v>156</v>
      </c>
      <c r="C1297" s="1">
        <v>0.16500000000000001</v>
      </c>
    </row>
    <row r="1298" spans="1:3" x14ac:dyDescent="0.25">
      <c r="A1298" s="17" t="s">
        <v>4781</v>
      </c>
      <c r="B1298" t="s">
        <v>156</v>
      </c>
      <c r="C1298" s="1">
        <v>0.16500000000000001</v>
      </c>
    </row>
    <row r="1299" spans="1:3" x14ac:dyDescent="0.25">
      <c r="A1299" s="17" t="s">
        <v>1198</v>
      </c>
      <c r="B1299" t="s">
        <v>156</v>
      </c>
      <c r="C1299" s="1">
        <v>0.16500000000000001</v>
      </c>
    </row>
    <row r="1300" spans="1:3" x14ac:dyDescent="0.25">
      <c r="A1300" s="17" t="s">
        <v>4726</v>
      </c>
      <c r="B1300" t="s">
        <v>156</v>
      </c>
      <c r="C1300" s="1">
        <v>0.16500000000000001</v>
      </c>
    </row>
    <row r="1301" spans="1:3" x14ac:dyDescent="0.25">
      <c r="A1301" s="17" t="s">
        <v>1139</v>
      </c>
      <c r="B1301" t="s">
        <v>156</v>
      </c>
      <c r="C1301" s="1">
        <v>0.16500000000000001</v>
      </c>
    </row>
    <row r="1302" spans="1:3" x14ac:dyDescent="0.25">
      <c r="A1302" s="17" t="s">
        <v>4725</v>
      </c>
      <c r="B1302" t="s">
        <v>156</v>
      </c>
      <c r="C1302" s="1">
        <v>0.16500000000000001</v>
      </c>
    </row>
    <row r="1303" spans="1:3" x14ac:dyDescent="0.25">
      <c r="A1303" s="17" t="s">
        <v>4730</v>
      </c>
      <c r="B1303" t="s">
        <v>156</v>
      </c>
      <c r="C1303" s="1">
        <v>0.16500000000000001</v>
      </c>
    </row>
    <row r="1304" spans="1:3" x14ac:dyDescent="0.25">
      <c r="A1304" s="17" t="s">
        <v>4721</v>
      </c>
      <c r="B1304" t="s">
        <v>13</v>
      </c>
      <c r="C1304" s="1">
        <v>0.115</v>
      </c>
    </row>
    <row r="1305" spans="1:3" x14ac:dyDescent="0.25">
      <c r="A1305" s="17" t="s">
        <v>4782</v>
      </c>
      <c r="B1305" t="s">
        <v>13</v>
      </c>
      <c r="C1305" s="1">
        <v>0.115</v>
      </c>
    </row>
    <row r="1306" spans="1:3" x14ac:dyDescent="0.25">
      <c r="A1306" s="17" t="s">
        <v>4783</v>
      </c>
      <c r="B1306" t="s">
        <v>156</v>
      </c>
      <c r="C1306" s="1">
        <v>0.16500000000000001</v>
      </c>
    </row>
    <row r="1307" spans="1:3" x14ac:dyDescent="0.25">
      <c r="A1307" s="17" t="s">
        <v>4784</v>
      </c>
      <c r="B1307" t="s">
        <v>13</v>
      </c>
      <c r="C1307" s="1">
        <v>0.115</v>
      </c>
    </row>
    <row r="1308" spans="1:3" x14ac:dyDescent="0.25">
      <c r="A1308" s="17" t="s">
        <v>4785</v>
      </c>
      <c r="B1308" t="s">
        <v>156</v>
      </c>
      <c r="C1308" s="1">
        <v>0.16500000000000001</v>
      </c>
    </row>
    <row r="1309" spans="1:3" x14ac:dyDescent="0.25">
      <c r="A1309" s="17" t="s">
        <v>4786</v>
      </c>
      <c r="B1309" t="s">
        <v>13</v>
      </c>
      <c r="C1309" s="1">
        <v>0.115</v>
      </c>
    </row>
    <row r="1310" spans="1:3" x14ac:dyDescent="0.25">
      <c r="A1310" s="17" t="s">
        <v>4787</v>
      </c>
      <c r="B1310" t="s">
        <v>13</v>
      </c>
      <c r="C1310" s="1">
        <v>0.115</v>
      </c>
    </row>
    <row r="1311" spans="1:3" x14ac:dyDescent="0.25">
      <c r="A1311" s="17" t="s">
        <v>4788</v>
      </c>
      <c r="B1311" t="s">
        <v>156</v>
      </c>
      <c r="C1311" s="1">
        <v>0.16500000000000001</v>
      </c>
    </row>
    <row r="1312" spans="1:3" x14ac:dyDescent="0.25">
      <c r="A1312" s="17" t="s">
        <v>4789</v>
      </c>
      <c r="B1312" t="s">
        <v>13</v>
      </c>
      <c r="C1312" s="1">
        <v>0.115</v>
      </c>
    </row>
    <row r="1313" spans="1:3" x14ac:dyDescent="0.25">
      <c r="A1313" s="17" t="s">
        <v>4790</v>
      </c>
      <c r="B1313" t="s">
        <v>156</v>
      </c>
      <c r="C1313" s="1">
        <v>0.16500000000000001</v>
      </c>
    </row>
    <row r="1314" spans="1:3" x14ac:dyDescent="0.25">
      <c r="A1314" s="17" t="s">
        <v>4791</v>
      </c>
      <c r="B1314" t="s">
        <v>13</v>
      </c>
      <c r="C1314" s="1">
        <v>0.115</v>
      </c>
    </row>
    <row r="1315" spans="1:3" x14ac:dyDescent="0.25">
      <c r="A1315" s="17" t="s">
        <v>4792</v>
      </c>
      <c r="B1315" t="s">
        <v>156</v>
      </c>
      <c r="C1315" s="1">
        <v>0.16500000000000001</v>
      </c>
    </row>
    <row r="1316" spans="1:3" x14ac:dyDescent="0.25">
      <c r="A1316" s="17" t="s">
        <v>4793</v>
      </c>
      <c r="B1316" t="s">
        <v>156</v>
      </c>
      <c r="C1316" s="1">
        <v>0.16500000000000001</v>
      </c>
    </row>
    <row r="1317" spans="1:3" x14ac:dyDescent="0.25">
      <c r="A1317" s="17" t="s">
        <v>4724</v>
      </c>
      <c r="B1317" t="s">
        <v>156</v>
      </c>
      <c r="C1317" s="1">
        <v>0.16500000000000001</v>
      </c>
    </row>
    <row r="1318" spans="1:3" x14ac:dyDescent="0.25">
      <c r="A1318" s="17" t="s">
        <v>1201</v>
      </c>
      <c r="B1318" t="s">
        <v>156</v>
      </c>
      <c r="C1318" s="1">
        <v>0.16500000000000001</v>
      </c>
    </row>
    <row r="1319" spans="1:3" x14ac:dyDescent="0.25">
      <c r="A1319" s="17" t="s">
        <v>4794</v>
      </c>
      <c r="B1319" t="s">
        <v>13</v>
      </c>
      <c r="C1319" s="1">
        <v>0.115</v>
      </c>
    </row>
    <row r="1320" spans="1:3" x14ac:dyDescent="0.25">
      <c r="A1320" s="17" t="s">
        <v>4795</v>
      </c>
      <c r="B1320" t="s">
        <v>13</v>
      </c>
      <c r="C1320" s="1">
        <v>0.115</v>
      </c>
    </row>
    <row r="1321" spans="1:3" x14ac:dyDescent="0.25">
      <c r="A1321" s="17" t="s">
        <v>4796</v>
      </c>
      <c r="B1321" t="s">
        <v>156</v>
      </c>
      <c r="C1321" s="1">
        <v>0.16500000000000001</v>
      </c>
    </row>
    <row r="1322" spans="1:3" x14ac:dyDescent="0.25">
      <c r="A1322" s="17" t="s">
        <v>4797</v>
      </c>
      <c r="B1322" t="s">
        <v>13</v>
      </c>
      <c r="C1322" s="1">
        <v>0.115</v>
      </c>
    </row>
    <row r="1323" spans="1:3" x14ac:dyDescent="0.25">
      <c r="A1323" s="17" t="s">
        <v>4798</v>
      </c>
      <c r="B1323" t="s">
        <v>156</v>
      </c>
      <c r="C1323" s="1">
        <v>0.16500000000000001</v>
      </c>
    </row>
  </sheetData>
  <autoFilter ref="A1:C1066" xr:uid="{494A5E49-E5A5-45AD-BF57-B070DDBF976C}"/>
  <conditionalFormatting sqref="A1:A1048576">
    <cfRule type="duplicateValues" dxfId="4" priority="1"/>
    <cfRule type="duplicateValues" dxfId="3" priority="2"/>
    <cfRule type="duplicateValues" dxfId="2" priority="3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FCA3-7CC8-46DD-8E77-2539B722762D}">
  <dimension ref="A1:K253"/>
  <sheetViews>
    <sheetView topLeftCell="A2" workbookViewId="0">
      <selection activeCell="C6" sqref="C6"/>
    </sheetView>
  </sheetViews>
  <sheetFormatPr defaultRowHeight="15" x14ac:dyDescent="0.25"/>
  <cols>
    <col min="1" max="1" width="35.140625" style="5" customWidth="1"/>
    <col min="2" max="2" width="31.28515625" style="5" customWidth="1"/>
    <col min="3" max="5" width="23.42578125" style="5" customWidth="1"/>
    <col min="6" max="6" width="25.42578125" style="5" customWidth="1"/>
    <col min="7" max="7" width="23.42578125" style="5" customWidth="1"/>
    <col min="8" max="8" width="29.28515625" style="5" customWidth="1"/>
    <col min="9" max="9" width="33.140625" style="5" customWidth="1"/>
    <col min="10" max="10" width="107.42578125" style="5" hidden="1" customWidth="1"/>
    <col min="11" max="11" width="0" style="5" hidden="1" customWidth="1"/>
    <col min="12" max="16384" width="9.140625" style="5"/>
  </cols>
  <sheetData>
    <row r="1" spans="1:11" ht="0" hidden="1" customHeight="1" x14ac:dyDescent="0.25">
      <c r="A1" s="7" t="s">
        <v>1140</v>
      </c>
      <c r="B1" s="7" t="s">
        <v>1082</v>
      </c>
      <c r="C1" s="7" t="s">
        <v>1</v>
      </c>
      <c r="D1" s="7" t="s">
        <v>1083</v>
      </c>
      <c r="E1" s="7" t="s">
        <v>1084</v>
      </c>
      <c r="F1" s="7" t="s">
        <v>1085</v>
      </c>
      <c r="G1" s="7" t="s">
        <v>1086</v>
      </c>
      <c r="H1" s="7" t="s">
        <v>1087</v>
      </c>
      <c r="I1" s="7" t="s">
        <v>1088</v>
      </c>
      <c r="J1" s="7" t="s">
        <v>1089</v>
      </c>
      <c r="K1" s="7" t="s">
        <v>1090</v>
      </c>
    </row>
    <row r="2" spans="1:11" ht="38.1" customHeight="1" x14ac:dyDescent="0.25">
      <c r="A2" s="25" t="s">
        <v>1206</v>
      </c>
      <c r="B2" s="25" t="s">
        <v>1207</v>
      </c>
      <c r="C2" s="25" t="s">
        <v>1208</v>
      </c>
      <c r="D2" s="25" t="s">
        <v>1209</v>
      </c>
      <c r="E2" s="21" t="s">
        <v>1210</v>
      </c>
      <c r="F2" s="21" t="s">
        <v>1091</v>
      </c>
      <c r="G2" s="21" t="s">
        <v>1211</v>
      </c>
      <c r="H2" s="25" t="s">
        <v>1212</v>
      </c>
      <c r="I2" s="24" t="s">
        <v>1213</v>
      </c>
      <c r="J2" s="22" t="s">
        <v>1214</v>
      </c>
      <c r="K2" s="18" t="s">
        <v>1092</v>
      </c>
    </row>
    <row r="3" spans="1:11" ht="24.95" customHeight="1" x14ac:dyDescent="0.25">
      <c r="A3" s="25" t="s">
        <v>1092</v>
      </c>
      <c r="B3" s="25" t="s">
        <v>1092</v>
      </c>
      <c r="C3" s="25" t="s">
        <v>1092</v>
      </c>
      <c r="D3" s="25" t="s">
        <v>1092</v>
      </c>
      <c r="E3" s="21" t="s">
        <v>1092</v>
      </c>
      <c r="F3" s="21" t="s">
        <v>1092</v>
      </c>
      <c r="G3" s="21" t="s">
        <v>1092</v>
      </c>
      <c r="H3" s="25" t="s">
        <v>1092</v>
      </c>
      <c r="I3" s="24" t="s">
        <v>1092</v>
      </c>
      <c r="J3" s="22" t="s">
        <v>1092</v>
      </c>
      <c r="K3" s="23" t="s">
        <v>1092</v>
      </c>
    </row>
    <row r="4" spans="1:11" ht="99.95" customHeight="1" x14ac:dyDescent="0.25">
      <c r="A4" s="18" t="s">
        <v>1215</v>
      </c>
      <c r="B4" s="18" t="s">
        <v>1215</v>
      </c>
      <c r="C4" s="18" t="s">
        <v>1215</v>
      </c>
      <c r="D4" s="18" t="s">
        <v>1215</v>
      </c>
      <c r="E4" s="18" t="s">
        <v>1215</v>
      </c>
      <c r="F4" s="18" t="s">
        <v>1215</v>
      </c>
      <c r="G4" s="18" t="s">
        <v>1215</v>
      </c>
      <c r="H4" s="20" t="s">
        <v>1216</v>
      </c>
      <c r="I4" s="18" t="s">
        <v>1092</v>
      </c>
      <c r="J4" s="8" t="s">
        <v>1092</v>
      </c>
      <c r="K4" s="18" t="s">
        <v>1092</v>
      </c>
    </row>
    <row r="5" spans="1:11" x14ac:dyDescent="0.25">
      <c r="A5" s="19"/>
      <c r="B5" s="19"/>
      <c r="C5" s="19"/>
      <c r="D5" s="19"/>
      <c r="E5" s="19"/>
      <c r="F5" s="19"/>
      <c r="G5" s="19"/>
      <c r="H5" s="19"/>
      <c r="I5" s="19"/>
      <c r="J5" s="8" t="s">
        <v>1092</v>
      </c>
      <c r="K5" s="19"/>
    </row>
    <row r="6" spans="1:11" ht="76.5" x14ac:dyDescent="0.25">
      <c r="A6" s="9" t="s">
        <v>4799</v>
      </c>
      <c r="B6" s="10" t="s">
        <v>519</v>
      </c>
      <c r="C6" s="10" t="s">
        <v>2941</v>
      </c>
      <c r="D6" s="10">
        <v>2995</v>
      </c>
      <c r="E6" s="10">
        <v>100.98</v>
      </c>
      <c r="F6" s="10">
        <v>34</v>
      </c>
      <c r="G6" s="10">
        <v>1985.2</v>
      </c>
      <c r="H6" s="11" t="s">
        <v>1093</v>
      </c>
      <c r="I6" s="12" t="s">
        <v>1094</v>
      </c>
      <c r="J6" s="13"/>
      <c r="K6" s="10" t="s">
        <v>4800</v>
      </c>
    </row>
    <row r="7" spans="1:11" ht="76.5" x14ac:dyDescent="0.25">
      <c r="A7" s="9" t="s">
        <v>4801</v>
      </c>
      <c r="B7" s="10" t="s">
        <v>349</v>
      </c>
      <c r="C7" s="10" t="s">
        <v>3459</v>
      </c>
      <c r="D7" s="10">
        <v>2732.9</v>
      </c>
      <c r="E7" s="10">
        <v>87.92</v>
      </c>
      <c r="F7" s="10">
        <v>60</v>
      </c>
      <c r="G7" s="10">
        <v>1099</v>
      </c>
      <c r="H7" s="11" t="s">
        <v>1093</v>
      </c>
      <c r="I7" s="12" t="s">
        <v>1094</v>
      </c>
      <c r="J7" s="13"/>
      <c r="K7" s="10" t="s">
        <v>4802</v>
      </c>
    </row>
    <row r="8" spans="1:11" ht="76.5" x14ac:dyDescent="0.25">
      <c r="A8" s="9" t="s">
        <v>4803</v>
      </c>
      <c r="B8" s="10" t="s">
        <v>366</v>
      </c>
      <c r="C8" s="10" t="s">
        <v>1727</v>
      </c>
      <c r="D8" s="10">
        <v>5542</v>
      </c>
      <c r="E8" s="10">
        <v>238.24</v>
      </c>
      <c r="F8" s="10">
        <v>46</v>
      </c>
      <c r="G8" s="10">
        <v>2978</v>
      </c>
      <c r="H8" s="11" t="s">
        <v>1093</v>
      </c>
      <c r="I8" s="12" t="s">
        <v>1094</v>
      </c>
      <c r="J8" s="13"/>
      <c r="K8" s="10" t="s">
        <v>4804</v>
      </c>
    </row>
    <row r="9" spans="1:11" ht="76.5" x14ac:dyDescent="0.25">
      <c r="A9" s="9" t="s">
        <v>4805</v>
      </c>
      <c r="B9" s="10" t="s">
        <v>719</v>
      </c>
      <c r="C9" s="10" t="s">
        <v>1095</v>
      </c>
      <c r="D9" s="10">
        <v>5050.8999999999996</v>
      </c>
      <c r="E9" s="10">
        <v>197.84</v>
      </c>
      <c r="F9" s="10">
        <v>51</v>
      </c>
      <c r="G9" s="10">
        <v>2473</v>
      </c>
      <c r="H9" s="11" t="s">
        <v>1093</v>
      </c>
      <c r="I9" s="12" t="s">
        <v>1094</v>
      </c>
      <c r="J9" s="13"/>
      <c r="K9" s="10" t="s">
        <v>4806</v>
      </c>
    </row>
    <row r="10" spans="1:11" ht="76.5" x14ac:dyDescent="0.25">
      <c r="A10" s="9" t="s">
        <v>4807</v>
      </c>
      <c r="B10" s="10" t="s">
        <v>721</v>
      </c>
      <c r="C10" s="10" t="s">
        <v>1116</v>
      </c>
      <c r="D10" s="10">
        <v>2746.9</v>
      </c>
      <c r="E10" s="10">
        <v>107.34</v>
      </c>
      <c r="F10" s="10">
        <v>51</v>
      </c>
      <c r="G10" s="10">
        <v>1341.8</v>
      </c>
      <c r="H10" s="11" t="s">
        <v>1093</v>
      </c>
      <c r="I10" s="12" t="s">
        <v>1094</v>
      </c>
      <c r="J10" s="13"/>
      <c r="K10" s="10" t="s">
        <v>4808</v>
      </c>
    </row>
    <row r="11" spans="1:11" ht="76.5" x14ac:dyDescent="0.25">
      <c r="A11" s="9" t="s">
        <v>4809</v>
      </c>
      <c r="B11" s="10" t="s">
        <v>720</v>
      </c>
      <c r="C11" s="10" t="s">
        <v>2870</v>
      </c>
      <c r="D11" s="10">
        <v>3722.9</v>
      </c>
      <c r="E11" s="10">
        <v>162.02000000000001</v>
      </c>
      <c r="F11" s="10">
        <v>46</v>
      </c>
      <c r="G11" s="10">
        <v>2025.37</v>
      </c>
      <c r="H11" s="11" t="s">
        <v>1093</v>
      </c>
      <c r="I11" s="12" t="s">
        <v>1094</v>
      </c>
      <c r="J11" s="13"/>
      <c r="K11" s="10" t="s">
        <v>4810</v>
      </c>
    </row>
    <row r="12" spans="1:11" ht="76.5" x14ac:dyDescent="0.25">
      <c r="A12" s="9" t="s">
        <v>4811</v>
      </c>
      <c r="B12" s="10" t="s">
        <v>716</v>
      </c>
      <c r="C12" s="10" t="s">
        <v>2492</v>
      </c>
      <c r="D12" s="10">
        <v>4246.8999999999996</v>
      </c>
      <c r="E12" s="10">
        <v>186.5</v>
      </c>
      <c r="F12" s="10">
        <v>44</v>
      </c>
      <c r="G12" s="10">
        <v>2381.89</v>
      </c>
      <c r="H12" s="11" t="s">
        <v>1093</v>
      </c>
      <c r="I12" s="12" t="s">
        <v>1094</v>
      </c>
      <c r="J12" s="13"/>
      <c r="K12" s="10" t="s">
        <v>4812</v>
      </c>
    </row>
    <row r="13" spans="1:11" ht="76.5" x14ac:dyDescent="0.25">
      <c r="A13" s="9" t="s">
        <v>4813</v>
      </c>
      <c r="B13" s="10" t="s">
        <v>813</v>
      </c>
      <c r="C13" s="10" t="s">
        <v>2271</v>
      </c>
      <c r="D13" s="10">
        <v>5053.8999999999996</v>
      </c>
      <c r="E13" s="10">
        <v>211.27</v>
      </c>
      <c r="F13" s="10">
        <v>48</v>
      </c>
      <c r="G13" s="10">
        <v>2640.91</v>
      </c>
      <c r="H13" s="11" t="s">
        <v>1093</v>
      </c>
      <c r="I13" s="12" t="s">
        <v>1094</v>
      </c>
      <c r="J13" s="13"/>
      <c r="K13" s="10" t="s">
        <v>4814</v>
      </c>
    </row>
    <row r="14" spans="1:11" ht="76.5" x14ac:dyDescent="0.25">
      <c r="A14" s="9" t="s">
        <v>4815</v>
      </c>
      <c r="B14" s="10" t="s">
        <v>726</v>
      </c>
      <c r="C14" s="10" t="s">
        <v>2488</v>
      </c>
      <c r="D14" s="10">
        <v>4806.8999999999996</v>
      </c>
      <c r="E14" s="10">
        <v>202.96</v>
      </c>
      <c r="F14" s="10">
        <v>42</v>
      </c>
      <c r="G14" s="10">
        <v>2777.21</v>
      </c>
      <c r="H14" s="11" t="s">
        <v>1093</v>
      </c>
      <c r="I14" s="12" t="s">
        <v>1094</v>
      </c>
      <c r="J14" s="13"/>
      <c r="K14" s="10" t="s">
        <v>4816</v>
      </c>
    </row>
    <row r="15" spans="1:11" ht="76.5" x14ac:dyDescent="0.25">
      <c r="A15" s="9" t="s">
        <v>1169</v>
      </c>
      <c r="B15" s="10" t="s">
        <v>514</v>
      </c>
      <c r="C15" s="10" t="s">
        <v>1111</v>
      </c>
      <c r="D15" s="10">
        <v>4705.8999999999996</v>
      </c>
      <c r="E15" s="10">
        <v>170.6</v>
      </c>
      <c r="F15" s="10">
        <v>36</v>
      </c>
      <c r="G15" s="10">
        <v>2999.84</v>
      </c>
      <c r="H15" s="11" t="s">
        <v>1093</v>
      </c>
      <c r="I15" s="12" t="s">
        <v>1094</v>
      </c>
      <c r="J15" s="13"/>
      <c r="K15" s="10" t="s">
        <v>4817</v>
      </c>
    </row>
    <row r="16" spans="1:11" ht="76.5" x14ac:dyDescent="0.25">
      <c r="A16" s="9" t="s">
        <v>4809</v>
      </c>
      <c r="B16" s="10" t="s">
        <v>297</v>
      </c>
      <c r="C16" s="10" t="s">
        <v>2870</v>
      </c>
      <c r="D16" s="10">
        <v>2980</v>
      </c>
      <c r="E16" s="10">
        <v>95.46</v>
      </c>
      <c r="F16" s="10">
        <v>32</v>
      </c>
      <c r="G16" s="10">
        <v>2025.36</v>
      </c>
      <c r="H16" s="11" t="s">
        <v>1093</v>
      </c>
      <c r="I16" s="12" t="s">
        <v>1094</v>
      </c>
      <c r="J16" s="13"/>
      <c r="K16" s="10" t="s">
        <v>4818</v>
      </c>
    </row>
    <row r="17" spans="1:11" ht="76.5" x14ac:dyDescent="0.25">
      <c r="A17" s="9" t="s">
        <v>4819</v>
      </c>
      <c r="B17" s="10" t="s">
        <v>336</v>
      </c>
      <c r="C17" s="10" t="s">
        <v>1375</v>
      </c>
      <c r="D17" s="10">
        <v>6686.9</v>
      </c>
      <c r="E17" s="10">
        <v>197.53</v>
      </c>
      <c r="F17" s="10">
        <v>30</v>
      </c>
      <c r="G17" s="10">
        <v>4711.53</v>
      </c>
      <c r="H17" s="11" t="s">
        <v>1093</v>
      </c>
      <c r="I17" s="12" t="s">
        <v>1094</v>
      </c>
      <c r="J17" s="13"/>
      <c r="K17" s="10" t="s">
        <v>4820</v>
      </c>
    </row>
    <row r="18" spans="1:11" ht="76.5" x14ac:dyDescent="0.25">
      <c r="A18" s="9" t="s">
        <v>4821</v>
      </c>
      <c r="B18" s="10" t="s">
        <v>682</v>
      </c>
      <c r="C18" s="10" t="s">
        <v>1102</v>
      </c>
      <c r="D18" s="10">
        <v>2473.9</v>
      </c>
      <c r="E18" s="10">
        <v>106.48</v>
      </c>
      <c r="F18" s="10">
        <v>46</v>
      </c>
      <c r="G18" s="10">
        <v>1331</v>
      </c>
      <c r="H18" s="11" t="s">
        <v>1093</v>
      </c>
      <c r="I18" s="12" t="s">
        <v>1094</v>
      </c>
      <c r="J18" s="13"/>
      <c r="K18" s="10" t="s">
        <v>4822</v>
      </c>
    </row>
    <row r="19" spans="1:11" ht="76.5" x14ac:dyDescent="0.25">
      <c r="A19" s="9" t="s">
        <v>4823</v>
      </c>
      <c r="B19" s="10" t="s">
        <v>736</v>
      </c>
      <c r="C19" s="10" t="s">
        <v>2068</v>
      </c>
      <c r="D19" s="10">
        <v>5428.9</v>
      </c>
      <c r="E19" s="10">
        <v>232.62</v>
      </c>
      <c r="F19" s="10">
        <v>46</v>
      </c>
      <c r="G19" s="10">
        <v>2907.84</v>
      </c>
      <c r="H19" s="11" t="s">
        <v>1093</v>
      </c>
      <c r="I19" s="12" t="s">
        <v>1094</v>
      </c>
      <c r="J19" s="13"/>
      <c r="K19" s="10" t="s">
        <v>4824</v>
      </c>
    </row>
    <row r="20" spans="1:11" ht="76.5" x14ac:dyDescent="0.25">
      <c r="A20" s="9" t="s">
        <v>4825</v>
      </c>
      <c r="B20" s="10" t="s">
        <v>831</v>
      </c>
      <c r="C20" s="10" t="s">
        <v>1869</v>
      </c>
      <c r="D20" s="10">
        <v>5651</v>
      </c>
      <c r="E20" s="10">
        <v>232.9</v>
      </c>
      <c r="F20" s="10">
        <v>41</v>
      </c>
      <c r="G20" s="10">
        <v>3322</v>
      </c>
      <c r="H20" s="11" t="s">
        <v>1093</v>
      </c>
      <c r="I20" s="12" t="s">
        <v>1094</v>
      </c>
      <c r="J20" s="13"/>
      <c r="K20" s="10" t="s">
        <v>4826</v>
      </c>
    </row>
    <row r="21" spans="1:11" ht="76.5" x14ac:dyDescent="0.25">
      <c r="A21" s="9" t="s">
        <v>4825</v>
      </c>
      <c r="B21" s="10" t="s">
        <v>387</v>
      </c>
      <c r="C21" s="10" t="s">
        <v>1869</v>
      </c>
      <c r="D21" s="10">
        <v>5038.8999999999996</v>
      </c>
      <c r="E21" s="10">
        <v>183.69</v>
      </c>
      <c r="F21" s="10">
        <v>36</v>
      </c>
      <c r="G21" s="10">
        <v>3201.97</v>
      </c>
      <c r="H21" s="11" t="s">
        <v>1093</v>
      </c>
      <c r="I21" s="12" t="s">
        <v>1094</v>
      </c>
      <c r="J21" s="13"/>
      <c r="K21" s="10" t="s">
        <v>4827</v>
      </c>
    </row>
    <row r="22" spans="1:11" ht="76.5" x14ac:dyDescent="0.25">
      <c r="A22" s="9" t="s">
        <v>4828</v>
      </c>
      <c r="B22" s="10" t="s">
        <v>822</v>
      </c>
      <c r="C22" s="10" t="s">
        <v>2935</v>
      </c>
      <c r="D22" s="10">
        <v>3331</v>
      </c>
      <c r="E22" s="10">
        <v>134.43</v>
      </c>
      <c r="F22" s="10">
        <v>40</v>
      </c>
      <c r="G22" s="10">
        <v>1986.64</v>
      </c>
      <c r="H22" s="11" t="s">
        <v>1093</v>
      </c>
      <c r="I22" s="12" t="s">
        <v>1094</v>
      </c>
      <c r="J22" s="13"/>
      <c r="K22" s="10" t="s">
        <v>4829</v>
      </c>
    </row>
    <row r="23" spans="1:11" ht="76.5" x14ac:dyDescent="0.25">
      <c r="A23" s="9" t="s">
        <v>1169</v>
      </c>
      <c r="B23" s="10" t="s">
        <v>689</v>
      </c>
      <c r="C23" s="10" t="s">
        <v>1111</v>
      </c>
      <c r="D23" s="10">
        <v>5284.9</v>
      </c>
      <c r="E23" s="10">
        <v>179.15</v>
      </c>
      <c r="F23" s="10">
        <v>34</v>
      </c>
      <c r="G23" s="10">
        <v>3493.33</v>
      </c>
      <c r="H23" s="11" t="s">
        <v>1093</v>
      </c>
      <c r="I23" s="12" t="s">
        <v>1094</v>
      </c>
      <c r="J23" s="13"/>
      <c r="K23" s="10" t="s">
        <v>4830</v>
      </c>
    </row>
    <row r="24" spans="1:11" ht="76.5" x14ac:dyDescent="0.25">
      <c r="A24" s="9" t="s">
        <v>4828</v>
      </c>
      <c r="B24" s="10" t="s">
        <v>521</v>
      </c>
      <c r="C24" s="10" t="s">
        <v>2935</v>
      </c>
      <c r="D24" s="10">
        <v>2916</v>
      </c>
      <c r="E24" s="10">
        <v>92.93</v>
      </c>
      <c r="F24" s="10">
        <v>32</v>
      </c>
      <c r="G24" s="10">
        <v>1986.63</v>
      </c>
      <c r="H24" s="11" t="s">
        <v>1093</v>
      </c>
      <c r="I24" s="12" t="s">
        <v>1094</v>
      </c>
      <c r="J24" s="13"/>
      <c r="K24" s="10" t="s">
        <v>4831</v>
      </c>
    </row>
    <row r="25" spans="1:11" ht="76.5" x14ac:dyDescent="0.25">
      <c r="A25" s="9" t="s">
        <v>4832</v>
      </c>
      <c r="B25" s="10" t="s">
        <v>734</v>
      </c>
      <c r="C25" s="10" t="s">
        <v>1845</v>
      </c>
      <c r="D25" s="10">
        <v>6257.9</v>
      </c>
      <c r="E25" s="10">
        <v>260.61</v>
      </c>
      <c r="F25" s="10">
        <v>48</v>
      </c>
      <c r="G25" s="10">
        <v>3257.63</v>
      </c>
      <c r="H25" s="11" t="s">
        <v>1093</v>
      </c>
      <c r="I25" s="12" t="s">
        <v>1094</v>
      </c>
      <c r="J25" s="13"/>
      <c r="K25" s="10" t="s">
        <v>4833</v>
      </c>
    </row>
    <row r="26" spans="1:11" ht="76.5" x14ac:dyDescent="0.25">
      <c r="A26" s="9" t="s">
        <v>4834</v>
      </c>
      <c r="B26" s="10" t="s">
        <v>405</v>
      </c>
      <c r="C26" s="10" t="s">
        <v>2488</v>
      </c>
      <c r="D26" s="10">
        <v>4273.8999999999996</v>
      </c>
      <c r="E26" s="10">
        <v>154.16</v>
      </c>
      <c r="F26" s="10">
        <v>55</v>
      </c>
      <c r="G26" s="10">
        <v>1927</v>
      </c>
      <c r="H26" s="11" t="s">
        <v>1093</v>
      </c>
      <c r="I26" s="12" t="s">
        <v>1094</v>
      </c>
      <c r="J26" s="13"/>
      <c r="K26" s="10" t="s">
        <v>4835</v>
      </c>
    </row>
    <row r="27" spans="1:11" ht="76.5" x14ac:dyDescent="0.25">
      <c r="A27" s="9" t="s">
        <v>4836</v>
      </c>
      <c r="B27" s="10" t="s">
        <v>713</v>
      </c>
      <c r="C27" s="10" t="s">
        <v>3062</v>
      </c>
      <c r="D27" s="10">
        <v>3402.9</v>
      </c>
      <c r="E27" s="10">
        <v>150.1</v>
      </c>
      <c r="F27" s="10">
        <v>45</v>
      </c>
      <c r="G27" s="10">
        <v>1876.34</v>
      </c>
      <c r="H27" s="11" t="s">
        <v>1093</v>
      </c>
      <c r="I27" s="12" t="s">
        <v>1094</v>
      </c>
      <c r="J27" s="13"/>
      <c r="K27" s="10" t="s">
        <v>4837</v>
      </c>
    </row>
    <row r="28" spans="1:11" ht="76.5" x14ac:dyDescent="0.25">
      <c r="A28" s="9" t="s">
        <v>1160</v>
      </c>
      <c r="B28" s="10" t="s">
        <v>821</v>
      </c>
      <c r="C28" s="10" t="s">
        <v>1149</v>
      </c>
      <c r="D28" s="10">
        <v>2661.9</v>
      </c>
      <c r="E28" s="10">
        <v>117.06</v>
      </c>
      <c r="F28" s="10">
        <v>44</v>
      </c>
      <c r="G28" s="10">
        <v>1491.22</v>
      </c>
      <c r="H28" s="11" t="s">
        <v>1093</v>
      </c>
      <c r="I28" s="12" t="s">
        <v>1094</v>
      </c>
      <c r="J28" s="13"/>
      <c r="K28" s="10" t="s">
        <v>4838</v>
      </c>
    </row>
    <row r="29" spans="1:11" ht="76.5" x14ac:dyDescent="0.25">
      <c r="A29" s="9" t="s">
        <v>4839</v>
      </c>
      <c r="B29" s="10" t="s">
        <v>880</v>
      </c>
      <c r="C29" s="10" t="s">
        <v>3618</v>
      </c>
      <c r="D29" s="10">
        <v>2808.9</v>
      </c>
      <c r="E29" s="10">
        <v>108.88</v>
      </c>
      <c r="F29" s="10">
        <v>52</v>
      </c>
      <c r="G29" s="10">
        <v>1361.08</v>
      </c>
      <c r="H29" s="11" t="s">
        <v>1093</v>
      </c>
      <c r="I29" s="12" t="s">
        <v>1094</v>
      </c>
      <c r="J29" s="13"/>
      <c r="K29" s="10" t="s">
        <v>4840</v>
      </c>
    </row>
    <row r="30" spans="1:11" ht="76.5" x14ac:dyDescent="0.25">
      <c r="A30" s="9" t="s">
        <v>4841</v>
      </c>
      <c r="B30" s="10" t="s">
        <v>871</v>
      </c>
      <c r="C30" s="10" t="s">
        <v>2622</v>
      </c>
      <c r="D30" s="10">
        <v>4361.8999999999996</v>
      </c>
      <c r="E30" s="10">
        <v>191.76</v>
      </c>
      <c r="F30" s="10">
        <v>45</v>
      </c>
      <c r="G30" s="10">
        <v>2397</v>
      </c>
      <c r="H30" s="11" t="s">
        <v>1093</v>
      </c>
      <c r="I30" s="12" t="s">
        <v>1094</v>
      </c>
      <c r="J30" s="13"/>
      <c r="K30" s="10" t="s">
        <v>4842</v>
      </c>
    </row>
    <row r="31" spans="1:11" ht="76.5" x14ac:dyDescent="0.25">
      <c r="A31" s="9" t="s">
        <v>1161</v>
      </c>
      <c r="B31" s="10" t="s">
        <v>854</v>
      </c>
      <c r="C31" s="10" t="s">
        <v>1141</v>
      </c>
      <c r="D31" s="10">
        <v>2180.9</v>
      </c>
      <c r="E31" s="10">
        <v>92.16</v>
      </c>
      <c r="F31" s="10">
        <v>47</v>
      </c>
      <c r="G31" s="10">
        <v>1152</v>
      </c>
      <c r="H31" s="11" t="s">
        <v>1093</v>
      </c>
      <c r="I31" s="12" t="s">
        <v>1094</v>
      </c>
      <c r="J31" s="13"/>
      <c r="K31" s="10" t="s">
        <v>4843</v>
      </c>
    </row>
    <row r="32" spans="1:11" ht="76.5" x14ac:dyDescent="0.25">
      <c r="A32" s="9" t="s">
        <v>1106</v>
      </c>
      <c r="B32" s="10" t="s">
        <v>714</v>
      </c>
      <c r="C32" s="10" t="s">
        <v>1107</v>
      </c>
      <c r="D32" s="10">
        <v>4755.8999999999996</v>
      </c>
      <c r="E32" s="10">
        <v>164.04</v>
      </c>
      <c r="F32" s="10">
        <v>34</v>
      </c>
      <c r="G32" s="10">
        <v>3115.46</v>
      </c>
      <c r="H32" s="11" t="s">
        <v>1093</v>
      </c>
      <c r="I32" s="12" t="s">
        <v>1094</v>
      </c>
      <c r="J32" s="13"/>
      <c r="K32" s="10" t="s">
        <v>4844</v>
      </c>
    </row>
    <row r="33" spans="1:11" ht="76.5" x14ac:dyDescent="0.25">
      <c r="A33" s="9" t="s">
        <v>4845</v>
      </c>
      <c r="B33" s="10" t="s">
        <v>685</v>
      </c>
      <c r="C33" s="10" t="s">
        <v>3676</v>
      </c>
      <c r="D33" s="10">
        <v>2321.9</v>
      </c>
      <c r="E33" s="10">
        <v>103.11</v>
      </c>
      <c r="F33" s="10">
        <v>44</v>
      </c>
      <c r="G33" s="10">
        <v>1288.98</v>
      </c>
      <c r="H33" s="11" t="s">
        <v>1093</v>
      </c>
      <c r="I33" s="12" t="s">
        <v>1094</v>
      </c>
      <c r="J33" s="13"/>
      <c r="K33" s="10" t="s">
        <v>4846</v>
      </c>
    </row>
    <row r="34" spans="1:11" ht="76.5" x14ac:dyDescent="0.25">
      <c r="A34" s="9" t="s">
        <v>4847</v>
      </c>
      <c r="B34" s="10" t="s">
        <v>694</v>
      </c>
      <c r="C34" s="10" t="s">
        <v>4004</v>
      </c>
      <c r="D34" s="10">
        <v>1432.9</v>
      </c>
      <c r="E34" s="10">
        <v>52.73</v>
      </c>
      <c r="F34" s="10">
        <v>47</v>
      </c>
      <c r="G34" s="10">
        <v>753.36</v>
      </c>
      <c r="H34" s="11" t="s">
        <v>1093</v>
      </c>
      <c r="I34" s="12" t="s">
        <v>1094</v>
      </c>
      <c r="J34" s="13"/>
      <c r="K34" s="10" t="s">
        <v>4848</v>
      </c>
    </row>
    <row r="35" spans="1:11" ht="76.5" x14ac:dyDescent="0.25">
      <c r="A35" s="9" t="s">
        <v>4849</v>
      </c>
      <c r="B35" s="10" t="s">
        <v>695</v>
      </c>
      <c r="C35" s="10" t="s">
        <v>3798</v>
      </c>
      <c r="D35" s="10">
        <v>2094.9</v>
      </c>
      <c r="E35" s="10">
        <v>91.81</v>
      </c>
      <c r="F35" s="10">
        <v>45</v>
      </c>
      <c r="G35" s="10">
        <v>1147.6600000000001</v>
      </c>
      <c r="H35" s="11" t="s">
        <v>1093</v>
      </c>
      <c r="I35" s="12" t="s">
        <v>1094</v>
      </c>
      <c r="J35" s="13"/>
      <c r="K35" s="10" t="s">
        <v>4850</v>
      </c>
    </row>
    <row r="36" spans="1:11" ht="76.5" x14ac:dyDescent="0.25">
      <c r="A36" s="9" t="s">
        <v>4851</v>
      </c>
      <c r="B36" s="10" t="s">
        <v>884</v>
      </c>
      <c r="C36" s="10" t="s">
        <v>3410</v>
      </c>
      <c r="D36" s="10">
        <v>2858.9</v>
      </c>
      <c r="E36" s="10">
        <v>125.1</v>
      </c>
      <c r="F36" s="10">
        <v>45</v>
      </c>
      <c r="G36" s="10">
        <v>1563.85</v>
      </c>
      <c r="H36" s="11" t="s">
        <v>1093</v>
      </c>
      <c r="I36" s="12" t="s">
        <v>1094</v>
      </c>
      <c r="J36" s="13"/>
      <c r="K36" s="10" t="s">
        <v>4852</v>
      </c>
    </row>
    <row r="37" spans="1:11" ht="76.5" x14ac:dyDescent="0.25">
      <c r="A37" s="9" t="s">
        <v>1119</v>
      </c>
      <c r="B37" s="10" t="s">
        <v>683</v>
      </c>
      <c r="C37" s="10" t="s">
        <v>1120</v>
      </c>
      <c r="D37" s="10">
        <v>2595.9</v>
      </c>
      <c r="E37" s="10">
        <v>112.95</v>
      </c>
      <c r="F37" s="10">
        <v>44</v>
      </c>
      <c r="G37" s="10">
        <v>1466.31</v>
      </c>
      <c r="H37" s="11" t="s">
        <v>1093</v>
      </c>
      <c r="I37" s="12" t="s">
        <v>1094</v>
      </c>
      <c r="J37" s="13"/>
      <c r="K37" s="10" t="s">
        <v>4853</v>
      </c>
    </row>
    <row r="38" spans="1:11" ht="76.5" x14ac:dyDescent="0.25">
      <c r="A38" s="9" t="s">
        <v>4681</v>
      </c>
      <c r="B38" s="10" t="s">
        <v>706</v>
      </c>
      <c r="C38" s="10" t="s">
        <v>3124</v>
      </c>
      <c r="D38" s="10">
        <v>3337.9</v>
      </c>
      <c r="E38" s="10">
        <v>131.36000000000001</v>
      </c>
      <c r="F38" s="10">
        <v>51</v>
      </c>
      <c r="G38" s="10">
        <v>1642</v>
      </c>
      <c r="H38" s="11" t="s">
        <v>1093</v>
      </c>
      <c r="I38" s="12" t="s">
        <v>1094</v>
      </c>
      <c r="J38" s="13"/>
      <c r="K38" s="10" t="s">
        <v>4854</v>
      </c>
    </row>
    <row r="39" spans="1:11" ht="76.5" x14ac:dyDescent="0.25">
      <c r="A39" s="9" t="s">
        <v>4855</v>
      </c>
      <c r="B39" s="10" t="s">
        <v>838</v>
      </c>
      <c r="C39" s="10" t="s">
        <v>3648</v>
      </c>
      <c r="D39" s="10">
        <v>2299</v>
      </c>
      <c r="E39" s="10">
        <v>97.53</v>
      </c>
      <c r="F39" s="10">
        <v>42</v>
      </c>
      <c r="G39" s="10">
        <v>1323.63</v>
      </c>
      <c r="H39" s="11" t="s">
        <v>1093</v>
      </c>
      <c r="I39" s="12" t="s">
        <v>1094</v>
      </c>
      <c r="J39" s="13"/>
      <c r="K39" s="10" t="s">
        <v>4856</v>
      </c>
    </row>
    <row r="40" spans="1:11" ht="76.5" x14ac:dyDescent="0.25">
      <c r="A40" s="9" t="s">
        <v>4682</v>
      </c>
      <c r="B40" s="10" t="s">
        <v>757</v>
      </c>
      <c r="C40" s="10" t="s">
        <v>1151</v>
      </c>
      <c r="D40" s="10">
        <v>1181.9000000000001</v>
      </c>
      <c r="E40" s="10">
        <v>33.18</v>
      </c>
      <c r="F40" s="10">
        <v>60</v>
      </c>
      <c r="G40" s="10">
        <v>474</v>
      </c>
      <c r="H40" s="11" t="s">
        <v>1093</v>
      </c>
      <c r="I40" s="12" t="s">
        <v>1094</v>
      </c>
      <c r="J40" s="13"/>
      <c r="K40" s="10" t="s">
        <v>4857</v>
      </c>
    </row>
    <row r="41" spans="1:11" ht="76.5" x14ac:dyDescent="0.25">
      <c r="A41" s="9" t="s">
        <v>4858</v>
      </c>
      <c r="B41" s="10" t="s">
        <v>369</v>
      </c>
      <c r="C41" s="10" t="s">
        <v>2882</v>
      </c>
      <c r="D41" s="10">
        <v>3134</v>
      </c>
      <c r="E41" s="10">
        <v>111.42</v>
      </c>
      <c r="F41" s="10">
        <v>36</v>
      </c>
      <c r="G41" s="10">
        <v>2019.78</v>
      </c>
      <c r="H41" s="11" t="s">
        <v>1093</v>
      </c>
      <c r="I41" s="12" t="s">
        <v>1094</v>
      </c>
      <c r="J41" s="13"/>
      <c r="K41" s="10" t="s">
        <v>4859</v>
      </c>
    </row>
    <row r="42" spans="1:11" ht="76.5" x14ac:dyDescent="0.25">
      <c r="A42" s="9" t="s">
        <v>4860</v>
      </c>
      <c r="B42" s="10" t="s">
        <v>292</v>
      </c>
      <c r="C42" s="10" t="s">
        <v>1113</v>
      </c>
      <c r="D42" s="10">
        <v>3187.9</v>
      </c>
      <c r="E42" s="10">
        <v>124.55</v>
      </c>
      <c r="F42" s="10">
        <v>39</v>
      </c>
      <c r="G42" s="10">
        <v>1942.35</v>
      </c>
      <c r="H42" s="11" t="s">
        <v>1093</v>
      </c>
      <c r="I42" s="12" t="s">
        <v>1094</v>
      </c>
      <c r="J42" s="13"/>
      <c r="K42" s="10" t="s">
        <v>4861</v>
      </c>
    </row>
    <row r="43" spans="1:11" ht="76.5" x14ac:dyDescent="0.25">
      <c r="A43" s="9" t="s">
        <v>1217</v>
      </c>
      <c r="B43" s="10" t="s">
        <v>752</v>
      </c>
      <c r="C43" s="10" t="s">
        <v>1218</v>
      </c>
      <c r="D43" s="10">
        <v>1664.9</v>
      </c>
      <c r="E43" s="10">
        <v>59.12</v>
      </c>
      <c r="F43" s="10">
        <v>56</v>
      </c>
      <c r="G43" s="10">
        <v>739</v>
      </c>
      <c r="H43" s="11" t="s">
        <v>1093</v>
      </c>
      <c r="I43" s="12" t="s">
        <v>1094</v>
      </c>
      <c r="J43" s="13"/>
      <c r="K43" s="10" t="s">
        <v>4862</v>
      </c>
    </row>
    <row r="44" spans="1:11" ht="76.5" x14ac:dyDescent="0.25">
      <c r="A44" s="9" t="s">
        <v>4863</v>
      </c>
      <c r="B44" s="10" t="s">
        <v>572</v>
      </c>
      <c r="C44" s="10" t="s">
        <v>3028</v>
      </c>
      <c r="D44" s="10">
        <v>2986</v>
      </c>
      <c r="E44" s="10">
        <v>107.33</v>
      </c>
      <c r="F44" s="10">
        <v>36</v>
      </c>
      <c r="G44" s="10">
        <v>1912.62</v>
      </c>
      <c r="H44" s="11" t="s">
        <v>1093</v>
      </c>
      <c r="I44" s="12" t="s">
        <v>1094</v>
      </c>
      <c r="J44" s="13"/>
      <c r="K44" s="10" t="s">
        <v>4864</v>
      </c>
    </row>
    <row r="45" spans="1:11" ht="76.5" x14ac:dyDescent="0.25">
      <c r="A45" s="9" t="s">
        <v>4865</v>
      </c>
      <c r="B45" s="10" t="s">
        <v>535</v>
      </c>
      <c r="C45" s="10" t="s">
        <v>3648</v>
      </c>
      <c r="D45" s="10">
        <v>2020</v>
      </c>
      <c r="E45" s="10">
        <v>69.63</v>
      </c>
      <c r="F45" s="10">
        <v>34</v>
      </c>
      <c r="G45" s="10">
        <v>1323.62</v>
      </c>
      <c r="H45" s="11" t="s">
        <v>1093</v>
      </c>
      <c r="I45" s="12" t="s">
        <v>1094</v>
      </c>
      <c r="J45" s="13"/>
      <c r="K45" s="10" t="s">
        <v>4866</v>
      </c>
    </row>
    <row r="46" spans="1:11" ht="76.5" x14ac:dyDescent="0.25">
      <c r="A46" s="9" t="s">
        <v>4867</v>
      </c>
      <c r="B46" s="10" t="s">
        <v>805</v>
      </c>
      <c r="C46" s="10" t="s">
        <v>3118</v>
      </c>
      <c r="D46" s="10">
        <v>3433.9</v>
      </c>
      <c r="E46" s="10">
        <v>145.05000000000001</v>
      </c>
      <c r="F46" s="10">
        <v>47</v>
      </c>
      <c r="G46" s="10">
        <v>1813.22</v>
      </c>
      <c r="H46" s="11" t="s">
        <v>1093</v>
      </c>
      <c r="I46" s="12" t="s">
        <v>1094</v>
      </c>
      <c r="J46" s="13"/>
      <c r="K46" s="10" t="s">
        <v>4868</v>
      </c>
    </row>
    <row r="47" spans="1:11" ht="76.5" x14ac:dyDescent="0.25">
      <c r="A47" s="9" t="s">
        <v>4867</v>
      </c>
      <c r="B47" s="10" t="s">
        <v>394</v>
      </c>
      <c r="C47" s="10" t="s">
        <v>3118</v>
      </c>
      <c r="D47" s="10">
        <v>3058.9</v>
      </c>
      <c r="E47" s="10">
        <v>124.56</v>
      </c>
      <c r="F47" s="10">
        <v>41</v>
      </c>
      <c r="G47" s="10">
        <v>1813.21</v>
      </c>
      <c r="H47" s="11" t="s">
        <v>1093</v>
      </c>
      <c r="I47" s="12" t="s">
        <v>1094</v>
      </c>
      <c r="J47" s="13"/>
      <c r="K47" s="10" t="s">
        <v>4869</v>
      </c>
    </row>
    <row r="48" spans="1:11" ht="76.5" x14ac:dyDescent="0.25">
      <c r="A48" s="9" t="s">
        <v>4870</v>
      </c>
      <c r="B48" s="10" t="s">
        <v>301</v>
      </c>
      <c r="C48" s="10" t="s">
        <v>1219</v>
      </c>
      <c r="D48" s="10">
        <v>3906.9</v>
      </c>
      <c r="E48" s="10">
        <v>153.61000000000001</v>
      </c>
      <c r="F48" s="10">
        <v>51</v>
      </c>
      <c r="G48" s="10">
        <v>1920.18</v>
      </c>
      <c r="H48" s="11" t="s">
        <v>1093</v>
      </c>
      <c r="I48" s="12" t="s">
        <v>1094</v>
      </c>
      <c r="J48" s="13"/>
      <c r="K48" s="10" t="s">
        <v>4871</v>
      </c>
    </row>
    <row r="49" spans="1:11" ht="76.5" x14ac:dyDescent="0.25">
      <c r="A49" s="9" t="s">
        <v>1176</v>
      </c>
      <c r="B49" s="10" t="s">
        <v>287</v>
      </c>
      <c r="C49" s="10" t="s">
        <v>1098</v>
      </c>
      <c r="D49" s="10">
        <v>2380</v>
      </c>
      <c r="E49" s="10">
        <v>94.64</v>
      </c>
      <c r="F49" s="10">
        <v>50</v>
      </c>
      <c r="G49" s="10">
        <v>1183</v>
      </c>
      <c r="H49" s="11" t="s">
        <v>1093</v>
      </c>
      <c r="I49" s="12" t="s">
        <v>1094</v>
      </c>
      <c r="J49" s="13"/>
      <c r="K49" s="10" t="s">
        <v>4872</v>
      </c>
    </row>
    <row r="50" spans="1:11" ht="76.5" x14ac:dyDescent="0.25">
      <c r="A50" s="9" t="s">
        <v>4873</v>
      </c>
      <c r="B50" s="10" t="s">
        <v>392</v>
      </c>
      <c r="C50" s="10" t="s">
        <v>3258</v>
      </c>
      <c r="D50" s="10">
        <v>3148.9</v>
      </c>
      <c r="E50" s="10">
        <v>134.97</v>
      </c>
      <c r="F50" s="10">
        <v>46</v>
      </c>
      <c r="G50" s="10">
        <v>1687.2</v>
      </c>
      <c r="H50" s="11" t="s">
        <v>1093</v>
      </c>
      <c r="I50" s="12" t="s">
        <v>1094</v>
      </c>
      <c r="J50" s="13"/>
      <c r="K50" s="10" t="s">
        <v>4874</v>
      </c>
    </row>
    <row r="51" spans="1:11" ht="76.5" x14ac:dyDescent="0.25">
      <c r="A51" s="9" t="s">
        <v>4875</v>
      </c>
      <c r="B51" s="10" t="s">
        <v>379</v>
      </c>
      <c r="C51" s="10" t="s">
        <v>3504</v>
      </c>
      <c r="D51" s="10">
        <v>2701.9</v>
      </c>
      <c r="E51" s="10">
        <v>114.72</v>
      </c>
      <c r="F51" s="10">
        <v>47</v>
      </c>
      <c r="G51" s="10">
        <v>1434</v>
      </c>
      <c r="H51" s="11" t="s">
        <v>1093</v>
      </c>
      <c r="I51" s="12" t="s">
        <v>1094</v>
      </c>
      <c r="J51" s="13"/>
      <c r="K51" s="10" t="s">
        <v>4876</v>
      </c>
    </row>
    <row r="52" spans="1:11" ht="76.5" x14ac:dyDescent="0.25">
      <c r="A52" s="9" t="s">
        <v>4877</v>
      </c>
      <c r="B52" s="10" t="s">
        <v>856</v>
      </c>
      <c r="C52" s="10" t="s">
        <v>3746</v>
      </c>
      <c r="D52" s="10">
        <v>2291.9</v>
      </c>
      <c r="E52" s="10">
        <v>96.67</v>
      </c>
      <c r="F52" s="10">
        <v>47</v>
      </c>
      <c r="G52" s="10">
        <v>1208.44</v>
      </c>
      <c r="H52" s="11" t="s">
        <v>1093</v>
      </c>
      <c r="I52" s="12" t="s">
        <v>1094</v>
      </c>
      <c r="J52" s="13"/>
      <c r="K52" s="10" t="s">
        <v>4878</v>
      </c>
    </row>
    <row r="53" spans="1:11" ht="76.5" x14ac:dyDescent="0.25">
      <c r="A53" s="9" t="s">
        <v>4879</v>
      </c>
      <c r="B53" s="10" t="s">
        <v>315</v>
      </c>
      <c r="C53" s="10" t="s">
        <v>3314</v>
      </c>
      <c r="D53" s="10">
        <v>2712.9</v>
      </c>
      <c r="E53" s="10">
        <v>112.19</v>
      </c>
      <c r="F53" s="10">
        <v>41</v>
      </c>
      <c r="G53" s="10">
        <v>1591</v>
      </c>
      <c r="H53" s="11" t="s">
        <v>1093</v>
      </c>
      <c r="I53" s="12" t="s">
        <v>1094</v>
      </c>
      <c r="J53" s="13"/>
      <c r="K53" s="10" t="s">
        <v>4880</v>
      </c>
    </row>
    <row r="54" spans="1:11" ht="76.5" x14ac:dyDescent="0.25">
      <c r="A54" s="9" t="s">
        <v>1119</v>
      </c>
      <c r="B54" s="10" t="s">
        <v>398</v>
      </c>
      <c r="C54" s="10" t="s">
        <v>1120</v>
      </c>
      <c r="D54" s="10">
        <v>2310.9</v>
      </c>
      <c r="E54" s="10">
        <v>84.45</v>
      </c>
      <c r="F54" s="10">
        <v>37</v>
      </c>
      <c r="G54" s="10">
        <v>1466.31</v>
      </c>
      <c r="H54" s="11" t="s">
        <v>1093</v>
      </c>
      <c r="I54" s="12" t="s">
        <v>1094</v>
      </c>
      <c r="J54" s="13"/>
      <c r="K54" s="10" t="s">
        <v>4881</v>
      </c>
    </row>
    <row r="55" spans="1:11" ht="76.5" x14ac:dyDescent="0.25">
      <c r="A55" s="9" t="s">
        <v>4847</v>
      </c>
      <c r="B55" s="10" t="s">
        <v>329</v>
      </c>
      <c r="C55" s="10" t="s">
        <v>4004</v>
      </c>
      <c r="D55" s="10">
        <v>1278.9000000000001</v>
      </c>
      <c r="E55" s="10">
        <v>45.64</v>
      </c>
      <c r="F55" s="10">
        <v>49</v>
      </c>
      <c r="G55" s="10">
        <v>652</v>
      </c>
      <c r="H55" s="11" t="s">
        <v>1093</v>
      </c>
      <c r="I55" s="12" t="s">
        <v>1094</v>
      </c>
      <c r="J55" s="13"/>
      <c r="K55" s="10" t="s">
        <v>4882</v>
      </c>
    </row>
    <row r="56" spans="1:11" ht="76.5" x14ac:dyDescent="0.25">
      <c r="A56" s="9" t="s">
        <v>4883</v>
      </c>
      <c r="B56" s="10" t="s">
        <v>331</v>
      </c>
      <c r="C56" s="10" t="s">
        <v>3704</v>
      </c>
      <c r="D56" s="10">
        <v>1791</v>
      </c>
      <c r="E56" s="10">
        <v>53.13</v>
      </c>
      <c r="F56" s="10">
        <v>30</v>
      </c>
      <c r="G56" s="10">
        <v>1259.68</v>
      </c>
      <c r="H56" s="11" t="s">
        <v>1093</v>
      </c>
      <c r="I56" s="12" t="s">
        <v>1094</v>
      </c>
      <c r="J56" s="13"/>
      <c r="K56" s="10" t="s">
        <v>4884</v>
      </c>
    </row>
    <row r="57" spans="1:11" ht="76.5" x14ac:dyDescent="0.25">
      <c r="A57" s="9" t="s">
        <v>4885</v>
      </c>
      <c r="B57" s="10" t="s">
        <v>308</v>
      </c>
      <c r="C57" s="10" t="s">
        <v>3620</v>
      </c>
      <c r="D57" s="10">
        <v>1916</v>
      </c>
      <c r="E57" s="10">
        <v>101.28</v>
      </c>
      <c r="F57" s="10">
        <v>34</v>
      </c>
      <c r="G57" s="10">
        <v>1266</v>
      </c>
      <c r="H57" s="11" t="s">
        <v>1093</v>
      </c>
      <c r="I57" s="12" t="s">
        <v>1094</v>
      </c>
      <c r="J57" s="13"/>
      <c r="K57" s="10" t="s">
        <v>4886</v>
      </c>
    </row>
    <row r="58" spans="1:11" ht="76.5" x14ac:dyDescent="0.25">
      <c r="A58" s="9" t="s">
        <v>4887</v>
      </c>
      <c r="B58" s="10" t="s">
        <v>844</v>
      </c>
      <c r="C58" s="10" t="s">
        <v>2510</v>
      </c>
      <c r="D58" s="10">
        <v>4610.8999999999996</v>
      </c>
      <c r="E58" s="10">
        <v>199.79</v>
      </c>
      <c r="F58" s="10">
        <v>43</v>
      </c>
      <c r="G58" s="10">
        <v>2613</v>
      </c>
      <c r="H58" s="11" t="s">
        <v>1093</v>
      </c>
      <c r="I58" s="12" t="s">
        <v>1094</v>
      </c>
      <c r="J58" s="13"/>
      <c r="K58" s="10" t="s">
        <v>4888</v>
      </c>
    </row>
    <row r="59" spans="1:11" ht="76.5" x14ac:dyDescent="0.25">
      <c r="A59" s="9" t="s">
        <v>4889</v>
      </c>
      <c r="B59" s="10" t="s">
        <v>310</v>
      </c>
      <c r="C59" s="10" t="s">
        <v>3716</v>
      </c>
      <c r="D59" s="10">
        <v>2489.9</v>
      </c>
      <c r="E59" s="10">
        <v>98.55</v>
      </c>
      <c r="F59" s="10">
        <v>51</v>
      </c>
      <c r="G59" s="10">
        <v>1231.8900000000001</v>
      </c>
      <c r="H59" s="11" t="s">
        <v>1093</v>
      </c>
      <c r="I59" s="12" t="s">
        <v>1094</v>
      </c>
      <c r="J59" s="13"/>
      <c r="K59" s="10" t="s">
        <v>4890</v>
      </c>
    </row>
    <row r="60" spans="1:11" ht="76.5" x14ac:dyDescent="0.25">
      <c r="A60" s="9" t="s">
        <v>4891</v>
      </c>
      <c r="B60" s="10" t="s">
        <v>389</v>
      </c>
      <c r="C60" s="10" t="s">
        <v>2414</v>
      </c>
      <c r="D60" s="10">
        <v>4144.8999999999996</v>
      </c>
      <c r="E60" s="10">
        <v>169.4</v>
      </c>
      <c r="F60" s="10">
        <v>41</v>
      </c>
      <c r="G60" s="10">
        <v>2450.84</v>
      </c>
      <c r="H60" s="11" t="s">
        <v>1093</v>
      </c>
      <c r="I60" s="12" t="s">
        <v>1094</v>
      </c>
      <c r="J60" s="13"/>
      <c r="K60" s="10" t="s">
        <v>4892</v>
      </c>
    </row>
    <row r="61" spans="1:11" ht="76.5" x14ac:dyDescent="0.25">
      <c r="A61" s="9" t="s">
        <v>4849</v>
      </c>
      <c r="B61" s="10" t="s">
        <v>337</v>
      </c>
      <c r="C61" s="10" t="s">
        <v>3798</v>
      </c>
      <c r="D61" s="10">
        <v>1889.9</v>
      </c>
      <c r="E61" s="10">
        <v>74.22</v>
      </c>
      <c r="F61" s="10">
        <v>39</v>
      </c>
      <c r="G61" s="10">
        <v>1147.6600000000001</v>
      </c>
      <c r="H61" s="11" t="s">
        <v>1093</v>
      </c>
      <c r="I61" s="12" t="s">
        <v>1094</v>
      </c>
      <c r="J61" s="13"/>
      <c r="K61" s="10" t="s">
        <v>4893</v>
      </c>
    </row>
    <row r="62" spans="1:11" ht="76.5" x14ac:dyDescent="0.25">
      <c r="A62" s="9" t="s">
        <v>1220</v>
      </c>
      <c r="B62" s="10" t="s">
        <v>304</v>
      </c>
      <c r="C62" s="10" t="s">
        <v>1096</v>
      </c>
      <c r="D62" s="10">
        <v>2435</v>
      </c>
      <c r="E62" s="10">
        <v>92.5</v>
      </c>
      <c r="F62" s="10">
        <v>38</v>
      </c>
      <c r="G62" s="10">
        <v>1510</v>
      </c>
      <c r="H62" s="11" t="s">
        <v>1093</v>
      </c>
      <c r="I62" s="12" t="s">
        <v>1094</v>
      </c>
      <c r="J62" s="13"/>
      <c r="K62" s="10" t="s">
        <v>4894</v>
      </c>
    </row>
    <row r="63" spans="1:11" ht="76.5" x14ac:dyDescent="0.25">
      <c r="A63" s="9" t="s">
        <v>1161</v>
      </c>
      <c r="B63" s="10" t="s">
        <v>460</v>
      </c>
      <c r="C63" s="10" t="s">
        <v>1141</v>
      </c>
      <c r="D63" s="10">
        <v>1960.9</v>
      </c>
      <c r="E63" s="10">
        <v>80.55</v>
      </c>
      <c r="F63" s="10">
        <v>41</v>
      </c>
      <c r="G63" s="10">
        <v>1155.33</v>
      </c>
      <c r="H63" s="11" t="s">
        <v>1093</v>
      </c>
      <c r="I63" s="12" t="s">
        <v>1094</v>
      </c>
      <c r="J63" s="13"/>
      <c r="K63" s="10" t="s">
        <v>4895</v>
      </c>
    </row>
    <row r="64" spans="1:11" ht="76.5" x14ac:dyDescent="0.25">
      <c r="A64" s="9" t="s">
        <v>4712</v>
      </c>
      <c r="B64" s="10" t="s">
        <v>874</v>
      </c>
      <c r="C64" s="10" t="s">
        <v>2723</v>
      </c>
      <c r="D64" s="10">
        <v>3900.9</v>
      </c>
      <c r="E64" s="10">
        <v>172.87</v>
      </c>
      <c r="F64" s="10">
        <v>45</v>
      </c>
      <c r="G64" s="10">
        <v>2160.9699999999998</v>
      </c>
      <c r="H64" s="11" t="s">
        <v>1093</v>
      </c>
      <c r="I64" s="12" t="s">
        <v>1094</v>
      </c>
      <c r="J64" s="13"/>
      <c r="K64" s="10" t="s">
        <v>4896</v>
      </c>
    </row>
    <row r="65" spans="1:11" ht="76.5" x14ac:dyDescent="0.25">
      <c r="A65" s="9" t="s">
        <v>1106</v>
      </c>
      <c r="B65" s="10" t="s">
        <v>289</v>
      </c>
      <c r="C65" s="10" t="s">
        <v>1107</v>
      </c>
      <c r="D65" s="10">
        <v>4253.8999999999996</v>
      </c>
      <c r="E65" s="10">
        <v>157.85</v>
      </c>
      <c r="F65" s="10">
        <v>37</v>
      </c>
      <c r="G65" s="10">
        <v>2675.35</v>
      </c>
      <c r="H65" s="11" t="s">
        <v>1093</v>
      </c>
      <c r="I65" s="12" t="s">
        <v>1094</v>
      </c>
      <c r="J65" s="13"/>
      <c r="K65" s="10" t="s">
        <v>4897</v>
      </c>
    </row>
    <row r="66" spans="1:11" ht="76.5" x14ac:dyDescent="0.25">
      <c r="A66" s="9" t="s">
        <v>1160</v>
      </c>
      <c r="B66" s="10" t="s">
        <v>342</v>
      </c>
      <c r="C66" s="10" t="s">
        <v>1149</v>
      </c>
      <c r="D66" s="10">
        <v>2375.9</v>
      </c>
      <c r="E66" s="10">
        <v>102.4</v>
      </c>
      <c r="F66" s="10">
        <v>46</v>
      </c>
      <c r="G66" s="10">
        <v>1280</v>
      </c>
      <c r="H66" s="11" t="s">
        <v>1093</v>
      </c>
      <c r="I66" s="12" t="s">
        <v>1094</v>
      </c>
      <c r="J66" s="13"/>
      <c r="K66" s="10" t="s">
        <v>4898</v>
      </c>
    </row>
    <row r="67" spans="1:11" ht="76.5" x14ac:dyDescent="0.25">
      <c r="A67" s="9" t="s">
        <v>4839</v>
      </c>
      <c r="B67" s="10" t="s">
        <v>557</v>
      </c>
      <c r="C67" s="10" t="s">
        <v>3618</v>
      </c>
      <c r="D67" s="10">
        <v>2267</v>
      </c>
      <c r="E67" s="10">
        <v>90.59</v>
      </c>
      <c r="F67" s="10">
        <v>40</v>
      </c>
      <c r="G67" s="10">
        <v>1361.07</v>
      </c>
      <c r="H67" s="11" t="s">
        <v>1093</v>
      </c>
      <c r="I67" s="12" t="s">
        <v>1094</v>
      </c>
      <c r="J67" s="13"/>
      <c r="K67" s="10" t="s">
        <v>4899</v>
      </c>
    </row>
    <row r="68" spans="1:11" ht="76.5" x14ac:dyDescent="0.25">
      <c r="A68" s="9" t="s">
        <v>4821</v>
      </c>
      <c r="B68" s="10" t="s">
        <v>401</v>
      </c>
      <c r="C68" s="10" t="s">
        <v>1102</v>
      </c>
      <c r="D68" s="10">
        <v>2209.9</v>
      </c>
      <c r="E68" s="10">
        <v>83.77</v>
      </c>
      <c r="F68" s="10">
        <v>38</v>
      </c>
      <c r="G68" s="10">
        <v>1372.11</v>
      </c>
      <c r="H68" s="11" t="s">
        <v>1093</v>
      </c>
      <c r="I68" s="12" t="s">
        <v>1094</v>
      </c>
      <c r="J68" s="13"/>
      <c r="K68" s="10" t="s">
        <v>4900</v>
      </c>
    </row>
    <row r="69" spans="1:11" ht="76.5" x14ac:dyDescent="0.25">
      <c r="A69" s="9" t="s">
        <v>4901</v>
      </c>
      <c r="B69" s="10" t="s">
        <v>830</v>
      </c>
      <c r="C69" s="10" t="s">
        <v>2220</v>
      </c>
      <c r="D69" s="10">
        <v>5010.8999999999996</v>
      </c>
      <c r="E69" s="10">
        <v>199.99</v>
      </c>
      <c r="F69" s="10">
        <v>50</v>
      </c>
      <c r="G69" s="10">
        <v>2499.9</v>
      </c>
      <c r="H69" s="11" t="s">
        <v>1093</v>
      </c>
      <c r="I69" s="12" t="s">
        <v>1094</v>
      </c>
      <c r="J69" s="13"/>
      <c r="K69" s="10" t="s">
        <v>4902</v>
      </c>
    </row>
    <row r="70" spans="1:11" ht="76.5" x14ac:dyDescent="0.25">
      <c r="A70" s="9" t="s">
        <v>4903</v>
      </c>
      <c r="B70" s="10" t="s">
        <v>679</v>
      </c>
      <c r="C70" s="10" t="s">
        <v>3094</v>
      </c>
      <c r="D70" s="10">
        <v>2981</v>
      </c>
      <c r="E70" s="10">
        <v>113.6</v>
      </c>
      <c r="F70" s="10">
        <v>38</v>
      </c>
      <c r="G70" s="10">
        <v>1845</v>
      </c>
      <c r="H70" s="11" t="s">
        <v>1093</v>
      </c>
      <c r="I70" s="12" t="s">
        <v>1094</v>
      </c>
      <c r="J70" s="13"/>
      <c r="K70" s="10" t="s">
        <v>4904</v>
      </c>
    </row>
    <row r="71" spans="1:11" ht="76.5" x14ac:dyDescent="0.25">
      <c r="A71" s="9" t="s">
        <v>4905</v>
      </c>
      <c r="B71" s="10" t="s">
        <v>868</v>
      </c>
      <c r="C71" s="10" t="s">
        <v>2880</v>
      </c>
      <c r="D71" s="10">
        <v>4084.9</v>
      </c>
      <c r="E71" s="10">
        <v>180.56</v>
      </c>
      <c r="F71" s="10">
        <v>45</v>
      </c>
      <c r="G71" s="10">
        <v>2257</v>
      </c>
      <c r="H71" s="11" t="s">
        <v>1093</v>
      </c>
      <c r="I71" s="12" t="s">
        <v>1094</v>
      </c>
      <c r="J71" s="13"/>
      <c r="K71" s="10" t="s">
        <v>4906</v>
      </c>
    </row>
    <row r="72" spans="1:11" ht="76.5" x14ac:dyDescent="0.25">
      <c r="A72" s="9" t="s">
        <v>4907</v>
      </c>
      <c r="B72" s="10" t="s">
        <v>835</v>
      </c>
      <c r="C72" s="10" t="s">
        <v>2263</v>
      </c>
      <c r="D72" s="10">
        <v>5102.8999999999996</v>
      </c>
      <c r="E72" s="10">
        <v>218.49</v>
      </c>
      <c r="F72" s="10">
        <v>43</v>
      </c>
      <c r="G72" s="10">
        <v>2918</v>
      </c>
      <c r="H72" s="11" t="s">
        <v>1093</v>
      </c>
      <c r="I72" s="12" t="s">
        <v>1094</v>
      </c>
      <c r="J72" s="13"/>
      <c r="K72" s="10" t="s">
        <v>4908</v>
      </c>
    </row>
    <row r="73" spans="1:11" ht="76.5" x14ac:dyDescent="0.25">
      <c r="A73" s="9" t="s">
        <v>4870</v>
      </c>
      <c r="B73" s="10" t="s">
        <v>729</v>
      </c>
      <c r="C73" s="10" t="s">
        <v>1219</v>
      </c>
      <c r="D73" s="10">
        <v>4380.8999999999996</v>
      </c>
      <c r="E73" s="10">
        <v>184</v>
      </c>
      <c r="F73" s="10">
        <v>47</v>
      </c>
      <c r="G73" s="10">
        <v>2300</v>
      </c>
      <c r="H73" s="11" t="s">
        <v>1093</v>
      </c>
      <c r="I73" s="12" t="s">
        <v>1094</v>
      </c>
      <c r="J73" s="13"/>
      <c r="K73" s="10" t="s">
        <v>4909</v>
      </c>
    </row>
    <row r="74" spans="1:11" ht="76.5" x14ac:dyDescent="0.25">
      <c r="A74" s="9" t="s">
        <v>4905</v>
      </c>
      <c r="B74" s="10" t="s">
        <v>403</v>
      </c>
      <c r="C74" s="10" t="s">
        <v>2880</v>
      </c>
      <c r="D74" s="10">
        <v>3390</v>
      </c>
      <c r="E74" s="10">
        <v>136.82</v>
      </c>
      <c r="F74" s="10">
        <v>40</v>
      </c>
      <c r="G74" s="10">
        <v>2021.8</v>
      </c>
      <c r="H74" s="11" t="s">
        <v>1093</v>
      </c>
      <c r="I74" s="12" t="s">
        <v>1094</v>
      </c>
      <c r="J74" s="13"/>
      <c r="K74" s="10" t="s">
        <v>4910</v>
      </c>
    </row>
    <row r="75" spans="1:11" ht="76.5" x14ac:dyDescent="0.25">
      <c r="A75" s="9" t="s">
        <v>4911</v>
      </c>
      <c r="B75" s="10" t="s">
        <v>993</v>
      </c>
      <c r="C75" s="10" t="s">
        <v>3479</v>
      </c>
      <c r="D75" s="10">
        <v>3051.9</v>
      </c>
      <c r="E75" s="10">
        <v>119.93</v>
      </c>
      <c r="F75" s="10">
        <v>51</v>
      </c>
      <c r="G75" s="10">
        <v>1499.16</v>
      </c>
      <c r="H75" s="11" t="s">
        <v>1093</v>
      </c>
      <c r="I75" s="12" t="s">
        <v>1094</v>
      </c>
      <c r="J75" s="13"/>
      <c r="K75" s="10" t="s">
        <v>4912</v>
      </c>
    </row>
    <row r="76" spans="1:11" ht="76.5" x14ac:dyDescent="0.25">
      <c r="A76" s="9" t="s">
        <v>4858</v>
      </c>
      <c r="B76" s="10" t="s">
        <v>739</v>
      </c>
      <c r="C76" s="10" t="s">
        <v>2882</v>
      </c>
      <c r="D76" s="10">
        <v>4066.9</v>
      </c>
      <c r="E76" s="10">
        <v>179.6</v>
      </c>
      <c r="F76" s="10">
        <v>45</v>
      </c>
      <c r="G76" s="10">
        <v>2245</v>
      </c>
      <c r="H76" s="11" t="s">
        <v>1093</v>
      </c>
      <c r="I76" s="12" t="s">
        <v>1094</v>
      </c>
      <c r="J76" s="13"/>
      <c r="K76" s="10" t="s">
        <v>4913</v>
      </c>
    </row>
    <row r="77" spans="1:11" ht="76.5" x14ac:dyDescent="0.25">
      <c r="A77" s="9" t="s">
        <v>4914</v>
      </c>
      <c r="B77" s="10" t="s">
        <v>732</v>
      </c>
      <c r="C77" s="10" t="s">
        <v>1586</v>
      </c>
      <c r="D77" s="10">
        <v>6908.9</v>
      </c>
      <c r="E77" s="10">
        <v>269.79000000000002</v>
      </c>
      <c r="F77" s="10">
        <v>39</v>
      </c>
      <c r="G77" s="10">
        <v>4211</v>
      </c>
      <c r="H77" s="11" t="s">
        <v>1093</v>
      </c>
      <c r="I77" s="12" t="s">
        <v>1094</v>
      </c>
      <c r="J77" s="13"/>
      <c r="K77" s="10" t="s">
        <v>4915</v>
      </c>
    </row>
    <row r="78" spans="1:11" ht="76.5" x14ac:dyDescent="0.25">
      <c r="A78" s="9" t="s">
        <v>4916</v>
      </c>
      <c r="B78" s="10" t="s">
        <v>499</v>
      </c>
      <c r="C78" s="10" t="s">
        <v>3020</v>
      </c>
      <c r="D78" s="10">
        <v>3657.9</v>
      </c>
      <c r="E78" s="10">
        <v>153.69</v>
      </c>
      <c r="F78" s="10">
        <v>47</v>
      </c>
      <c r="G78" s="10">
        <v>1921.13</v>
      </c>
      <c r="H78" s="11" t="s">
        <v>1093</v>
      </c>
      <c r="I78" s="12" t="s">
        <v>1094</v>
      </c>
      <c r="J78" s="13"/>
      <c r="K78" s="10" t="s">
        <v>4917</v>
      </c>
    </row>
    <row r="79" spans="1:11" ht="76.5" x14ac:dyDescent="0.25">
      <c r="A79" s="9" t="s">
        <v>4918</v>
      </c>
      <c r="B79" s="10" t="s">
        <v>828</v>
      </c>
      <c r="C79" s="10" t="s">
        <v>1580</v>
      </c>
      <c r="D79" s="10">
        <v>7234.9</v>
      </c>
      <c r="E79" s="10">
        <v>310.58</v>
      </c>
      <c r="F79" s="10">
        <v>46</v>
      </c>
      <c r="G79" s="10">
        <v>3882.35</v>
      </c>
      <c r="H79" s="11" t="s">
        <v>1093</v>
      </c>
      <c r="I79" s="12" t="s">
        <v>1094</v>
      </c>
      <c r="J79" s="13"/>
      <c r="K79" s="10" t="s">
        <v>4919</v>
      </c>
    </row>
    <row r="80" spans="1:11" ht="76.5" x14ac:dyDescent="0.25">
      <c r="A80" s="9" t="s">
        <v>4920</v>
      </c>
      <c r="B80" s="10" t="s">
        <v>701</v>
      </c>
      <c r="C80" s="10" t="s">
        <v>2205</v>
      </c>
      <c r="D80" s="10">
        <v>4667.8999999999996</v>
      </c>
      <c r="E80" s="10">
        <v>194.83</v>
      </c>
      <c r="F80" s="10">
        <v>42</v>
      </c>
      <c r="G80" s="10">
        <v>2719.54</v>
      </c>
      <c r="H80" s="11" t="s">
        <v>1093</v>
      </c>
      <c r="I80" s="12" t="s">
        <v>1094</v>
      </c>
      <c r="J80" s="13"/>
      <c r="K80" s="10" t="s">
        <v>4921</v>
      </c>
    </row>
    <row r="81" spans="1:11" ht="76.5" x14ac:dyDescent="0.25">
      <c r="A81" s="9" t="s">
        <v>2449</v>
      </c>
      <c r="B81" s="10" t="s">
        <v>932</v>
      </c>
      <c r="C81" s="10" t="s">
        <v>2448</v>
      </c>
      <c r="D81" s="10">
        <v>4998.8999999999996</v>
      </c>
      <c r="E81" s="10">
        <v>194.12</v>
      </c>
      <c r="F81" s="10">
        <v>51</v>
      </c>
      <c r="G81" s="10">
        <v>2426.5</v>
      </c>
      <c r="H81" s="11" t="s">
        <v>1093</v>
      </c>
      <c r="I81" s="12" t="s">
        <v>1094</v>
      </c>
      <c r="J81" s="13"/>
      <c r="K81" s="10" t="s">
        <v>4922</v>
      </c>
    </row>
    <row r="82" spans="1:11" ht="76.5" x14ac:dyDescent="0.25">
      <c r="A82" s="9" t="s">
        <v>3224</v>
      </c>
      <c r="B82" s="10" t="s">
        <v>979</v>
      </c>
      <c r="C82" s="10" t="s">
        <v>3223</v>
      </c>
      <c r="D82" s="10">
        <v>3715.9</v>
      </c>
      <c r="E82" s="10">
        <v>136.4</v>
      </c>
      <c r="F82" s="10">
        <v>54</v>
      </c>
      <c r="G82" s="10">
        <v>1705.02</v>
      </c>
      <c r="H82" s="11" t="s">
        <v>1093</v>
      </c>
      <c r="I82" s="12" t="s">
        <v>1094</v>
      </c>
      <c r="J82" s="13"/>
      <c r="K82" s="10" t="s">
        <v>4923</v>
      </c>
    </row>
    <row r="83" spans="1:11" ht="76.5" x14ac:dyDescent="0.25">
      <c r="A83" s="9" t="s">
        <v>2523</v>
      </c>
      <c r="B83" s="10" t="s">
        <v>449</v>
      </c>
      <c r="C83" s="10" t="s">
        <v>2522</v>
      </c>
      <c r="D83" s="10">
        <v>3564.9</v>
      </c>
      <c r="E83" s="10">
        <v>120.85</v>
      </c>
      <c r="F83" s="10">
        <v>34</v>
      </c>
      <c r="G83" s="10">
        <v>2356.31</v>
      </c>
      <c r="H83" s="11" t="s">
        <v>1093</v>
      </c>
      <c r="I83" s="12" t="s">
        <v>1094</v>
      </c>
      <c r="J83" s="13"/>
      <c r="K83" s="10" t="s">
        <v>4924</v>
      </c>
    </row>
    <row r="84" spans="1:11" ht="76.5" x14ac:dyDescent="0.25">
      <c r="A84" s="9" t="s">
        <v>4925</v>
      </c>
      <c r="B84" s="10" t="s">
        <v>340</v>
      </c>
      <c r="C84" s="10" t="s">
        <v>2070</v>
      </c>
      <c r="D84" s="10">
        <v>4354.8999999999996</v>
      </c>
      <c r="E84" s="10">
        <v>145.04</v>
      </c>
      <c r="F84" s="10">
        <v>33</v>
      </c>
      <c r="G84" s="10">
        <v>2904.42</v>
      </c>
      <c r="H84" s="11" t="s">
        <v>1093</v>
      </c>
      <c r="I84" s="12" t="s">
        <v>1094</v>
      </c>
      <c r="J84" s="13"/>
      <c r="K84" s="10" t="s">
        <v>4926</v>
      </c>
    </row>
    <row r="85" spans="1:11" ht="76.5" x14ac:dyDescent="0.25">
      <c r="A85" s="9" t="s">
        <v>3005</v>
      </c>
      <c r="B85" s="10" t="s">
        <v>462</v>
      </c>
      <c r="C85" s="10" t="s">
        <v>3004</v>
      </c>
      <c r="D85" s="10">
        <v>3088.9</v>
      </c>
      <c r="E85" s="10">
        <v>115.8</v>
      </c>
      <c r="F85" s="10">
        <v>37</v>
      </c>
      <c r="G85" s="10">
        <v>1930.83</v>
      </c>
      <c r="H85" s="11" t="s">
        <v>1093</v>
      </c>
      <c r="I85" s="12" t="s">
        <v>1094</v>
      </c>
      <c r="J85" s="13"/>
      <c r="K85" s="10" t="s">
        <v>4927</v>
      </c>
    </row>
    <row r="86" spans="1:11" ht="76.5" x14ac:dyDescent="0.25">
      <c r="A86" s="9" t="s">
        <v>4920</v>
      </c>
      <c r="B86" s="10" t="s">
        <v>311</v>
      </c>
      <c r="C86" s="10" t="s">
        <v>2205</v>
      </c>
      <c r="D86" s="10">
        <v>4132.8999999999996</v>
      </c>
      <c r="E86" s="10">
        <v>141.33000000000001</v>
      </c>
      <c r="F86" s="10">
        <v>34</v>
      </c>
      <c r="G86" s="10">
        <v>2719.53</v>
      </c>
      <c r="H86" s="11" t="s">
        <v>1093</v>
      </c>
      <c r="I86" s="12" t="s">
        <v>1094</v>
      </c>
      <c r="J86" s="13"/>
      <c r="K86" s="10" t="s">
        <v>4928</v>
      </c>
    </row>
    <row r="87" spans="1:11" ht="76.5" x14ac:dyDescent="0.25">
      <c r="A87" s="9" t="s">
        <v>4929</v>
      </c>
      <c r="B87" s="10" t="s">
        <v>590</v>
      </c>
      <c r="C87" s="10" t="s">
        <v>3986</v>
      </c>
      <c r="D87" s="10">
        <v>1189.9000000000001</v>
      </c>
      <c r="E87" s="10">
        <v>40.19</v>
      </c>
      <c r="F87" s="10">
        <v>34</v>
      </c>
      <c r="G87" s="10">
        <v>787.96</v>
      </c>
      <c r="H87" s="11" t="s">
        <v>1093</v>
      </c>
      <c r="I87" s="12" t="s">
        <v>1094</v>
      </c>
      <c r="J87" s="13"/>
      <c r="K87" s="10" t="s">
        <v>4930</v>
      </c>
    </row>
    <row r="88" spans="1:11" ht="76.5" x14ac:dyDescent="0.25">
      <c r="A88" s="9" t="s">
        <v>4931</v>
      </c>
      <c r="B88" s="10" t="s">
        <v>532</v>
      </c>
      <c r="C88" s="10" t="s">
        <v>3601</v>
      </c>
      <c r="D88" s="10">
        <v>2294.9</v>
      </c>
      <c r="E88" s="10">
        <v>91.6</v>
      </c>
      <c r="F88" s="10">
        <v>40</v>
      </c>
      <c r="G88" s="10">
        <v>1378.82</v>
      </c>
      <c r="H88" s="11" t="s">
        <v>1093</v>
      </c>
      <c r="I88" s="12" t="s">
        <v>1094</v>
      </c>
      <c r="J88" s="13"/>
      <c r="K88" s="10" t="s">
        <v>4932</v>
      </c>
    </row>
    <row r="89" spans="1:11" ht="76.5" x14ac:dyDescent="0.25">
      <c r="A89" s="9" t="s">
        <v>4933</v>
      </c>
      <c r="B89" s="10" t="s">
        <v>740</v>
      </c>
      <c r="C89" s="10" t="s">
        <v>1455</v>
      </c>
      <c r="D89" s="10">
        <v>7914.9</v>
      </c>
      <c r="E89" s="10">
        <v>254.72</v>
      </c>
      <c r="F89" s="10">
        <v>60</v>
      </c>
      <c r="G89" s="10">
        <v>3184</v>
      </c>
      <c r="H89" s="11" t="s">
        <v>1093</v>
      </c>
      <c r="I89" s="12" t="s">
        <v>1094</v>
      </c>
      <c r="J89" s="13"/>
      <c r="K89" s="10" t="s">
        <v>4934</v>
      </c>
    </row>
    <row r="90" spans="1:11" ht="76.5" x14ac:dyDescent="0.25">
      <c r="A90" s="9" t="s">
        <v>4680</v>
      </c>
      <c r="B90" s="10" t="s">
        <v>352</v>
      </c>
      <c r="C90" s="10" t="s">
        <v>1156</v>
      </c>
      <c r="D90" s="10">
        <v>1339.9</v>
      </c>
      <c r="E90" s="10">
        <v>35.42</v>
      </c>
      <c r="F90" s="10">
        <v>62</v>
      </c>
      <c r="G90" s="10">
        <v>506</v>
      </c>
      <c r="H90" s="11" t="s">
        <v>1093</v>
      </c>
      <c r="I90" s="12" t="s">
        <v>1094</v>
      </c>
      <c r="J90" s="13"/>
      <c r="K90" s="10" t="s">
        <v>4935</v>
      </c>
    </row>
    <row r="91" spans="1:11" ht="76.5" x14ac:dyDescent="0.25">
      <c r="A91" s="9" t="s">
        <v>4936</v>
      </c>
      <c r="B91" s="10" t="s">
        <v>529</v>
      </c>
      <c r="C91" s="10" t="s">
        <v>3370</v>
      </c>
      <c r="D91" s="10">
        <v>2652.9</v>
      </c>
      <c r="E91" s="10">
        <v>105.54</v>
      </c>
      <c r="F91" s="10">
        <v>40</v>
      </c>
      <c r="G91" s="10">
        <v>1597.44</v>
      </c>
      <c r="H91" s="11" t="s">
        <v>1093</v>
      </c>
      <c r="I91" s="12" t="s">
        <v>1094</v>
      </c>
      <c r="J91" s="13"/>
      <c r="K91" s="10" t="s">
        <v>4937</v>
      </c>
    </row>
    <row r="92" spans="1:11" ht="76.5" x14ac:dyDescent="0.25">
      <c r="A92" s="9" t="s">
        <v>4938</v>
      </c>
      <c r="B92" s="10" t="s">
        <v>485</v>
      </c>
      <c r="C92" s="10" t="s">
        <v>2765</v>
      </c>
      <c r="D92" s="10">
        <v>3601.9</v>
      </c>
      <c r="E92" s="10">
        <v>148.69999999999999</v>
      </c>
      <c r="F92" s="10">
        <v>41</v>
      </c>
      <c r="G92" s="10">
        <v>2114.84</v>
      </c>
      <c r="H92" s="11" t="s">
        <v>1093</v>
      </c>
      <c r="I92" s="12" t="s">
        <v>1094</v>
      </c>
      <c r="J92" s="13"/>
      <c r="K92" s="10" t="s">
        <v>4939</v>
      </c>
    </row>
    <row r="93" spans="1:11" ht="76.5" x14ac:dyDescent="0.25">
      <c r="A93" s="9" t="s">
        <v>1748</v>
      </c>
      <c r="B93" s="10" t="s">
        <v>870</v>
      </c>
      <c r="C93" s="10" t="s">
        <v>1747</v>
      </c>
      <c r="D93" s="10">
        <v>7189.9</v>
      </c>
      <c r="E93" s="10">
        <v>281.52</v>
      </c>
      <c r="F93" s="10">
        <v>51</v>
      </c>
      <c r="G93" s="10">
        <v>3519.08</v>
      </c>
      <c r="H93" s="11" t="s">
        <v>1093</v>
      </c>
      <c r="I93" s="12" t="s">
        <v>1094</v>
      </c>
      <c r="J93" s="13"/>
      <c r="K93" s="10" t="s">
        <v>4940</v>
      </c>
    </row>
    <row r="94" spans="1:11" ht="76.5" x14ac:dyDescent="0.25">
      <c r="A94" s="9" t="s">
        <v>2533</v>
      </c>
      <c r="B94" s="10" t="s">
        <v>622</v>
      </c>
      <c r="C94" s="10" t="s">
        <v>2532</v>
      </c>
      <c r="D94" s="10">
        <v>3134.9</v>
      </c>
      <c r="E94" s="10">
        <v>79.03</v>
      </c>
      <c r="F94" s="10">
        <v>25</v>
      </c>
      <c r="G94" s="10">
        <v>2344.54</v>
      </c>
      <c r="H94" s="11" t="s">
        <v>1093</v>
      </c>
      <c r="I94" s="12" t="s">
        <v>1094</v>
      </c>
      <c r="J94" s="13"/>
      <c r="K94" s="10" t="s">
        <v>4941</v>
      </c>
    </row>
    <row r="95" spans="1:11" ht="76.5" x14ac:dyDescent="0.25">
      <c r="A95" s="9" t="s">
        <v>1178</v>
      </c>
      <c r="B95" s="10" t="s">
        <v>344</v>
      </c>
      <c r="C95" s="10" t="s">
        <v>1179</v>
      </c>
      <c r="D95" s="10">
        <v>2387.9</v>
      </c>
      <c r="E95" s="10">
        <v>72.319999999999993</v>
      </c>
      <c r="F95" s="10">
        <v>62</v>
      </c>
      <c r="G95" s="10">
        <v>904</v>
      </c>
      <c r="H95" s="11" t="s">
        <v>1093</v>
      </c>
      <c r="I95" s="12" t="s">
        <v>1094</v>
      </c>
      <c r="J95" s="13"/>
      <c r="K95" s="10" t="s">
        <v>4942</v>
      </c>
    </row>
    <row r="96" spans="1:11" ht="76.5" x14ac:dyDescent="0.25">
      <c r="A96" s="9" t="s">
        <v>4943</v>
      </c>
      <c r="B96" s="10" t="s">
        <v>696</v>
      </c>
      <c r="C96" s="10" t="s">
        <v>3857</v>
      </c>
      <c r="D96" s="10">
        <v>1894.9</v>
      </c>
      <c r="E96" s="10">
        <v>83.87</v>
      </c>
      <c r="F96" s="10">
        <v>44</v>
      </c>
      <c r="G96" s="10">
        <v>1056.1500000000001</v>
      </c>
      <c r="H96" s="11" t="s">
        <v>1093</v>
      </c>
      <c r="I96" s="12" t="s">
        <v>1094</v>
      </c>
      <c r="J96" s="13"/>
      <c r="K96" s="10" t="s">
        <v>4944</v>
      </c>
    </row>
    <row r="97" spans="1:11" ht="76.5" x14ac:dyDescent="0.25">
      <c r="A97" s="9" t="s">
        <v>4945</v>
      </c>
      <c r="B97" s="10" t="s">
        <v>727</v>
      </c>
      <c r="C97" s="10" t="s">
        <v>2216</v>
      </c>
      <c r="D97" s="10">
        <v>5504.9</v>
      </c>
      <c r="E97" s="10">
        <v>186</v>
      </c>
      <c r="F97" s="10">
        <v>58</v>
      </c>
      <c r="G97" s="10">
        <v>2325</v>
      </c>
      <c r="H97" s="11" t="s">
        <v>1093</v>
      </c>
      <c r="I97" s="12" t="s">
        <v>1094</v>
      </c>
      <c r="J97" s="13"/>
      <c r="K97" s="10" t="s">
        <v>4946</v>
      </c>
    </row>
    <row r="98" spans="1:11" ht="76.5" x14ac:dyDescent="0.25">
      <c r="A98" s="9" t="s">
        <v>4799</v>
      </c>
      <c r="B98" s="10" t="s">
        <v>834</v>
      </c>
      <c r="C98" s="10" t="s">
        <v>2941</v>
      </c>
      <c r="D98" s="10">
        <v>3390</v>
      </c>
      <c r="E98" s="10">
        <v>107.82</v>
      </c>
      <c r="F98" s="10">
        <v>32</v>
      </c>
      <c r="G98" s="10">
        <v>2311.7800000000002</v>
      </c>
      <c r="H98" s="11" t="s">
        <v>1093</v>
      </c>
      <c r="I98" s="12" t="s">
        <v>1094</v>
      </c>
      <c r="J98" s="13"/>
      <c r="K98" s="10" t="s">
        <v>4947</v>
      </c>
    </row>
    <row r="99" spans="1:11" ht="76.5" x14ac:dyDescent="0.25">
      <c r="A99" s="9" t="s">
        <v>4801</v>
      </c>
      <c r="B99" s="10" t="s">
        <v>764</v>
      </c>
      <c r="C99" s="10" t="s">
        <v>3459</v>
      </c>
      <c r="D99" s="10">
        <v>3449.9</v>
      </c>
      <c r="E99" s="10">
        <v>99.28</v>
      </c>
      <c r="F99" s="10">
        <v>64</v>
      </c>
      <c r="G99" s="10">
        <v>1241</v>
      </c>
      <c r="H99" s="11" t="s">
        <v>1093</v>
      </c>
      <c r="I99" s="12" t="s">
        <v>1094</v>
      </c>
      <c r="J99" s="13"/>
      <c r="K99" s="10" t="s">
        <v>4948</v>
      </c>
    </row>
    <row r="100" spans="1:11" ht="76.5" x14ac:dyDescent="0.25">
      <c r="A100" s="9" t="s">
        <v>4949</v>
      </c>
      <c r="B100" s="10" t="s">
        <v>731</v>
      </c>
      <c r="C100" s="10" t="s">
        <v>1727</v>
      </c>
      <c r="D100" s="10">
        <v>6770.9</v>
      </c>
      <c r="E100" s="10">
        <v>277.44</v>
      </c>
      <c r="F100" s="10">
        <v>49</v>
      </c>
      <c r="G100" s="10">
        <v>3468</v>
      </c>
      <c r="H100" s="11" t="s">
        <v>1093</v>
      </c>
      <c r="I100" s="12" t="s">
        <v>1094</v>
      </c>
      <c r="J100" s="13"/>
      <c r="K100" s="10" t="s">
        <v>4950</v>
      </c>
    </row>
    <row r="101" spans="1:11" ht="76.5" x14ac:dyDescent="0.25">
      <c r="A101" s="9" t="s">
        <v>4951</v>
      </c>
      <c r="B101" s="10" t="s">
        <v>852</v>
      </c>
      <c r="C101" s="10" t="s">
        <v>1801</v>
      </c>
      <c r="D101" s="10">
        <v>6728.9</v>
      </c>
      <c r="E101" s="10">
        <v>267.48</v>
      </c>
      <c r="F101" s="10">
        <v>50</v>
      </c>
      <c r="G101" s="10">
        <v>3343.52</v>
      </c>
      <c r="H101" s="11" t="s">
        <v>1093</v>
      </c>
      <c r="I101" s="12" t="s">
        <v>1094</v>
      </c>
      <c r="J101" s="13"/>
      <c r="K101" s="10" t="s">
        <v>4952</v>
      </c>
    </row>
    <row r="102" spans="1:11" ht="76.5" x14ac:dyDescent="0.25">
      <c r="A102" s="9" t="s">
        <v>4953</v>
      </c>
      <c r="B102" s="10" t="s">
        <v>723</v>
      </c>
      <c r="C102" s="10" t="s">
        <v>2571</v>
      </c>
      <c r="D102" s="10">
        <v>4558.8999999999996</v>
      </c>
      <c r="E102" s="10">
        <v>183.27</v>
      </c>
      <c r="F102" s="10">
        <v>50</v>
      </c>
      <c r="G102" s="10">
        <v>2290.88</v>
      </c>
      <c r="H102" s="11" t="s">
        <v>1093</v>
      </c>
      <c r="I102" s="12" t="s">
        <v>1094</v>
      </c>
      <c r="J102" s="13"/>
      <c r="K102" s="10" t="s">
        <v>4954</v>
      </c>
    </row>
    <row r="103" spans="1:11" ht="76.5" x14ac:dyDescent="0.25">
      <c r="A103" s="9" t="s">
        <v>3130</v>
      </c>
      <c r="B103" s="10" t="s">
        <v>299</v>
      </c>
      <c r="C103" s="10" t="s">
        <v>3129</v>
      </c>
      <c r="D103" s="10">
        <v>2575.9</v>
      </c>
      <c r="E103" s="10">
        <v>77.52</v>
      </c>
      <c r="F103" s="10">
        <v>30</v>
      </c>
      <c r="G103" s="10">
        <v>1800.61</v>
      </c>
      <c r="H103" s="11" t="s">
        <v>1093</v>
      </c>
      <c r="I103" s="12" t="s">
        <v>1094</v>
      </c>
      <c r="J103" s="13"/>
      <c r="K103" s="10" t="s">
        <v>4955</v>
      </c>
    </row>
    <row r="104" spans="1:11" ht="76.5" x14ac:dyDescent="0.25">
      <c r="A104" s="9" t="s">
        <v>4956</v>
      </c>
      <c r="B104" s="10" t="s">
        <v>324</v>
      </c>
      <c r="C104" s="10" t="s">
        <v>3726</v>
      </c>
      <c r="D104" s="10">
        <v>2006.9</v>
      </c>
      <c r="E104" s="10">
        <v>78.22</v>
      </c>
      <c r="F104" s="10">
        <v>39</v>
      </c>
      <c r="G104" s="10">
        <v>1224.67</v>
      </c>
      <c r="H104" s="11" t="s">
        <v>1093</v>
      </c>
      <c r="I104" s="12" t="s">
        <v>1094</v>
      </c>
      <c r="J104" s="13"/>
      <c r="K104" s="10" t="s">
        <v>4957</v>
      </c>
    </row>
    <row r="105" spans="1:11" ht="76.5" x14ac:dyDescent="0.25">
      <c r="A105" s="9" t="s">
        <v>2843</v>
      </c>
      <c r="B105" s="10" t="s">
        <v>626</v>
      </c>
      <c r="C105" s="10" t="s">
        <v>2842</v>
      </c>
      <c r="D105" s="10">
        <v>3220.9</v>
      </c>
      <c r="E105" s="10">
        <v>116.37</v>
      </c>
      <c r="F105" s="10">
        <v>36</v>
      </c>
      <c r="G105" s="10">
        <v>2057.16</v>
      </c>
      <c r="H105" s="11" t="s">
        <v>1093</v>
      </c>
      <c r="I105" s="12" t="s">
        <v>1094</v>
      </c>
      <c r="J105" s="13"/>
      <c r="K105" s="10" t="s">
        <v>4958</v>
      </c>
    </row>
    <row r="106" spans="1:11" ht="76.5" x14ac:dyDescent="0.25">
      <c r="A106" s="9" t="s">
        <v>1780</v>
      </c>
      <c r="B106" s="10" t="s">
        <v>894</v>
      </c>
      <c r="C106" s="10" t="s">
        <v>1779</v>
      </c>
      <c r="D106" s="10">
        <v>6195.9</v>
      </c>
      <c r="E106" s="10">
        <v>271.19</v>
      </c>
      <c r="F106" s="10">
        <v>45</v>
      </c>
      <c r="G106" s="10">
        <v>3389.95</v>
      </c>
      <c r="H106" s="11" t="s">
        <v>1093</v>
      </c>
      <c r="I106" s="12" t="s">
        <v>1094</v>
      </c>
      <c r="J106" s="13"/>
      <c r="K106" s="10" t="s">
        <v>4959</v>
      </c>
    </row>
    <row r="107" spans="1:11" ht="76.5" x14ac:dyDescent="0.25">
      <c r="A107" s="9" t="s">
        <v>4685</v>
      </c>
      <c r="B107" s="10" t="s">
        <v>712</v>
      </c>
      <c r="C107" s="10" t="s">
        <v>3496</v>
      </c>
      <c r="D107" s="10">
        <v>2680.9</v>
      </c>
      <c r="E107" s="10">
        <v>97.84</v>
      </c>
      <c r="F107" s="10">
        <v>54</v>
      </c>
      <c r="G107" s="10">
        <v>1223</v>
      </c>
      <c r="H107" s="11" t="s">
        <v>1093</v>
      </c>
      <c r="I107" s="12" t="s">
        <v>1094</v>
      </c>
      <c r="J107" s="13"/>
      <c r="K107" s="10" t="s">
        <v>4960</v>
      </c>
    </row>
    <row r="108" spans="1:11" ht="76.5" x14ac:dyDescent="0.25">
      <c r="A108" s="9" t="s">
        <v>4951</v>
      </c>
      <c r="B108" s="10" t="s">
        <v>604</v>
      </c>
      <c r="C108" s="10" t="s">
        <v>1801</v>
      </c>
      <c r="D108" s="10">
        <v>5640</v>
      </c>
      <c r="E108" s="10">
        <v>229.64</v>
      </c>
      <c r="F108" s="10">
        <v>41</v>
      </c>
      <c r="G108" s="10">
        <v>3343.51</v>
      </c>
      <c r="H108" s="11" t="s">
        <v>1093</v>
      </c>
      <c r="I108" s="12" t="s">
        <v>1094</v>
      </c>
      <c r="J108" s="13"/>
      <c r="K108" s="10" t="s">
        <v>4961</v>
      </c>
    </row>
    <row r="109" spans="1:11" ht="76.5" x14ac:dyDescent="0.25">
      <c r="A109" s="9" t="s">
        <v>4962</v>
      </c>
      <c r="B109" s="10" t="s">
        <v>582</v>
      </c>
      <c r="C109" s="10" t="s">
        <v>2220</v>
      </c>
      <c r="D109" s="10">
        <v>4101</v>
      </c>
      <c r="E109" s="10">
        <v>199.99</v>
      </c>
      <c r="F109" s="10">
        <v>39</v>
      </c>
      <c r="G109" s="10">
        <v>2499.9</v>
      </c>
      <c r="H109" s="11" t="s">
        <v>1093</v>
      </c>
      <c r="I109" s="12" t="s">
        <v>1094</v>
      </c>
      <c r="J109" s="13"/>
      <c r="K109" s="10" t="s">
        <v>4963</v>
      </c>
    </row>
    <row r="110" spans="1:11" ht="76.5" x14ac:dyDescent="0.25">
      <c r="A110" s="9" t="s">
        <v>4964</v>
      </c>
      <c r="B110" s="10" t="s">
        <v>543</v>
      </c>
      <c r="C110" s="10" t="s">
        <v>1104</v>
      </c>
      <c r="D110" s="10">
        <v>3489</v>
      </c>
      <c r="E110" s="10">
        <v>117.07</v>
      </c>
      <c r="F110" s="10">
        <v>34</v>
      </c>
      <c r="G110" s="10">
        <v>2318.23</v>
      </c>
      <c r="H110" s="11" t="s">
        <v>1093</v>
      </c>
      <c r="I110" s="12" t="s">
        <v>1094</v>
      </c>
      <c r="J110" s="13"/>
      <c r="K110" s="10" t="s">
        <v>4965</v>
      </c>
    </row>
    <row r="111" spans="1:11" ht="76.5" x14ac:dyDescent="0.25">
      <c r="A111" s="9" t="s">
        <v>4823</v>
      </c>
      <c r="B111" s="10" t="s">
        <v>367</v>
      </c>
      <c r="C111" s="10" t="s">
        <v>2068</v>
      </c>
      <c r="D111" s="10">
        <v>4338</v>
      </c>
      <c r="E111" s="10">
        <v>143.01</v>
      </c>
      <c r="F111" s="10">
        <v>33</v>
      </c>
      <c r="G111" s="10">
        <v>2907.84</v>
      </c>
      <c r="H111" s="11" t="s">
        <v>1093</v>
      </c>
      <c r="I111" s="12" t="s">
        <v>1094</v>
      </c>
      <c r="J111" s="13"/>
      <c r="K111" s="10" t="s">
        <v>4966</v>
      </c>
    </row>
    <row r="112" spans="1:11" ht="76.5" x14ac:dyDescent="0.25">
      <c r="A112" s="9" t="s">
        <v>4967</v>
      </c>
      <c r="B112" s="10" t="s">
        <v>371</v>
      </c>
      <c r="C112" s="10" t="s">
        <v>1455</v>
      </c>
      <c r="D112" s="10">
        <v>6667</v>
      </c>
      <c r="E112" s="10">
        <v>235.48</v>
      </c>
      <c r="F112" s="10">
        <v>35</v>
      </c>
      <c r="G112" s="10">
        <v>4312.17</v>
      </c>
      <c r="H112" s="11" t="s">
        <v>1093</v>
      </c>
      <c r="I112" s="12" t="s">
        <v>1094</v>
      </c>
      <c r="J112" s="13"/>
      <c r="K112" s="10" t="s">
        <v>4968</v>
      </c>
    </row>
    <row r="113" spans="1:11" ht="76.5" x14ac:dyDescent="0.25">
      <c r="A113" s="9" t="s">
        <v>4969</v>
      </c>
      <c r="B113" s="10" t="s">
        <v>307</v>
      </c>
      <c r="C113" s="10" t="s">
        <v>1105</v>
      </c>
      <c r="D113" s="10">
        <v>3964.9</v>
      </c>
      <c r="E113" s="10">
        <v>156.24</v>
      </c>
      <c r="F113" s="10">
        <v>51</v>
      </c>
      <c r="G113" s="10">
        <v>1953</v>
      </c>
      <c r="H113" s="11" t="s">
        <v>1093</v>
      </c>
      <c r="I113" s="12" t="s">
        <v>1094</v>
      </c>
      <c r="J113" s="13"/>
      <c r="K113" s="10" t="s">
        <v>4970</v>
      </c>
    </row>
    <row r="114" spans="1:11" ht="76.5" x14ac:dyDescent="0.25">
      <c r="A114" s="9" t="s">
        <v>4971</v>
      </c>
      <c r="B114" s="10" t="s">
        <v>578</v>
      </c>
      <c r="C114" s="10" t="s">
        <v>1463</v>
      </c>
      <c r="D114" s="10">
        <v>6548</v>
      </c>
      <c r="E114" s="10">
        <v>225.72</v>
      </c>
      <c r="F114" s="10">
        <v>34</v>
      </c>
      <c r="G114" s="10">
        <v>4290.7700000000004</v>
      </c>
      <c r="H114" s="11" t="s">
        <v>1093</v>
      </c>
      <c r="I114" s="12" t="s">
        <v>1094</v>
      </c>
      <c r="J114" s="13"/>
      <c r="K114" s="10" t="s">
        <v>4972</v>
      </c>
    </row>
    <row r="115" spans="1:11" ht="76.5" x14ac:dyDescent="0.25">
      <c r="A115" s="9" t="s">
        <v>4973</v>
      </c>
      <c r="B115" s="10" t="s">
        <v>691</v>
      </c>
      <c r="C115" s="10" t="s">
        <v>1105</v>
      </c>
      <c r="D115" s="10">
        <v>4438.8999999999996</v>
      </c>
      <c r="E115" s="10">
        <v>174.09</v>
      </c>
      <c r="F115" s="10">
        <v>39</v>
      </c>
      <c r="G115" s="10">
        <v>2698</v>
      </c>
      <c r="H115" s="11" t="s">
        <v>1093</v>
      </c>
      <c r="I115" s="12" t="s">
        <v>1094</v>
      </c>
      <c r="J115" s="13"/>
      <c r="K115" s="10" t="s">
        <v>4974</v>
      </c>
    </row>
    <row r="116" spans="1:11" ht="76.5" x14ac:dyDescent="0.25">
      <c r="A116" s="9" t="s">
        <v>4975</v>
      </c>
      <c r="B116" s="10" t="s">
        <v>810</v>
      </c>
      <c r="C116" s="10" t="s">
        <v>1666</v>
      </c>
      <c r="D116" s="10">
        <v>6340</v>
      </c>
      <c r="E116" s="10">
        <v>242.8</v>
      </c>
      <c r="F116" s="10">
        <v>38</v>
      </c>
      <c r="G116" s="10">
        <v>3912</v>
      </c>
      <c r="H116" s="11" t="s">
        <v>1093</v>
      </c>
      <c r="I116" s="12" t="s">
        <v>1094</v>
      </c>
      <c r="J116" s="13"/>
      <c r="K116" s="10" t="s">
        <v>4976</v>
      </c>
    </row>
    <row r="117" spans="1:11" ht="76.5" x14ac:dyDescent="0.25">
      <c r="A117" s="9" t="s">
        <v>4977</v>
      </c>
      <c r="B117" s="10" t="s">
        <v>840</v>
      </c>
      <c r="C117" s="10" t="s">
        <v>1403</v>
      </c>
      <c r="D117" s="10">
        <v>8073.9</v>
      </c>
      <c r="E117" s="10">
        <v>345.44</v>
      </c>
      <c r="F117" s="10">
        <v>43</v>
      </c>
      <c r="G117" s="10">
        <v>4619.49</v>
      </c>
      <c r="H117" s="11" t="s">
        <v>1093</v>
      </c>
      <c r="I117" s="12" t="s">
        <v>1094</v>
      </c>
      <c r="J117" s="13"/>
      <c r="K117" s="10" t="s">
        <v>4978</v>
      </c>
    </row>
    <row r="118" spans="1:11" ht="76.5" x14ac:dyDescent="0.25">
      <c r="A118" s="9" t="s">
        <v>4685</v>
      </c>
      <c r="B118" s="10" t="s">
        <v>547</v>
      </c>
      <c r="C118" s="10" t="s">
        <v>3496</v>
      </c>
      <c r="D118" s="10">
        <v>2391.9</v>
      </c>
      <c r="E118" s="10">
        <v>89.36</v>
      </c>
      <c r="F118" s="10">
        <v>53</v>
      </c>
      <c r="G118" s="10">
        <v>1117</v>
      </c>
      <c r="H118" s="11" t="s">
        <v>1093</v>
      </c>
      <c r="I118" s="12" t="s">
        <v>1094</v>
      </c>
      <c r="J118" s="13"/>
      <c r="K118" s="10" t="s">
        <v>4979</v>
      </c>
    </row>
    <row r="119" spans="1:11" ht="76.5" x14ac:dyDescent="0.25">
      <c r="A119" s="9" t="s">
        <v>4975</v>
      </c>
      <c r="B119" s="10" t="s">
        <v>377</v>
      </c>
      <c r="C119" s="10" t="s">
        <v>1666</v>
      </c>
      <c r="D119" s="10">
        <v>5608</v>
      </c>
      <c r="E119" s="10">
        <v>193.97</v>
      </c>
      <c r="F119" s="10">
        <v>35</v>
      </c>
      <c r="G119" s="10">
        <v>3668.28</v>
      </c>
      <c r="H119" s="11" t="s">
        <v>1093</v>
      </c>
      <c r="I119" s="12" t="s">
        <v>1094</v>
      </c>
      <c r="J119" s="13"/>
      <c r="K119" s="10" t="s">
        <v>4980</v>
      </c>
    </row>
    <row r="120" spans="1:11" ht="76.5" x14ac:dyDescent="0.25">
      <c r="A120" s="9" t="s">
        <v>4981</v>
      </c>
      <c r="B120" s="10" t="s">
        <v>826</v>
      </c>
      <c r="C120" s="10" t="s">
        <v>1463</v>
      </c>
      <c r="D120" s="10">
        <v>7436</v>
      </c>
      <c r="E120" s="10">
        <v>314.52</v>
      </c>
      <c r="F120" s="10">
        <v>42</v>
      </c>
      <c r="G120" s="10">
        <v>4290.7700000000004</v>
      </c>
      <c r="H120" s="11" t="s">
        <v>1093</v>
      </c>
      <c r="I120" s="12" t="s">
        <v>1094</v>
      </c>
      <c r="J120" s="13"/>
      <c r="K120" s="10" t="s">
        <v>4982</v>
      </c>
    </row>
    <row r="121" spans="1:11" ht="76.5" x14ac:dyDescent="0.25">
      <c r="A121" s="9" t="s">
        <v>1183</v>
      </c>
      <c r="B121" s="10" t="s">
        <v>554</v>
      </c>
      <c r="C121" s="10" t="s">
        <v>1099</v>
      </c>
      <c r="D121" s="10">
        <v>4758.8999999999996</v>
      </c>
      <c r="E121" s="10">
        <v>149.04</v>
      </c>
      <c r="F121" s="10">
        <v>31</v>
      </c>
      <c r="G121" s="10">
        <v>3268.42</v>
      </c>
      <c r="H121" s="11" t="s">
        <v>1093</v>
      </c>
      <c r="I121" s="12" t="s">
        <v>1094</v>
      </c>
      <c r="J121" s="13"/>
      <c r="K121" s="10" t="s">
        <v>4983</v>
      </c>
    </row>
    <row r="122" spans="1:11" ht="76.5" x14ac:dyDescent="0.25">
      <c r="A122" s="9" t="s">
        <v>1183</v>
      </c>
      <c r="B122" s="10" t="s">
        <v>853</v>
      </c>
      <c r="C122" s="10" t="s">
        <v>1099</v>
      </c>
      <c r="D122" s="10">
        <v>5326.9</v>
      </c>
      <c r="E122" s="10">
        <v>205.84</v>
      </c>
      <c r="F122" s="10">
        <v>39</v>
      </c>
      <c r="G122" s="10">
        <v>3268.43</v>
      </c>
      <c r="H122" s="11" t="s">
        <v>1093</v>
      </c>
      <c r="I122" s="12" t="s">
        <v>1094</v>
      </c>
      <c r="J122" s="13"/>
      <c r="K122" s="10" t="s">
        <v>4984</v>
      </c>
    </row>
    <row r="123" spans="1:11" ht="76.5" x14ac:dyDescent="0.25">
      <c r="A123" s="9" t="s">
        <v>4985</v>
      </c>
      <c r="B123" s="10" t="s">
        <v>525</v>
      </c>
      <c r="C123" s="10" t="s">
        <v>2306</v>
      </c>
      <c r="D123" s="10">
        <v>3986.9</v>
      </c>
      <c r="E123" s="10">
        <v>137.19999999999999</v>
      </c>
      <c r="F123" s="10">
        <v>34</v>
      </c>
      <c r="G123" s="10">
        <v>2614.85</v>
      </c>
      <c r="H123" s="11" t="s">
        <v>1093</v>
      </c>
      <c r="I123" s="12" t="s">
        <v>1094</v>
      </c>
      <c r="J123" s="13"/>
      <c r="K123" s="10" t="s">
        <v>4986</v>
      </c>
    </row>
    <row r="124" spans="1:11" ht="76.5" x14ac:dyDescent="0.25">
      <c r="A124" s="9" t="s">
        <v>4985</v>
      </c>
      <c r="B124" s="10" t="s">
        <v>913</v>
      </c>
      <c r="C124" s="10" t="s">
        <v>2306</v>
      </c>
      <c r="D124" s="10">
        <v>4160</v>
      </c>
      <c r="E124" s="10">
        <v>154.51</v>
      </c>
      <c r="F124" s="10">
        <v>37</v>
      </c>
      <c r="G124" s="10">
        <v>2614.85</v>
      </c>
      <c r="H124" s="11" t="s">
        <v>1093</v>
      </c>
      <c r="I124" s="12" t="s">
        <v>1094</v>
      </c>
      <c r="J124" s="13"/>
      <c r="K124" s="10" t="s">
        <v>4987</v>
      </c>
    </row>
    <row r="125" spans="1:11" ht="76.5" x14ac:dyDescent="0.25">
      <c r="A125" s="9" t="s">
        <v>4988</v>
      </c>
      <c r="B125" s="10" t="s">
        <v>688</v>
      </c>
      <c r="C125" s="10" t="s">
        <v>1375</v>
      </c>
      <c r="D125" s="10">
        <v>7539.9</v>
      </c>
      <c r="E125" s="10">
        <v>251.89</v>
      </c>
      <c r="F125" s="10">
        <v>33</v>
      </c>
      <c r="G125" s="10">
        <v>5021</v>
      </c>
      <c r="H125" s="11" t="s">
        <v>1093</v>
      </c>
      <c r="I125" s="12" t="s">
        <v>1094</v>
      </c>
      <c r="J125" s="13"/>
      <c r="K125" s="10" t="s">
        <v>4989</v>
      </c>
    </row>
    <row r="126" spans="1:11" ht="76.5" x14ac:dyDescent="0.25">
      <c r="A126" s="9" t="s">
        <v>1167</v>
      </c>
      <c r="B126" s="10" t="s">
        <v>546</v>
      </c>
      <c r="C126" s="10" t="s">
        <v>1143</v>
      </c>
      <c r="D126" s="10">
        <v>3427.9</v>
      </c>
      <c r="E126" s="10">
        <v>143.38999999999999</v>
      </c>
      <c r="F126" s="10">
        <v>48</v>
      </c>
      <c r="G126" s="10">
        <v>1792.44</v>
      </c>
      <c r="H126" s="11" t="s">
        <v>1093</v>
      </c>
      <c r="I126" s="12" t="s">
        <v>1094</v>
      </c>
      <c r="J126" s="13"/>
      <c r="K126" s="10" t="s">
        <v>4990</v>
      </c>
    </row>
    <row r="127" spans="1:11" ht="76.5" x14ac:dyDescent="0.25">
      <c r="A127" s="9" t="s">
        <v>4991</v>
      </c>
      <c r="B127" s="10" t="s">
        <v>883</v>
      </c>
      <c r="C127" s="10" t="s">
        <v>3534</v>
      </c>
      <c r="D127" s="10">
        <v>2617.9</v>
      </c>
      <c r="E127" s="10">
        <v>114.45</v>
      </c>
      <c r="F127" s="10">
        <v>45</v>
      </c>
      <c r="G127" s="10">
        <v>1430.63</v>
      </c>
      <c r="H127" s="11" t="s">
        <v>1093</v>
      </c>
      <c r="I127" s="12" t="s">
        <v>1094</v>
      </c>
      <c r="J127" s="13"/>
      <c r="K127" s="10" t="s">
        <v>4992</v>
      </c>
    </row>
    <row r="128" spans="1:11" ht="76.5" x14ac:dyDescent="0.25">
      <c r="A128" s="9" t="s">
        <v>1150</v>
      </c>
      <c r="B128" s="10" t="s">
        <v>294</v>
      </c>
      <c r="C128" s="10" t="s">
        <v>1095</v>
      </c>
      <c r="D128" s="10">
        <v>4497.8999999999996</v>
      </c>
      <c r="E128" s="10">
        <v>176.02</v>
      </c>
      <c r="F128" s="10">
        <v>39</v>
      </c>
      <c r="G128" s="10">
        <v>2737.62</v>
      </c>
      <c r="H128" s="11" t="s">
        <v>1093</v>
      </c>
      <c r="I128" s="12" t="s">
        <v>1094</v>
      </c>
      <c r="J128" s="13"/>
      <c r="K128" s="10" t="s">
        <v>4993</v>
      </c>
    </row>
    <row r="129" spans="1:11" ht="76.5" x14ac:dyDescent="0.25">
      <c r="A129" s="9" t="s">
        <v>1180</v>
      </c>
      <c r="B129" s="10" t="s">
        <v>335</v>
      </c>
      <c r="C129" s="10" t="s">
        <v>1101</v>
      </c>
      <c r="D129" s="10">
        <v>5312.9</v>
      </c>
      <c r="E129" s="10">
        <v>160.13999999999999</v>
      </c>
      <c r="F129" s="10">
        <v>30</v>
      </c>
      <c r="G129" s="10">
        <v>3711.46</v>
      </c>
      <c r="H129" s="11" t="s">
        <v>1093</v>
      </c>
      <c r="I129" s="12" t="s">
        <v>1094</v>
      </c>
      <c r="J129" s="13"/>
      <c r="K129" s="10" t="s">
        <v>4994</v>
      </c>
    </row>
    <row r="130" spans="1:11" ht="76.5" x14ac:dyDescent="0.25">
      <c r="A130" s="9" t="s">
        <v>4991</v>
      </c>
      <c r="B130" s="10" t="s">
        <v>463</v>
      </c>
      <c r="C130" s="10" t="s">
        <v>3534</v>
      </c>
      <c r="D130" s="10">
        <v>2355.9</v>
      </c>
      <c r="E130" s="10">
        <v>92.52</v>
      </c>
      <c r="F130" s="10">
        <v>39</v>
      </c>
      <c r="G130" s="10">
        <v>1430.62</v>
      </c>
      <c r="H130" s="11" t="s">
        <v>1093</v>
      </c>
      <c r="I130" s="12" t="s">
        <v>1094</v>
      </c>
      <c r="J130" s="13"/>
      <c r="K130" s="10" t="s">
        <v>4995</v>
      </c>
    </row>
    <row r="131" spans="1:11" ht="76.5" x14ac:dyDescent="0.25">
      <c r="A131" s="9" t="s">
        <v>4996</v>
      </c>
      <c r="B131" s="10" t="s">
        <v>319</v>
      </c>
      <c r="C131" s="10" t="s">
        <v>3429</v>
      </c>
      <c r="D131" s="10">
        <v>2423.9</v>
      </c>
      <c r="E131" s="10">
        <v>88.3</v>
      </c>
      <c r="F131" s="10">
        <v>36</v>
      </c>
      <c r="G131" s="10">
        <v>1540.84</v>
      </c>
      <c r="H131" s="11" t="s">
        <v>1093</v>
      </c>
      <c r="I131" s="12" t="s">
        <v>1094</v>
      </c>
      <c r="J131" s="13"/>
      <c r="K131" s="10" t="s">
        <v>4997</v>
      </c>
    </row>
    <row r="132" spans="1:11" ht="76.5" x14ac:dyDescent="0.25">
      <c r="A132" s="9" t="s">
        <v>4860</v>
      </c>
      <c r="B132" s="10" t="s">
        <v>698</v>
      </c>
      <c r="C132" s="10" t="s">
        <v>1113</v>
      </c>
      <c r="D132" s="10">
        <v>3567.9</v>
      </c>
      <c r="E132" s="10">
        <v>155.38</v>
      </c>
      <c r="F132" s="10">
        <v>46</v>
      </c>
      <c r="G132" s="10">
        <v>1942.35</v>
      </c>
      <c r="H132" s="11" t="s">
        <v>1093</v>
      </c>
      <c r="I132" s="12" t="s">
        <v>1094</v>
      </c>
      <c r="J132" s="13"/>
      <c r="K132" s="10" t="s">
        <v>4998</v>
      </c>
    </row>
    <row r="133" spans="1:11" ht="76.5" x14ac:dyDescent="0.25">
      <c r="A133" s="9" t="s">
        <v>4999</v>
      </c>
      <c r="B133" s="10" t="s">
        <v>751</v>
      </c>
      <c r="C133" s="10" t="s">
        <v>1152</v>
      </c>
      <c r="D133" s="10">
        <v>2765.9</v>
      </c>
      <c r="E133" s="10">
        <v>110.88</v>
      </c>
      <c r="F133" s="10">
        <v>50</v>
      </c>
      <c r="G133" s="10">
        <v>1386</v>
      </c>
      <c r="H133" s="11" t="s">
        <v>1093</v>
      </c>
      <c r="I133" s="12" t="s">
        <v>1094</v>
      </c>
      <c r="J133" s="13"/>
      <c r="K133" s="10" t="s">
        <v>5000</v>
      </c>
    </row>
    <row r="134" spans="1:11" ht="76.5" x14ac:dyDescent="0.25">
      <c r="A134" s="9" t="s">
        <v>5001</v>
      </c>
      <c r="B134" s="10" t="s">
        <v>724</v>
      </c>
      <c r="C134" s="10" t="s">
        <v>1100</v>
      </c>
      <c r="D134" s="10">
        <v>3725</v>
      </c>
      <c r="E134" s="10">
        <v>163.68</v>
      </c>
      <c r="F134" s="10">
        <v>45</v>
      </c>
      <c r="G134" s="10">
        <v>2046</v>
      </c>
      <c r="H134" s="11" t="s">
        <v>1093</v>
      </c>
      <c r="I134" s="12" t="s">
        <v>1094</v>
      </c>
      <c r="J134" s="13"/>
      <c r="K134" s="10" t="s">
        <v>5002</v>
      </c>
    </row>
    <row r="135" spans="1:11" ht="76.5" x14ac:dyDescent="0.25">
      <c r="A135" s="9" t="s">
        <v>1166</v>
      </c>
      <c r="B135" s="10" t="s">
        <v>722</v>
      </c>
      <c r="C135" s="10" t="s">
        <v>1109</v>
      </c>
      <c r="D135" s="10">
        <v>3518.9</v>
      </c>
      <c r="E135" s="10">
        <v>121.68</v>
      </c>
      <c r="F135" s="10">
        <v>57</v>
      </c>
      <c r="G135" s="10">
        <v>1521</v>
      </c>
      <c r="H135" s="11" t="s">
        <v>1093</v>
      </c>
      <c r="I135" s="12" t="s">
        <v>1094</v>
      </c>
      <c r="J135" s="13"/>
      <c r="K135" s="10" t="s">
        <v>5003</v>
      </c>
    </row>
    <row r="136" spans="1:11" ht="76.5" x14ac:dyDescent="0.25">
      <c r="A136" s="9" t="s">
        <v>1186</v>
      </c>
      <c r="B136" s="10" t="s">
        <v>710</v>
      </c>
      <c r="C136" s="10" t="s">
        <v>1097</v>
      </c>
      <c r="D136" s="10">
        <v>2360.9</v>
      </c>
      <c r="E136" s="10">
        <v>83.2</v>
      </c>
      <c r="F136" s="10">
        <v>56</v>
      </c>
      <c r="G136" s="10">
        <v>1040</v>
      </c>
      <c r="H136" s="11" t="s">
        <v>1093</v>
      </c>
      <c r="I136" s="12" t="s">
        <v>1094</v>
      </c>
      <c r="J136" s="13"/>
      <c r="K136" s="10" t="s">
        <v>5004</v>
      </c>
    </row>
    <row r="137" spans="1:11" ht="76.5" x14ac:dyDescent="0.25">
      <c r="A137" s="9" t="s">
        <v>4683</v>
      </c>
      <c r="B137" s="10" t="s">
        <v>708</v>
      </c>
      <c r="C137" s="10" t="s">
        <v>3620</v>
      </c>
      <c r="D137" s="10">
        <v>2428.9</v>
      </c>
      <c r="E137" s="10">
        <v>84.5</v>
      </c>
      <c r="F137" s="10">
        <v>35</v>
      </c>
      <c r="G137" s="10">
        <v>1583.84</v>
      </c>
      <c r="H137" s="11" t="s">
        <v>1093</v>
      </c>
      <c r="I137" s="12" t="s">
        <v>1094</v>
      </c>
      <c r="J137" s="13"/>
      <c r="K137" s="10" t="s">
        <v>5005</v>
      </c>
    </row>
    <row r="138" spans="1:11" ht="76.5" x14ac:dyDescent="0.25">
      <c r="A138" s="9" t="s">
        <v>5006</v>
      </c>
      <c r="B138" s="10" t="s">
        <v>718</v>
      </c>
      <c r="C138" s="10" t="s">
        <v>1096</v>
      </c>
      <c r="D138" s="10">
        <v>2976.9</v>
      </c>
      <c r="E138" s="10">
        <v>120.8</v>
      </c>
      <c r="F138" s="10">
        <v>49</v>
      </c>
      <c r="G138" s="10">
        <v>1510</v>
      </c>
      <c r="H138" s="11" t="s">
        <v>1093</v>
      </c>
      <c r="I138" s="12" t="s">
        <v>1094</v>
      </c>
      <c r="J138" s="13"/>
      <c r="K138" s="10" t="s">
        <v>5007</v>
      </c>
    </row>
    <row r="139" spans="1:11" ht="76.5" x14ac:dyDescent="0.25">
      <c r="A139" s="9" t="s">
        <v>5008</v>
      </c>
      <c r="B139" s="10" t="s">
        <v>943</v>
      </c>
      <c r="C139" s="10" t="s">
        <v>2968</v>
      </c>
      <c r="D139" s="10">
        <v>3553.9</v>
      </c>
      <c r="E139" s="10">
        <v>146.38999999999999</v>
      </c>
      <c r="F139" s="10">
        <v>41</v>
      </c>
      <c r="G139" s="10">
        <v>2090</v>
      </c>
      <c r="H139" s="11" t="s">
        <v>1093</v>
      </c>
      <c r="I139" s="12" t="s">
        <v>1094</v>
      </c>
      <c r="J139" s="13"/>
      <c r="K139" s="10" t="s">
        <v>5009</v>
      </c>
    </row>
    <row r="140" spans="1:11" ht="76.5" x14ac:dyDescent="0.25">
      <c r="A140" s="9" t="s">
        <v>4883</v>
      </c>
      <c r="B140" s="10" t="s">
        <v>705</v>
      </c>
      <c r="C140" s="10" t="s">
        <v>3704</v>
      </c>
      <c r="D140" s="10">
        <v>2396.9</v>
      </c>
      <c r="E140" s="10">
        <v>100.77</v>
      </c>
      <c r="F140" s="10">
        <v>47</v>
      </c>
      <c r="G140" s="10">
        <v>1259.68</v>
      </c>
      <c r="H140" s="11" t="s">
        <v>1093</v>
      </c>
      <c r="I140" s="12" t="s">
        <v>1094</v>
      </c>
      <c r="J140" s="13"/>
      <c r="K140" s="10" t="s">
        <v>5010</v>
      </c>
    </row>
    <row r="141" spans="1:11" ht="76.5" x14ac:dyDescent="0.25">
      <c r="A141" s="9" t="s">
        <v>5011</v>
      </c>
      <c r="B141" s="10" t="s">
        <v>882</v>
      </c>
      <c r="C141" s="10" t="s">
        <v>3104</v>
      </c>
      <c r="D141" s="10">
        <v>3366.9</v>
      </c>
      <c r="E141" s="10">
        <v>146.97</v>
      </c>
      <c r="F141" s="10">
        <v>45</v>
      </c>
      <c r="G141" s="10">
        <v>1837.24</v>
      </c>
      <c r="H141" s="11" t="s">
        <v>1093</v>
      </c>
      <c r="I141" s="12" t="s">
        <v>1094</v>
      </c>
      <c r="J141" s="13"/>
      <c r="K141" s="10" t="s">
        <v>5012</v>
      </c>
    </row>
    <row r="142" spans="1:11" ht="76.5" x14ac:dyDescent="0.25">
      <c r="A142" s="9" t="s">
        <v>4737</v>
      </c>
      <c r="B142" s="10" t="s">
        <v>875</v>
      </c>
      <c r="C142" s="10" t="s">
        <v>1184</v>
      </c>
      <c r="D142" s="10">
        <v>4558.8999999999996</v>
      </c>
      <c r="E142" s="10">
        <v>155.12</v>
      </c>
      <c r="F142" s="10">
        <v>34</v>
      </c>
      <c r="G142" s="10">
        <v>3007.69</v>
      </c>
      <c r="H142" s="11" t="s">
        <v>1093</v>
      </c>
      <c r="I142" s="12" t="s">
        <v>1094</v>
      </c>
      <c r="J142" s="13"/>
      <c r="K142" s="10" t="s">
        <v>5013</v>
      </c>
    </row>
    <row r="143" spans="1:11" ht="76.5" x14ac:dyDescent="0.25">
      <c r="A143" s="9" t="s">
        <v>4879</v>
      </c>
      <c r="B143" s="10" t="s">
        <v>704</v>
      </c>
      <c r="C143" s="10" t="s">
        <v>3314</v>
      </c>
      <c r="D143" s="10">
        <v>3016.9</v>
      </c>
      <c r="E143" s="10">
        <v>131.69</v>
      </c>
      <c r="F143" s="10">
        <v>45</v>
      </c>
      <c r="G143" s="10">
        <v>1646.17</v>
      </c>
      <c r="H143" s="11" t="s">
        <v>1093</v>
      </c>
      <c r="I143" s="12" t="s">
        <v>1094</v>
      </c>
      <c r="J143" s="13"/>
      <c r="K143" s="10" t="s">
        <v>5014</v>
      </c>
    </row>
    <row r="144" spans="1:11" ht="76.5" x14ac:dyDescent="0.25">
      <c r="A144" s="9" t="s">
        <v>5015</v>
      </c>
      <c r="B144" s="10" t="s">
        <v>879</v>
      </c>
      <c r="C144" s="10" t="s">
        <v>3039</v>
      </c>
      <c r="D144" s="10">
        <v>3438.9</v>
      </c>
      <c r="E144" s="10">
        <v>152.25</v>
      </c>
      <c r="F144" s="10">
        <v>45</v>
      </c>
      <c r="G144" s="10">
        <v>1903.23</v>
      </c>
      <c r="H144" s="11" t="s">
        <v>1093</v>
      </c>
      <c r="I144" s="12" t="s">
        <v>1094</v>
      </c>
      <c r="J144" s="13"/>
      <c r="K144" s="10" t="s">
        <v>5016</v>
      </c>
    </row>
    <row r="145" spans="1:11" ht="76.5" x14ac:dyDescent="0.25">
      <c r="A145" s="9" t="s">
        <v>5017</v>
      </c>
      <c r="B145" s="10" t="s">
        <v>388</v>
      </c>
      <c r="C145" s="10" t="s">
        <v>2271</v>
      </c>
      <c r="D145" s="10">
        <v>4520.8999999999996</v>
      </c>
      <c r="E145" s="10">
        <v>188</v>
      </c>
      <c r="F145" s="10">
        <v>42</v>
      </c>
      <c r="G145" s="10">
        <v>2640.9</v>
      </c>
      <c r="H145" s="11" t="s">
        <v>1093</v>
      </c>
      <c r="I145" s="12" t="s">
        <v>1094</v>
      </c>
      <c r="J145" s="13"/>
      <c r="K145" s="10" t="s">
        <v>5018</v>
      </c>
    </row>
    <row r="146" spans="1:11" ht="76.5" x14ac:dyDescent="0.25">
      <c r="A146" s="9" t="s">
        <v>4832</v>
      </c>
      <c r="B146" s="10" t="s">
        <v>408</v>
      </c>
      <c r="C146" s="10" t="s">
        <v>1845</v>
      </c>
      <c r="D146" s="10">
        <v>5586.9</v>
      </c>
      <c r="E146" s="10">
        <v>232.92</v>
      </c>
      <c r="F146" s="10">
        <v>42</v>
      </c>
      <c r="G146" s="10">
        <v>3257.62</v>
      </c>
      <c r="H146" s="11" t="s">
        <v>1093</v>
      </c>
      <c r="I146" s="12" t="s">
        <v>1094</v>
      </c>
      <c r="J146" s="13"/>
      <c r="K146" s="10" t="s">
        <v>5019</v>
      </c>
    </row>
    <row r="147" spans="1:11" ht="76.5" x14ac:dyDescent="0.25">
      <c r="A147" s="9" t="s">
        <v>4936</v>
      </c>
      <c r="B147" s="10" t="s">
        <v>697</v>
      </c>
      <c r="C147" s="10" t="s">
        <v>3370</v>
      </c>
      <c r="D147" s="10">
        <v>2959.9</v>
      </c>
      <c r="E147" s="10">
        <v>127.79</v>
      </c>
      <c r="F147" s="10">
        <v>46</v>
      </c>
      <c r="G147" s="10">
        <v>1597.45</v>
      </c>
      <c r="H147" s="11" t="s">
        <v>1093</v>
      </c>
      <c r="I147" s="12" t="s">
        <v>1094</v>
      </c>
      <c r="J147" s="13"/>
      <c r="K147" s="10" t="s">
        <v>5020</v>
      </c>
    </row>
    <row r="148" spans="1:11" ht="76.5" x14ac:dyDescent="0.25">
      <c r="A148" s="9" t="s">
        <v>4938</v>
      </c>
      <c r="B148" s="10" t="s">
        <v>872</v>
      </c>
      <c r="C148" s="10" t="s">
        <v>2765</v>
      </c>
      <c r="D148" s="10">
        <v>4033.9</v>
      </c>
      <c r="E148" s="10">
        <v>169.18</v>
      </c>
      <c r="F148" s="10">
        <v>48</v>
      </c>
      <c r="G148" s="10">
        <v>2114.84</v>
      </c>
      <c r="H148" s="11" t="s">
        <v>1093</v>
      </c>
      <c r="I148" s="12" t="s">
        <v>1094</v>
      </c>
      <c r="J148" s="13"/>
      <c r="K148" s="10" t="s">
        <v>5021</v>
      </c>
    </row>
    <row r="149" spans="1:11" ht="76.5" x14ac:dyDescent="0.25">
      <c r="A149" s="9" t="s">
        <v>5022</v>
      </c>
      <c r="B149" s="10" t="s">
        <v>744</v>
      </c>
      <c r="C149" s="10" t="s">
        <v>1815</v>
      </c>
      <c r="D149" s="10">
        <v>5989.9</v>
      </c>
      <c r="E149" s="10">
        <v>211.43</v>
      </c>
      <c r="F149" s="10">
        <v>35</v>
      </c>
      <c r="G149" s="10">
        <v>3875.51</v>
      </c>
      <c r="H149" s="11" t="s">
        <v>1093</v>
      </c>
      <c r="I149" s="12" t="s">
        <v>1094</v>
      </c>
      <c r="J149" s="13"/>
      <c r="K149" s="10" t="s">
        <v>5023</v>
      </c>
    </row>
    <row r="150" spans="1:11" ht="76.5" x14ac:dyDescent="0.25">
      <c r="A150" s="9" t="s">
        <v>4682</v>
      </c>
      <c r="B150" s="10" t="s">
        <v>345</v>
      </c>
      <c r="C150" s="10" t="s">
        <v>1151</v>
      </c>
      <c r="D150" s="10">
        <v>1059.9000000000001</v>
      </c>
      <c r="E150" s="10">
        <v>40.93</v>
      </c>
      <c r="F150" s="10">
        <v>45</v>
      </c>
      <c r="G150" s="10">
        <v>584.83000000000004</v>
      </c>
      <c r="H150" s="11" t="s">
        <v>1093</v>
      </c>
      <c r="I150" s="12" t="s">
        <v>1094</v>
      </c>
      <c r="J150" s="13"/>
      <c r="K150" s="10" t="s">
        <v>5024</v>
      </c>
    </row>
    <row r="151" spans="1:11" ht="76.5" x14ac:dyDescent="0.25">
      <c r="A151" s="9" t="s">
        <v>5025</v>
      </c>
      <c r="B151" s="10" t="s">
        <v>1010</v>
      </c>
      <c r="C151" s="10" t="s">
        <v>4073</v>
      </c>
      <c r="D151" s="10">
        <v>1461.9</v>
      </c>
      <c r="E151" s="10">
        <v>47.07</v>
      </c>
      <c r="F151" s="10">
        <v>54</v>
      </c>
      <c r="G151" s="10">
        <v>672.53</v>
      </c>
      <c r="H151" s="11" t="s">
        <v>1093</v>
      </c>
      <c r="I151" s="12" t="s">
        <v>1094</v>
      </c>
      <c r="J151" s="13"/>
      <c r="K151" s="10" t="s">
        <v>5026</v>
      </c>
    </row>
    <row r="152" spans="1:11" ht="76.5" x14ac:dyDescent="0.25">
      <c r="A152" s="9" t="s">
        <v>4681</v>
      </c>
      <c r="B152" s="10" t="s">
        <v>407</v>
      </c>
      <c r="C152" s="10" t="s">
        <v>3124</v>
      </c>
      <c r="D152" s="10">
        <v>2731</v>
      </c>
      <c r="E152" s="10">
        <v>105.04</v>
      </c>
      <c r="F152" s="10">
        <v>52</v>
      </c>
      <c r="G152" s="10">
        <v>1313</v>
      </c>
      <c r="H152" s="11" t="s">
        <v>1093</v>
      </c>
      <c r="I152" s="12" t="s">
        <v>1094</v>
      </c>
      <c r="J152" s="13"/>
      <c r="K152" s="10" t="s">
        <v>5027</v>
      </c>
    </row>
    <row r="153" spans="1:11" ht="76.5" x14ac:dyDescent="0.25">
      <c r="A153" s="9" t="s">
        <v>5028</v>
      </c>
      <c r="B153" s="10" t="s">
        <v>400</v>
      </c>
      <c r="C153" s="10" t="s">
        <v>3746</v>
      </c>
      <c r="D153" s="10">
        <v>2050.9</v>
      </c>
      <c r="E153" s="10">
        <v>84.24</v>
      </c>
      <c r="F153" s="10">
        <v>41</v>
      </c>
      <c r="G153" s="10">
        <v>1208.44</v>
      </c>
      <c r="H153" s="11" t="s">
        <v>1093</v>
      </c>
      <c r="I153" s="12" t="s">
        <v>1094</v>
      </c>
      <c r="J153" s="13"/>
      <c r="K153" s="10" t="s">
        <v>5029</v>
      </c>
    </row>
    <row r="154" spans="1:11" ht="76.5" x14ac:dyDescent="0.25">
      <c r="A154" s="9" t="s">
        <v>4999</v>
      </c>
      <c r="B154" s="10" t="s">
        <v>286</v>
      </c>
      <c r="C154" s="10" t="s">
        <v>1152</v>
      </c>
      <c r="D154" s="10">
        <v>2496.9</v>
      </c>
      <c r="E154" s="10">
        <v>106.8</v>
      </c>
      <c r="F154" s="10">
        <v>43</v>
      </c>
      <c r="G154" s="10">
        <v>1428.84</v>
      </c>
      <c r="H154" s="11" t="s">
        <v>1093</v>
      </c>
      <c r="I154" s="12" t="s">
        <v>1094</v>
      </c>
      <c r="J154" s="13"/>
      <c r="K154" s="10" t="s">
        <v>5030</v>
      </c>
    </row>
    <row r="155" spans="1:11" ht="76.5" x14ac:dyDescent="0.25">
      <c r="A155" s="9" t="s">
        <v>4891</v>
      </c>
      <c r="B155" s="10" t="s">
        <v>804</v>
      </c>
      <c r="C155" s="10" t="s">
        <v>2414</v>
      </c>
      <c r="D155" s="10">
        <v>4657.8999999999996</v>
      </c>
      <c r="E155" s="10">
        <v>204.69</v>
      </c>
      <c r="F155" s="10">
        <v>44</v>
      </c>
      <c r="G155" s="10">
        <v>2611</v>
      </c>
      <c r="H155" s="11" t="s">
        <v>1093</v>
      </c>
      <c r="I155" s="12" t="s">
        <v>1094</v>
      </c>
      <c r="J155" s="13"/>
      <c r="K155" s="10" t="s">
        <v>5031</v>
      </c>
    </row>
    <row r="156" spans="1:11" ht="76.5" x14ac:dyDescent="0.25">
      <c r="A156" s="9" t="s">
        <v>5032</v>
      </c>
      <c r="B156" s="10" t="s">
        <v>298</v>
      </c>
      <c r="C156" s="10" t="s">
        <v>1112</v>
      </c>
      <c r="D156" s="10">
        <v>2749</v>
      </c>
      <c r="E156" s="10">
        <v>97.61</v>
      </c>
      <c r="F156" s="10">
        <v>36</v>
      </c>
      <c r="G156" s="10">
        <v>1772.83</v>
      </c>
      <c r="H156" s="11" t="s">
        <v>1093</v>
      </c>
      <c r="I156" s="12" t="s">
        <v>1094</v>
      </c>
      <c r="J156" s="13"/>
      <c r="K156" s="10" t="s">
        <v>5033</v>
      </c>
    </row>
    <row r="157" spans="1:11" ht="76.5" x14ac:dyDescent="0.25">
      <c r="A157" s="9" t="s">
        <v>5034</v>
      </c>
      <c r="B157" s="10" t="s">
        <v>837</v>
      </c>
      <c r="C157" s="10" t="s">
        <v>3082</v>
      </c>
      <c r="D157" s="10">
        <v>3541.9</v>
      </c>
      <c r="E157" s="10">
        <v>148.36000000000001</v>
      </c>
      <c r="F157" s="10">
        <v>48</v>
      </c>
      <c r="G157" s="10">
        <v>1854.58</v>
      </c>
      <c r="H157" s="11" t="s">
        <v>1093</v>
      </c>
      <c r="I157" s="12" t="s">
        <v>1094</v>
      </c>
      <c r="J157" s="13"/>
      <c r="K157" s="10" t="s">
        <v>5035</v>
      </c>
    </row>
    <row r="158" spans="1:11" ht="76.5" x14ac:dyDescent="0.25">
      <c r="A158" s="9" t="s">
        <v>5032</v>
      </c>
      <c r="B158" s="10" t="s">
        <v>707</v>
      </c>
      <c r="C158" s="10" t="s">
        <v>1112</v>
      </c>
      <c r="D158" s="10">
        <v>3138</v>
      </c>
      <c r="E158" s="10">
        <v>136.51</v>
      </c>
      <c r="F158" s="10">
        <v>44</v>
      </c>
      <c r="G158" s="10">
        <v>1772.83</v>
      </c>
      <c r="H158" s="11" t="s">
        <v>1093</v>
      </c>
      <c r="I158" s="12" t="s">
        <v>1094</v>
      </c>
      <c r="J158" s="13"/>
      <c r="K158" s="10" t="s">
        <v>5036</v>
      </c>
    </row>
    <row r="159" spans="1:11" ht="76.5" x14ac:dyDescent="0.25">
      <c r="A159" s="9" t="s">
        <v>5015</v>
      </c>
      <c r="B159" s="10" t="s">
        <v>442</v>
      </c>
      <c r="C159" s="10" t="s">
        <v>3039</v>
      </c>
      <c r="D159" s="10">
        <v>3040.9</v>
      </c>
      <c r="E159" s="10">
        <v>113.76</v>
      </c>
      <c r="F159" s="10">
        <v>37</v>
      </c>
      <c r="G159" s="10">
        <v>1903.22</v>
      </c>
      <c r="H159" s="11" t="s">
        <v>1093</v>
      </c>
      <c r="I159" s="12" t="s">
        <v>1094</v>
      </c>
      <c r="J159" s="13"/>
      <c r="K159" s="10" t="s">
        <v>5037</v>
      </c>
    </row>
    <row r="160" spans="1:11" ht="76.5" x14ac:dyDescent="0.25">
      <c r="A160" s="9" t="s">
        <v>4712</v>
      </c>
      <c r="B160" s="10" t="s">
        <v>402</v>
      </c>
      <c r="C160" s="10" t="s">
        <v>2723</v>
      </c>
      <c r="D160" s="10">
        <v>3478.9</v>
      </c>
      <c r="E160" s="10">
        <v>144</v>
      </c>
      <c r="F160" s="10">
        <v>48</v>
      </c>
      <c r="G160" s="10">
        <v>1800</v>
      </c>
      <c r="H160" s="11" t="s">
        <v>1093</v>
      </c>
      <c r="I160" s="12" t="s">
        <v>1094</v>
      </c>
      <c r="J160" s="13"/>
      <c r="K160" s="10" t="s">
        <v>5038</v>
      </c>
    </row>
    <row r="161" spans="1:11" ht="76.5" x14ac:dyDescent="0.25">
      <c r="A161" s="9" t="s">
        <v>4735</v>
      </c>
      <c r="B161" s="10" t="s">
        <v>508</v>
      </c>
      <c r="C161" s="10" t="s">
        <v>1158</v>
      </c>
      <c r="D161" s="10">
        <v>1773.9</v>
      </c>
      <c r="E161" s="10">
        <v>77.900000000000006</v>
      </c>
      <c r="F161" s="10">
        <v>44</v>
      </c>
      <c r="G161" s="10">
        <v>994.84</v>
      </c>
      <c r="H161" s="11" t="s">
        <v>1093</v>
      </c>
      <c r="I161" s="12" t="s">
        <v>1094</v>
      </c>
      <c r="J161" s="13"/>
      <c r="K161" s="10" t="s">
        <v>5039</v>
      </c>
    </row>
    <row r="162" spans="1:11" ht="76.5" x14ac:dyDescent="0.25">
      <c r="A162" s="9" t="s">
        <v>5011</v>
      </c>
      <c r="B162" s="10" t="s">
        <v>531</v>
      </c>
      <c r="C162" s="10" t="s">
        <v>3104</v>
      </c>
      <c r="D162" s="10">
        <v>2980.9</v>
      </c>
      <c r="E162" s="10">
        <v>114.36</v>
      </c>
      <c r="F162" s="10">
        <v>38</v>
      </c>
      <c r="G162" s="10">
        <v>1837.23</v>
      </c>
      <c r="H162" s="11" t="s">
        <v>1093</v>
      </c>
      <c r="I162" s="12" t="s">
        <v>1094</v>
      </c>
      <c r="J162" s="13"/>
      <c r="K162" s="10" t="s">
        <v>5040</v>
      </c>
    </row>
    <row r="163" spans="1:11" ht="76.5" x14ac:dyDescent="0.25">
      <c r="A163" s="9" t="s">
        <v>4875</v>
      </c>
      <c r="B163" s="10" t="s">
        <v>807</v>
      </c>
      <c r="C163" s="10" t="s">
        <v>3504</v>
      </c>
      <c r="D163" s="10">
        <v>3017.9</v>
      </c>
      <c r="E163" s="10">
        <v>118.66</v>
      </c>
      <c r="F163" s="10">
        <v>51</v>
      </c>
      <c r="G163" s="10">
        <v>1483.37</v>
      </c>
      <c r="H163" s="11" t="s">
        <v>1093</v>
      </c>
      <c r="I163" s="12" t="s">
        <v>1094</v>
      </c>
      <c r="J163" s="13"/>
      <c r="K163" s="10" t="s">
        <v>5041</v>
      </c>
    </row>
    <row r="164" spans="1:11" ht="76.5" x14ac:dyDescent="0.25">
      <c r="A164" s="9" t="s">
        <v>5042</v>
      </c>
      <c r="B164" s="10" t="s">
        <v>291</v>
      </c>
      <c r="C164" s="10" t="s">
        <v>1100</v>
      </c>
      <c r="D164" s="10">
        <v>3282</v>
      </c>
      <c r="E164" s="10">
        <v>131.84</v>
      </c>
      <c r="F164" s="10">
        <v>50</v>
      </c>
      <c r="G164" s="10">
        <v>1648</v>
      </c>
      <c r="H164" s="11" t="s">
        <v>1093</v>
      </c>
      <c r="I164" s="12" t="s">
        <v>1094</v>
      </c>
      <c r="J164" s="13"/>
      <c r="K164" s="10" t="s">
        <v>5043</v>
      </c>
    </row>
    <row r="165" spans="1:11" ht="76.5" x14ac:dyDescent="0.25">
      <c r="A165" s="9" t="s">
        <v>5044</v>
      </c>
      <c r="B165" s="10" t="s">
        <v>390</v>
      </c>
      <c r="C165" s="10" t="s">
        <v>2456</v>
      </c>
      <c r="D165" s="10">
        <v>4576.8999999999996</v>
      </c>
      <c r="E165" s="10">
        <v>187.44</v>
      </c>
      <c r="F165" s="10">
        <v>49</v>
      </c>
      <c r="G165" s="10">
        <v>2343</v>
      </c>
      <c r="H165" s="11" t="s">
        <v>1093</v>
      </c>
      <c r="I165" s="12" t="s">
        <v>1094</v>
      </c>
      <c r="J165" s="13"/>
      <c r="K165" s="10" t="s">
        <v>5045</v>
      </c>
    </row>
    <row r="166" spans="1:11" ht="76.5" x14ac:dyDescent="0.25">
      <c r="A166" s="9" t="s">
        <v>5046</v>
      </c>
      <c r="B166" s="10" t="s">
        <v>309</v>
      </c>
      <c r="C166" s="10" t="s">
        <v>3445</v>
      </c>
      <c r="D166" s="10">
        <v>3079.9</v>
      </c>
      <c r="E166" s="10">
        <v>122.01</v>
      </c>
      <c r="F166" s="10">
        <v>50</v>
      </c>
      <c r="G166" s="10">
        <v>1525.2</v>
      </c>
      <c r="H166" s="11" t="s">
        <v>1093</v>
      </c>
      <c r="I166" s="12" t="s">
        <v>1094</v>
      </c>
      <c r="J166" s="13"/>
      <c r="K166" s="10" t="s">
        <v>5047</v>
      </c>
    </row>
    <row r="167" spans="1:11" ht="76.5" x14ac:dyDescent="0.25">
      <c r="A167" s="9" t="s">
        <v>1166</v>
      </c>
      <c r="B167" s="10" t="s">
        <v>541</v>
      </c>
      <c r="C167" s="10" t="s">
        <v>1109</v>
      </c>
      <c r="D167" s="10">
        <v>3124.9</v>
      </c>
      <c r="E167" s="10">
        <v>108.08</v>
      </c>
      <c r="F167" s="10">
        <v>57</v>
      </c>
      <c r="G167" s="10">
        <v>1351</v>
      </c>
      <c r="H167" s="11" t="s">
        <v>1093</v>
      </c>
      <c r="I167" s="12" t="s">
        <v>1094</v>
      </c>
      <c r="J167" s="13"/>
      <c r="K167" s="10" t="s">
        <v>5048</v>
      </c>
    </row>
    <row r="168" spans="1:11" ht="76.5" x14ac:dyDescent="0.25">
      <c r="A168" s="9" t="s">
        <v>4841</v>
      </c>
      <c r="B168" s="10" t="s">
        <v>523</v>
      </c>
      <c r="C168" s="10" t="s">
        <v>2622</v>
      </c>
      <c r="D168" s="10">
        <v>3890.9</v>
      </c>
      <c r="E168" s="10">
        <v>164.14</v>
      </c>
      <c r="F168" s="10">
        <v>42</v>
      </c>
      <c r="G168" s="10">
        <v>2249.4299999999998</v>
      </c>
      <c r="H168" s="11" t="s">
        <v>1093</v>
      </c>
      <c r="I168" s="12" t="s">
        <v>1094</v>
      </c>
      <c r="J168" s="13"/>
      <c r="K168" s="10" t="s">
        <v>5049</v>
      </c>
    </row>
    <row r="169" spans="1:11" ht="76.5" x14ac:dyDescent="0.25">
      <c r="A169" s="9" t="s">
        <v>4873</v>
      </c>
      <c r="B169" s="10" t="s">
        <v>817</v>
      </c>
      <c r="C169" s="10" t="s">
        <v>3258</v>
      </c>
      <c r="D169" s="10">
        <v>3470.9</v>
      </c>
      <c r="E169" s="10">
        <v>134.97</v>
      </c>
      <c r="F169" s="10">
        <v>51</v>
      </c>
      <c r="G169" s="10">
        <v>1687.2</v>
      </c>
      <c r="H169" s="11" t="s">
        <v>1093</v>
      </c>
      <c r="I169" s="12" t="s">
        <v>1094</v>
      </c>
      <c r="J169" s="13"/>
      <c r="K169" s="10" t="s">
        <v>5050</v>
      </c>
    </row>
    <row r="170" spans="1:11" ht="76.5" x14ac:dyDescent="0.25">
      <c r="A170" s="9" t="s">
        <v>4737</v>
      </c>
      <c r="B170" s="10" t="s">
        <v>410</v>
      </c>
      <c r="C170" s="10" t="s">
        <v>1184</v>
      </c>
      <c r="D170" s="10">
        <v>4050.9</v>
      </c>
      <c r="E170" s="10">
        <v>146.81</v>
      </c>
      <c r="F170" s="10">
        <v>36</v>
      </c>
      <c r="G170" s="10">
        <v>2582.8000000000002</v>
      </c>
      <c r="H170" s="11" t="s">
        <v>1093</v>
      </c>
      <c r="I170" s="12" t="s">
        <v>1094</v>
      </c>
      <c r="J170" s="13"/>
      <c r="K170" s="10" t="s">
        <v>5051</v>
      </c>
    </row>
    <row r="171" spans="1:11" ht="76.5" x14ac:dyDescent="0.25">
      <c r="A171" s="9" t="s">
        <v>4836</v>
      </c>
      <c r="B171" s="10" t="s">
        <v>378</v>
      </c>
      <c r="C171" s="10" t="s">
        <v>3062</v>
      </c>
      <c r="D171" s="10">
        <v>3017.9</v>
      </c>
      <c r="E171" s="10">
        <v>114.15</v>
      </c>
      <c r="F171" s="10">
        <v>38</v>
      </c>
      <c r="G171" s="10">
        <v>1876.34</v>
      </c>
      <c r="H171" s="11" t="s">
        <v>1093</v>
      </c>
      <c r="I171" s="12" t="s">
        <v>1094</v>
      </c>
      <c r="J171" s="13"/>
      <c r="K171" s="10" t="s">
        <v>5052</v>
      </c>
    </row>
    <row r="172" spans="1:11" ht="76.5" x14ac:dyDescent="0.25">
      <c r="A172" s="9" t="s">
        <v>1176</v>
      </c>
      <c r="B172" s="10" t="s">
        <v>749</v>
      </c>
      <c r="C172" s="10" t="s">
        <v>1098</v>
      </c>
      <c r="D172" s="10">
        <v>2700</v>
      </c>
      <c r="E172" s="10">
        <v>103.68</v>
      </c>
      <c r="F172" s="10">
        <v>52</v>
      </c>
      <c r="G172" s="10">
        <v>1296</v>
      </c>
      <c r="H172" s="11" t="s">
        <v>1093</v>
      </c>
      <c r="I172" s="12" t="s">
        <v>1094</v>
      </c>
      <c r="J172" s="13"/>
      <c r="K172" s="10" t="s">
        <v>5053</v>
      </c>
    </row>
    <row r="173" spans="1:11" ht="76.5" x14ac:dyDescent="0.25">
      <c r="A173" s="9" t="s">
        <v>1153</v>
      </c>
      <c r="B173" s="10" t="s">
        <v>553</v>
      </c>
      <c r="C173" s="10" t="s">
        <v>1154</v>
      </c>
      <c r="D173" s="10">
        <v>1303</v>
      </c>
      <c r="E173" s="10">
        <v>40.4</v>
      </c>
      <c r="F173" s="10">
        <v>31</v>
      </c>
      <c r="G173" s="10">
        <v>898.93</v>
      </c>
      <c r="H173" s="11" t="s">
        <v>1093</v>
      </c>
      <c r="I173" s="12" t="s">
        <v>1094</v>
      </c>
      <c r="J173" s="13"/>
      <c r="K173" s="10" t="s">
        <v>5054</v>
      </c>
    </row>
    <row r="174" spans="1:11" ht="76.5" x14ac:dyDescent="0.25">
      <c r="A174" s="9" t="s">
        <v>4684</v>
      </c>
      <c r="B174" s="10" t="s">
        <v>341</v>
      </c>
      <c r="C174" s="10" t="s">
        <v>2571</v>
      </c>
      <c r="D174" s="10">
        <v>4064.9</v>
      </c>
      <c r="E174" s="10">
        <v>135.28</v>
      </c>
      <c r="F174" s="10">
        <v>58</v>
      </c>
      <c r="G174" s="10">
        <v>1691</v>
      </c>
      <c r="H174" s="11" t="s">
        <v>1093</v>
      </c>
      <c r="I174" s="12" t="s">
        <v>1094</v>
      </c>
      <c r="J174" s="13"/>
      <c r="K174" s="10" t="s">
        <v>5055</v>
      </c>
    </row>
    <row r="175" spans="1:11" ht="76.5" x14ac:dyDescent="0.25">
      <c r="A175" s="9" t="s">
        <v>1177</v>
      </c>
      <c r="B175" s="10" t="s">
        <v>391</v>
      </c>
      <c r="C175" s="10" t="s">
        <v>1116</v>
      </c>
      <c r="D175" s="10">
        <v>2450.9</v>
      </c>
      <c r="E175" s="10">
        <v>90.8</v>
      </c>
      <c r="F175" s="10">
        <v>54</v>
      </c>
      <c r="G175" s="10">
        <v>1135</v>
      </c>
      <c r="H175" s="11" t="s">
        <v>1093</v>
      </c>
      <c r="I175" s="12" t="s">
        <v>1094</v>
      </c>
      <c r="J175" s="13"/>
      <c r="K175" s="10" t="s">
        <v>5056</v>
      </c>
    </row>
    <row r="176" spans="1:11" ht="76.5" x14ac:dyDescent="0.25">
      <c r="A176" s="9" t="s">
        <v>5057</v>
      </c>
      <c r="B176" s="10" t="s">
        <v>507</v>
      </c>
      <c r="C176" s="10" t="s">
        <v>3625</v>
      </c>
      <c r="D176" s="10">
        <v>2168.9</v>
      </c>
      <c r="E176" s="10">
        <v>81.53</v>
      </c>
      <c r="F176" s="10">
        <v>38</v>
      </c>
      <c r="G176" s="10">
        <v>1353.54</v>
      </c>
      <c r="H176" s="11" t="s">
        <v>1093</v>
      </c>
      <c r="I176" s="12" t="s">
        <v>1094</v>
      </c>
      <c r="J176" s="13"/>
      <c r="K176" s="10" t="s">
        <v>5058</v>
      </c>
    </row>
    <row r="177" spans="1:11" ht="76.5" x14ac:dyDescent="0.25">
      <c r="A177" s="9" t="s">
        <v>1153</v>
      </c>
      <c r="B177" s="10" t="s">
        <v>858</v>
      </c>
      <c r="C177" s="10" t="s">
        <v>1154</v>
      </c>
      <c r="D177" s="10">
        <v>1687.9</v>
      </c>
      <c r="E177" s="10">
        <v>71.91</v>
      </c>
      <c r="F177" s="10">
        <v>47</v>
      </c>
      <c r="G177" s="10">
        <v>898.93</v>
      </c>
      <c r="H177" s="11" t="s">
        <v>1093</v>
      </c>
      <c r="I177" s="12" t="s">
        <v>1094</v>
      </c>
      <c r="J177" s="13"/>
      <c r="K177" s="10" t="s">
        <v>5059</v>
      </c>
    </row>
    <row r="178" spans="1:11" ht="76.5" x14ac:dyDescent="0.25">
      <c r="A178" s="9" t="s">
        <v>5060</v>
      </c>
      <c r="B178" s="10" t="s">
        <v>742</v>
      </c>
      <c r="C178" s="10" t="s">
        <v>2257</v>
      </c>
      <c r="D178" s="10">
        <v>5002.8999999999996</v>
      </c>
      <c r="E178" s="10">
        <v>212.62</v>
      </c>
      <c r="F178" s="10">
        <v>47</v>
      </c>
      <c r="G178" s="10">
        <v>2657.76</v>
      </c>
      <c r="H178" s="11" t="s">
        <v>1093</v>
      </c>
      <c r="I178" s="12" t="s">
        <v>1094</v>
      </c>
      <c r="J178" s="13"/>
      <c r="K178" s="10" t="s">
        <v>5061</v>
      </c>
    </row>
    <row r="179" spans="1:11" ht="76.5" x14ac:dyDescent="0.25">
      <c r="A179" s="9" t="s">
        <v>5062</v>
      </c>
      <c r="B179" s="10" t="s">
        <v>550</v>
      </c>
      <c r="C179" s="10" t="s">
        <v>3742</v>
      </c>
      <c r="D179" s="10">
        <v>2387.9</v>
      </c>
      <c r="E179" s="10">
        <v>96.94</v>
      </c>
      <c r="F179" s="10">
        <v>49</v>
      </c>
      <c r="G179" s="10">
        <v>1211.75</v>
      </c>
      <c r="H179" s="11" t="s">
        <v>1093</v>
      </c>
      <c r="I179" s="12" t="s">
        <v>1094</v>
      </c>
      <c r="J179" s="13"/>
      <c r="K179" s="10" t="s">
        <v>5063</v>
      </c>
    </row>
    <row r="180" spans="1:11" ht="76.5" x14ac:dyDescent="0.25">
      <c r="A180" s="9" t="s">
        <v>4903</v>
      </c>
      <c r="B180" s="10" t="s">
        <v>312</v>
      </c>
      <c r="C180" s="10" t="s">
        <v>3094</v>
      </c>
      <c r="D180" s="10">
        <v>2631</v>
      </c>
      <c r="E180" s="10">
        <v>78.53</v>
      </c>
      <c r="F180" s="10">
        <v>30</v>
      </c>
      <c r="G180" s="10">
        <v>1845.66</v>
      </c>
      <c r="H180" s="11" t="s">
        <v>1093</v>
      </c>
      <c r="I180" s="12" t="s">
        <v>1094</v>
      </c>
      <c r="J180" s="13"/>
      <c r="K180" s="10" t="s">
        <v>5064</v>
      </c>
    </row>
    <row r="181" spans="1:11" ht="76.5" x14ac:dyDescent="0.25">
      <c r="A181" s="9" t="s">
        <v>5057</v>
      </c>
      <c r="B181" s="10" t="s">
        <v>680</v>
      </c>
      <c r="C181" s="10" t="s">
        <v>3625</v>
      </c>
      <c r="D181" s="10">
        <v>2432.9</v>
      </c>
      <c r="E181" s="10">
        <v>107.93</v>
      </c>
      <c r="F181" s="10">
        <v>44</v>
      </c>
      <c r="G181" s="10">
        <v>1353.54</v>
      </c>
      <c r="H181" s="11" t="s">
        <v>1093</v>
      </c>
      <c r="I181" s="12" t="s">
        <v>1094</v>
      </c>
      <c r="J181" s="13"/>
      <c r="K181" s="10" t="s">
        <v>5065</v>
      </c>
    </row>
    <row r="182" spans="1:11" ht="76.5" x14ac:dyDescent="0.25">
      <c r="A182" s="9" t="s">
        <v>5066</v>
      </c>
      <c r="B182" s="10" t="s">
        <v>827</v>
      </c>
      <c r="C182" s="10" t="s">
        <v>1439</v>
      </c>
      <c r="D182" s="10">
        <v>8006.9</v>
      </c>
      <c r="E182" s="10">
        <v>352.21</v>
      </c>
      <c r="F182" s="10">
        <v>45</v>
      </c>
      <c r="G182" s="10">
        <v>4402.72</v>
      </c>
      <c r="H182" s="11" t="s">
        <v>1093</v>
      </c>
      <c r="I182" s="12" t="s">
        <v>1094</v>
      </c>
      <c r="J182" s="13"/>
      <c r="K182" s="10" t="s">
        <v>5067</v>
      </c>
    </row>
    <row r="183" spans="1:11" ht="76.5" x14ac:dyDescent="0.25">
      <c r="A183" s="9" t="s">
        <v>5068</v>
      </c>
      <c r="B183" s="10" t="s">
        <v>416</v>
      </c>
      <c r="C183" s="10" t="s">
        <v>1580</v>
      </c>
      <c r="D183" s="10">
        <v>6422.9</v>
      </c>
      <c r="E183" s="10">
        <v>266.89</v>
      </c>
      <c r="F183" s="10">
        <v>42</v>
      </c>
      <c r="G183" s="10">
        <v>3754</v>
      </c>
      <c r="H183" s="11" t="s">
        <v>1093</v>
      </c>
      <c r="I183" s="12" t="s">
        <v>1094</v>
      </c>
      <c r="J183" s="13"/>
      <c r="K183" s="10" t="s">
        <v>5069</v>
      </c>
    </row>
    <row r="184" spans="1:11" ht="76.5" x14ac:dyDescent="0.25">
      <c r="A184" s="9" t="s">
        <v>2736</v>
      </c>
      <c r="B184" s="10" t="s">
        <v>358</v>
      </c>
      <c r="C184" s="10" t="s">
        <v>1125</v>
      </c>
      <c r="D184" s="10">
        <v>4055.9</v>
      </c>
      <c r="E184" s="10">
        <v>171.57</v>
      </c>
      <c r="F184" s="10">
        <v>47</v>
      </c>
      <c r="G184" s="10">
        <v>2144.6799999999998</v>
      </c>
      <c r="H184" s="11" t="s">
        <v>1093</v>
      </c>
      <c r="I184" s="12" t="s">
        <v>1094</v>
      </c>
      <c r="J184" s="13"/>
      <c r="K184" s="10" t="s">
        <v>5070</v>
      </c>
    </row>
    <row r="185" spans="1:11" ht="76.5" x14ac:dyDescent="0.25">
      <c r="A185" s="9" t="s">
        <v>3034</v>
      </c>
      <c r="B185" s="10" t="s">
        <v>599</v>
      </c>
      <c r="C185" s="10" t="s">
        <v>3033</v>
      </c>
      <c r="D185" s="10">
        <v>3088.9</v>
      </c>
      <c r="E185" s="10">
        <v>117.75</v>
      </c>
      <c r="F185" s="10">
        <v>38</v>
      </c>
      <c r="G185" s="10">
        <v>1911.37</v>
      </c>
      <c r="H185" s="11" t="s">
        <v>1093</v>
      </c>
      <c r="I185" s="12" t="s">
        <v>1094</v>
      </c>
      <c r="J185" s="13"/>
      <c r="K185" s="10" t="s">
        <v>5071</v>
      </c>
    </row>
    <row r="186" spans="1:11" ht="76.5" x14ac:dyDescent="0.25">
      <c r="A186" s="9" t="s">
        <v>3107</v>
      </c>
      <c r="B186" s="10" t="s">
        <v>473</v>
      </c>
      <c r="C186" s="10" t="s">
        <v>3106</v>
      </c>
      <c r="D186" s="10">
        <v>3483.9</v>
      </c>
      <c r="E186" s="10">
        <v>146.80000000000001</v>
      </c>
      <c r="F186" s="10">
        <v>47</v>
      </c>
      <c r="G186" s="10">
        <v>1835.08</v>
      </c>
      <c r="H186" s="11" t="s">
        <v>1093</v>
      </c>
      <c r="I186" s="12" t="s">
        <v>1094</v>
      </c>
      <c r="J186" s="13"/>
      <c r="K186" s="10" t="s">
        <v>5072</v>
      </c>
    </row>
    <row r="187" spans="1:11" ht="76.5" x14ac:dyDescent="0.25">
      <c r="A187" s="9" t="s">
        <v>3034</v>
      </c>
      <c r="B187" s="10" t="s">
        <v>945</v>
      </c>
      <c r="C187" s="10" t="s">
        <v>3033</v>
      </c>
      <c r="D187" s="10">
        <v>3476.9</v>
      </c>
      <c r="E187" s="10">
        <v>152.9</v>
      </c>
      <c r="F187" s="10">
        <v>45</v>
      </c>
      <c r="G187" s="10">
        <v>1911.37</v>
      </c>
      <c r="H187" s="11" t="s">
        <v>1093</v>
      </c>
      <c r="I187" s="12" t="s">
        <v>1094</v>
      </c>
      <c r="J187" s="13"/>
      <c r="K187" s="10" t="s">
        <v>5073</v>
      </c>
    </row>
    <row r="188" spans="1:11" ht="76.5" x14ac:dyDescent="0.25">
      <c r="A188" s="9" t="s">
        <v>5074</v>
      </c>
      <c r="B188" s="10" t="s">
        <v>321</v>
      </c>
      <c r="C188" s="10" t="s">
        <v>3342</v>
      </c>
      <c r="D188" s="10">
        <v>2608.9</v>
      </c>
      <c r="E188" s="10">
        <v>98.08</v>
      </c>
      <c r="F188" s="10">
        <v>38</v>
      </c>
      <c r="G188" s="10">
        <v>1628.04</v>
      </c>
      <c r="H188" s="11" t="s">
        <v>1093</v>
      </c>
      <c r="I188" s="12" t="s">
        <v>1094</v>
      </c>
      <c r="J188" s="13"/>
      <c r="K188" s="10" t="s">
        <v>5075</v>
      </c>
    </row>
    <row r="189" spans="1:11" ht="76.5" x14ac:dyDescent="0.25">
      <c r="A189" s="9" t="s">
        <v>5076</v>
      </c>
      <c r="B189" s="10" t="s">
        <v>322</v>
      </c>
      <c r="C189" s="10" t="s">
        <v>3981</v>
      </c>
      <c r="D189" s="10">
        <v>1366.9</v>
      </c>
      <c r="E189" s="10">
        <v>32.200000000000003</v>
      </c>
      <c r="F189" s="10">
        <v>66</v>
      </c>
      <c r="G189" s="10">
        <v>460</v>
      </c>
      <c r="H189" s="11" t="s">
        <v>1093</v>
      </c>
      <c r="I189" s="12" t="s">
        <v>1094</v>
      </c>
      <c r="J189" s="13"/>
      <c r="K189" s="10" t="s">
        <v>5077</v>
      </c>
    </row>
    <row r="190" spans="1:11" ht="76.5" x14ac:dyDescent="0.25">
      <c r="A190" s="9" t="s">
        <v>5078</v>
      </c>
      <c r="B190" s="10" t="s">
        <v>621</v>
      </c>
      <c r="C190" s="10" t="s">
        <v>3872</v>
      </c>
      <c r="D190" s="10">
        <v>1781.9</v>
      </c>
      <c r="E190" s="10">
        <v>75.260000000000005</v>
      </c>
      <c r="F190" s="10">
        <v>42</v>
      </c>
      <c r="G190" s="10">
        <v>1029.3</v>
      </c>
      <c r="H190" s="11" t="s">
        <v>1093</v>
      </c>
      <c r="I190" s="12" t="s">
        <v>1094</v>
      </c>
      <c r="J190" s="13"/>
      <c r="K190" s="10" t="s">
        <v>5079</v>
      </c>
    </row>
    <row r="191" spans="1:11" ht="76.5" x14ac:dyDescent="0.25">
      <c r="A191" s="9" t="s">
        <v>5080</v>
      </c>
      <c r="B191" s="10" t="s">
        <v>700</v>
      </c>
      <c r="C191" s="10" t="s">
        <v>1148</v>
      </c>
      <c r="D191" s="10">
        <v>3796.9</v>
      </c>
      <c r="E191" s="10">
        <v>160.16999999999999</v>
      </c>
      <c r="F191" s="10">
        <v>42</v>
      </c>
      <c r="G191" s="10">
        <v>2195.15</v>
      </c>
      <c r="H191" s="11" t="s">
        <v>1093</v>
      </c>
      <c r="I191" s="12" t="s">
        <v>1094</v>
      </c>
      <c r="J191" s="13"/>
      <c r="K191" s="10" t="s">
        <v>5081</v>
      </c>
    </row>
    <row r="192" spans="1:11" ht="76.5" x14ac:dyDescent="0.25">
      <c r="A192" s="9" t="s">
        <v>5082</v>
      </c>
      <c r="B192" s="10" t="s">
        <v>537</v>
      </c>
      <c r="C192" s="10" t="s">
        <v>3951</v>
      </c>
      <c r="D192" s="10">
        <v>1498.9</v>
      </c>
      <c r="E192" s="10">
        <v>60.72</v>
      </c>
      <c r="F192" s="10">
        <v>42</v>
      </c>
      <c r="G192" s="10">
        <v>867.47</v>
      </c>
      <c r="H192" s="11" t="s">
        <v>1093</v>
      </c>
      <c r="I192" s="12" t="s">
        <v>1094</v>
      </c>
      <c r="J192" s="13"/>
      <c r="K192" s="10" t="s">
        <v>5083</v>
      </c>
    </row>
    <row r="193" spans="1:11" ht="76.5" x14ac:dyDescent="0.25">
      <c r="A193" s="9" t="s">
        <v>5082</v>
      </c>
      <c r="B193" s="10" t="s">
        <v>1024</v>
      </c>
      <c r="C193" s="10" t="s">
        <v>3951</v>
      </c>
      <c r="D193" s="10">
        <v>1668.9</v>
      </c>
      <c r="E193" s="10">
        <v>69.39</v>
      </c>
      <c r="F193" s="10">
        <v>48</v>
      </c>
      <c r="G193" s="10">
        <v>867.47</v>
      </c>
      <c r="H193" s="11" t="s">
        <v>1093</v>
      </c>
      <c r="I193" s="12" t="s">
        <v>1094</v>
      </c>
      <c r="J193" s="13"/>
      <c r="K193" s="10" t="s">
        <v>5084</v>
      </c>
    </row>
    <row r="194" spans="1:11" ht="76.5" x14ac:dyDescent="0.25">
      <c r="A194" s="9" t="s">
        <v>4736</v>
      </c>
      <c r="B194" s="10" t="s">
        <v>333</v>
      </c>
      <c r="C194" s="10" t="s">
        <v>4558</v>
      </c>
      <c r="D194" s="10">
        <v>817.9</v>
      </c>
      <c r="E194" s="10">
        <v>26.04</v>
      </c>
      <c r="F194" s="10">
        <v>55</v>
      </c>
      <c r="G194" s="10">
        <v>372</v>
      </c>
      <c r="H194" s="11" t="s">
        <v>1093</v>
      </c>
      <c r="I194" s="12" t="s">
        <v>1094</v>
      </c>
      <c r="J194" s="13"/>
      <c r="K194" s="10" t="s">
        <v>5085</v>
      </c>
    </row>
    <row r="195" spans="1:11" ht="76.5" x14ac:dyDescent="0.25">
      <c r="A195" s="9" t="s">
        <v>5086</v>
      </c>
      <c r="B195" s="10" t="s">
        <v>316</v>
      </c>
      <c r="C195" s="10" t="s">
        <v>3752</v>
      </c>
      <c r="D195" s="10">
        <v>1945.9</v>
      </c>
      <c r="E195" s="10">
        <v>74.25</v>
      </c>
      <c r="F195" s="10">
        <v>38</v>
      </c>
      <c r="G195" s="10">
        <v>1203.3900000000001</v>
      </c>
      <c r="H195" s="11" t="s">
        <v>1093</v>
      </c>
      <c r="I195" s="12" t="s">
        <v>1094</v>
      </c>
      <c r="J195" s="13"/>
      <c r="K195" s="10" t="s">
        <v>5087</v>
      </c>
    </row>
    <row r="196" spans="1:11" ht="76.5" x14ac:dyDescent="0.25">
      <c r="A196" s="9" t="s">
        <v>5076</v>
      </c>
      <c r="B196" s="10" t="s">
        <v>702</v>
      </c>
      <c r="C196" s="10" t="s">
        <v>3981</v>
      </c>
      <c r="D196" s="10">
        <v>1536.9</v>
      </c>
      <c r="E196" s="10">
        <v>38.01</v>
      </c>
      <c r="F196" s="10">
        <v>65</v>
      </c>
      <c r="G196" s="10">
        <v>543</v>
      </c>
      <c r="H196" s="11" t="s">
        <v>1093</v>
      </c>
      <c r="I196" s="12" t="s">
        <v>1094</v>
      </c>
      <c r="J196" s="13"/>
      <c r="K196" s="10" t="s">
        <v>5088</v>
      </c>
    </row>
    <row r="197" spans="1:11" ht="76.5" x14ac:dyDescent="0.25">
      <c r="A197" s="9" t="s">
        <v>5080</v>
      </c>
      <c r="B197" s="10" t="s">
        <v>314</v>
      </c>
      <c r="C197" s="10" t="s">
        <v>1148</v>
      </c>
      <c r="D197" s="10">
        <v>3390.9</v>
      </c>
      <c r="E197" s="10">
        <v>129.4</v>
      </c>
      <c r="F197" s="10">
        <v>38</v>
      </c>
      <c r="G197" s="10">
        <v>2096.8200000000002</v>
      </c>
      <c r="H197" s="11" t="s">
        <v>1093</v>
      </c>
      <c r="I197" s="12" t="s">
        <v>1094</v>
      </c>
      <c r="J197" s="13"/>
      <c r="K197" s="10" t="s">
        <v>5089</v>
      </c>
    </row>
    <row r="198" spans="1:11" ht="76.5" x14ac:dyDescent="0.25">
      <c r="A198" s="9" t="s">
        <v>4943</v>
      </c>
      <c r="B198" s="10" t="s">
        <v>318</v>
      </c>
      <c r="C198" s="10" t="s">
        <v>3857</v>
      </c>
      <c r="D198" s="10">
        <v>1694.9</v>
      </c>
      <c r="E198" s="10">
        <v>63.87</v>
      </c>
      <c r="F198" s="10">
        <v>38</v>
      </c>
      <c r="G198" s="10">
        <v>1056.1500000000001</v>
      </c>
      <c r="H198" s="11" t="s">
        <v>1093</v>
      </c>
      <c r="I198" s="12" t="s">
        <v>1094</v>
      </c>
      <c r="J198" s="13"/>
      <c r="K198" s="10" t="s">
        <v>5090</v>
      </c>
    </row>
    <row r="199" spans="1:11" ht="76.5" x14ac:dyDescent="0.25">
      <c r="A199" s="9" t="s">
        <v>5074</v>
      </c>
      <c r="B199" s="10" t="s">
        <v>703</v>
      </c>
      <c r="C199" s="10" t="s">
        <v>3342</v>
      </c>
      <c r="D199" s="10">
        <v>2908.9</v>
      </c>
      <c r="E199" s="10">
        <v>128.08000000000001</v>
      </c>
      <c r="F199" s="10">
        <v>44</v>
      </c>
      <c r="G199" s="10">
        <v>1628.04</v>
      </c>
      <c r="H199" s="11" t="s">
        <v>1093</v>
      </c>
      <c r="I199" s="12" t="s">
        <v>1094</v>
      </c>
      <c r="J199" s="13"/>
      <c r="K199" s="10" t="s">
        <v>5091</v>
      </c>
    </row>
    <row r="200" spans="1:11" ht="76.5" x14ac:dyDescent="0.25">
      <c r="A200" s="9" t="s">
        <v>2217</v>
      </c>
      <c r="B200" s="10" t="s">
        <v>728</v>
      </c>
      <c r="C200" s="10" t="s">
        <v>2216</v>
      </c>
      <c r="D200" s="10">
        <v>5504.9</v>
      </c>
      <c r="E200" s="10">
        <v>186</v>
      </c>
      <c r="F200" s="10">
        <v>58</v>
      </c>
      <c r="G200" s="10">
        <v>2325</v>
      </c>
      <c r="H200" s="11" t="s">
        <v>1093</v>
      </c>
      <c r="I200" s="12" t="s">
        <v>1094</v>
      </c>
      <c r="J200" s="13"/>
      <c r="K200" s="10" t="s">
        <v>5092</v>
      </c>
    </row>
    <row r="201" spans="1:11" ht="76.5" x14ac:dyDescent="0.25">
      <c r="A201" s="9" t="s">
        <v>5093</v>
      </c>
      <c r="B201" s="10" t="s">
        <v>867</v>
      </c>
      <c r="C201" s="10" t="s">
        <v>1712</v>
      </c>
      <c r="D201" s="10">
        <v>7520.9</v>
      </c>
      <c r="E201" s="10">
        <v>288.43</v>
      </c>
      <c r="F201" s="10">
        <v>52</v>
      </c>
      <c r="G201" s="10">
        <v>3605.48</v>
      </c>
      <c r="H201" s="11" t="s">
        <v>1093</v>
      </c>
      <c r="I201" s="12" t="s">
        <v>1094</v>
      </c>
      <c r="J201" s="13"/>
      <c r="K201" s="10" t="s">
        <v>5094</v>
      </c>
    </row>
    <row r="202" spans="1:11" ht="76.5" x14ac:dyDescent="0.25">
      <c r="A202" s="9" t="s">
        <v>3647</v>
      </c>
      <c r="B202" s="10" t="s">
        <v>440</v>
      </c>
      <c r="C202" s="10" t="s">
        <v>3646</v>
      </c>
      <c r="D202" s="10">
        <v>2586.9</v>
      </c>
      <c r="E202" s="10">
        <v>106.03</v>
      </c>
      <c r="F202" s="10">
        <v>49</v>
      </c>
      <c r="G202" s="10">
        <v>1325.44</v>
      </c>
      <c r="H202" s="11" t="s">
        <v>1093</v>
      </c>
      <c r="I202" s="12" t="s">
        <v>1094</v>
      </c>
      <c r="J202" s="13"/>
      <c r="K202" s="10" t="s">
        <v>5095</v>
      </c>
    </row>
    <row r="203" spans="1:11" ht="76.5" x14ac:dyDescent="0.25">
      <c r="A203" s="9" t="s">
        <v>3030</v>
      </c>
      <c r="B203" s="10" t="s">
        <v>295</v>
      </c>
      <c r="C203" s="10" t="s">
        <v>1157</v>
      </c>
      <c r="D203" s="10">
        <v>3423.9</v>
      </c>
      <c r="E203" s="10">
        <v>151.18</v>
      </c>
      <c r="F203" s="10">
        <v>44</v>
      </c>
      <c r="G203" s="10">
        <v>1912.03</v>
      </c>
      <c r="H203" s="11" t="s">
        <v>1093</v>
      </c>
      <c r="I203" s="12" t="s">
        <v>1094</v>
      </c>
      <c r="J203" s="13"/>
      <c r="K203" s="10" t="s">
        <v>5096</v>
      </c>
    </row>
    <row r="204" spans="1:11" ht="76.5" x14ac:dyDescent="0.25">
      <c r="A204" s="9" t="s">
        <v>5097</v>
      </c>
      <c r="B204" s="10" t="s">
        <v>551</v>
      </c>
      <c r="C204" s="10" t="s">
        <v>3316</v>
      </c>
      <c r="D204" s="10">
        <v>3891.9</v>
      </c>
      <c r="E204" s="10">
        <v>131.52000000000001</v>
      </c>
      <c r="F204" s="10">
        <v>58</v>
      </c>
      <c r="G204" s="10">
        <v>1644.06</v>
      </c>
      <c r="H204" s="11" t="s">
        <v>1093</v>
      </c>
      <c r="I204" s="12" t="s">
        <v>1094</v>
      </c>
      <c r="J204" s="13"/>
      <c r="K204" s="10" t="s">
        <v>5098</v>
      </c>
    </row>
    <row r="205" spans="1:11" ht="76.5" x14ac:dyDescent="0.25">
      <c r="A205" s="9" t="s">
        <v>1155</v>
      </c>
      <c r="B205" s="10" t="s">
        <v>512</v>
      </c>
      <c r="C205" s="10" t="s">
        <v>1117</v>
      </c>
      <c r="D205" s="10">
        <v>2773.9</v>
      </c>
      <c r="E205" s="10">
        <v>88.83</v>
      </c>
      <c r="F205" s="10">
        <v>60</v>
      </c>
      <c r="G205" s="10">
        <v>1110.3800000000001</v>
      </c>
      <c r="H205" s="11" t="s">
        <v>1093</v>
      </c>
      <c r="I205" s="12" t="s">
        <v>1094</v>
      </c>
      <c r="J205" s="13"/>
      <c r="K205" s="10" t="s">
        <v>5099</v>
      </c>
    </row>
    <row r="206" spans="1:11" ht="76.5" x14ac:dyDescent="0.25">
      <c r="A206" s="9" t="s">
        <v>5100</v>
      </c>
      <c r="B206" s="10" t="s">
        <v>711</v>
      </c>
      <c r="C206" s="10" t="s">
        <v>1156</v>
      </c>
      <c r="D206" s="10">
        <v>1472.9</v>
      </c>
      <c r="E206" s="10">
        <v>44.45</v>
      </c>
      <c r="F206" s="10">
        <v>57</v>
      </c>
      <c r="G206" s="10">
        <v>635</v>
      </c>
      <c r="H206" s="11" t="s">
        <v>1093</v>
      </c>
      <c r="I206" s="12" t="s">
        <v>1094</v>
      </c>
      <c r="J206" s="13"/>
      <c r="K206" s="10" t="s">
        <v>5101</v>
      </c>
    </row>
    <row r="207" spans="1:11" ht="76.5" x14ac:dyDescent="0.25">
      <c r="A207" s="9" t="s">
        <v>5102</v>
      </c>
      <c r="B207" s="10" t="s">
        <v>1006</v>
      </c>
      <c r="C207" s="10" t="s">
        <v>3906</v>
      </c>
      <c r="D207" s="10">
        <v>2195.9</v>
      </c>
      <c r="E207" s="10">
        <v>78.53</v>
      </c>
      <c r="F207" s="10">
        <v>55</v>
      </c>
      <c r="G207" s="10">
        <v>981.69</v>
      </c>
      <c r="H207" s="11" t="s">
        <v>1093</v>
      </c>
      <c r="I207" s="12" t="s">
        <v>1094</v>
      </c>
      <c r="J207" s="13"/>
      <c r="K207" s="10" t="s">
        <v>5103</v>
      </c>
    </row>
    <row r="208" spans="1:11" ht="76.5" x14ac:dyDescent="0.25">
      <c r="A208" s="9" t="s">
        <v>1155</v>
      </c>
      <c r="B208" s="10" t="s">
        <v>864</v>
      </c>
      <c r="C208" s="10" t="s">
        <v>1117</v>
      </c>
      <c r="D208" s="10">
        <v>2476.9</v>
      </c>
      <c r="E208" s="10">
        <v>88.83</v>
      </c>
      <c r="F208" s="10">
        <v>55</v>
      </c>
      <c r="G208" s="10">
        <v>1110.3800000000001</v>
      </c>
      <c r="H208" s="11" t="s">
        <v>1093</v>
      </c>
      <c r="I208" s="12" t="s">
        <v>1094</v>
      </c>
      <c r="J208" s="13"/>
      <c r="K208" s="10" t="s">
        <v>5104</v>
      </c>
    </row>
    <row r="209" spans="1:11" ht="76.5" x14ac:dyDescent="0.25">
      <c r="A209" s="9" t="s">
        <v>3810</v>
      </c>
      <c r="B209" s="10" t="s">
        <v>885</v>
      </c>
      <c r="C209" s="10" t="s">
        <v>3809</v>
      </c>
      <c r="D209" s="10">
        <v>2477.9</v>
      </c>
      <c r="E209" s="10">
        <v>90.47</v>
      </c>
      <c r="F209" s="10">
        <v>54</v>
      </c>
      <c r="G209" s="10">
        <v>1130.92</v>
      </c>
      <c r="H209" s="11" t="s">
        <v>1093</v>
      </c>
      <c r="I209" s="12" t="s">
        <v>1094</v>
      </c>
      <c r="J209" s="13"/>
      <c r="K209" s="10" t="s">
        <v>5105</v>
      </c>
    </row>
    <row r="210" spans="1:11" ht="76.5" x14ac:dyDescent="0.25">
      <c r="A210" s="9" t="s">
        <v>5106</v>
      </c>
      <c r="B210" s="10" t="s">
        <v>465</v>
      </c>
      <c r="C210" s="10" t="s">
        <v>3849</v>
      </c>
      <c r="D210" s="10">
        <v>2151.9</v>
      </c>
      <c r="E210" s="10">
        <v>85.92</v>
      </c>
      <c r="F210" s="10">
        <v>50</v>
      </c>
      <c r="G210" s="10">
        <v>1074.05</v>
      </c>
      <c r="H210" s="11" t="s">
        <v>1093</v>
      </c>
      <c r="I210" s="12" t="s">
        <v>1094</v>
      </c>
      <c r="J210" s="13"/>
      <c r="K210" s="10" t="s">
        <v>5107</v>
      </c>
    </row>
    <row r="211" spans="1:11" ht="76.5" x14ac:dyDescent="0.25">
      <c r="A211" s="9" t="s">
        <v>1949</v>
      </c>
      <c r="B211" s="10" t="s">
        <v>334</v>
      </c>
      <c r="C211" s="10" t="s">
        <v>1948</v>
      </c>
      <c r="D211" s="10">
        <v>4473.8999999999996</v>
      </c>
      <c r="E211" s="10">
        <v>140.6</v>
      </c>
      <c r="F211" s="10">
        <v>31</v>
      </c>
      <c r="G211" s="10">
        <v>3067.87</v>
      </c>
      <c r="H211" s="11" t="s">
        <v>1093</v>
      </c>
      <c r="I211" s="12" t="s">
        <v>1094</v>
      </c>
      <c r="J211" s="13"/>
      <c r="K211" s="10" t="s">
        <v>5108</v>
      </c>
    </row>
    <row r="212" spans="1:11" ht="76.5" x14ac:dyDescent="0.25">
      <c r="A212" s="9" t="s">
        <v>5109</v>
      </c>
      <c r="B212" s="10" t="s">
        <v>303</v>
      </c>
      <c r="C212" s="10" t="s">
        <v>1104</v>
      </c>
      <c r="D212" s="10">
        <v>3846.9</v>
      </c>
      <c r="E212" s="10">
        <v>143.04</v>
      </c>
      <c r="F212" s="10">
        <v>54</v>
      </c>
      <c r="G212" s="10">
        <v>1788</v>
      </c>
      <c r="H212" s="11" t="s">
        <v>1093</v>
      </c>
      <c r="I212" s="12" t="s">
        <v>1094</v>
      </c>
      <c r="J212" s="13"/>
      <c r="K212" s="10" t="s">
        <v>5110</v>
      </c>
    </row>
    <row r="213" spans="1:11" ht="76.5" x14ac:dyDescent="0.25">
      <c r="A213" s="9" t="s">
        <v>5060</v>
      </c>
      <c r="B213" s="10" t="s">
        <v>373</v>
      </c>
      <c r="C213" s="10" t="s">
        <v>2257</v>
      </c>
      <c r="D213" s="10">
        <v>6214</v>
      </c>
      <c r="E213" s="10">
        <v>212.62</v>
      </c>
      <c r="F213" s="10">
        <v>57</v>
      </c>
      <c r="G213" s="10">
        <v>2657.75</v>
      </c>
      <c r="H213" s="11" t="s">
        <v>1093</v>
      </c>
      <c r="I213" s="12" t="s">
        <v>1094</v>
      </c>
      <c r="J213" s="13"/>
      <c r="K213" s="10" t="s">
        <v>5111</v>
      </c>
    </row>
    <row r="214" spans="1:11" ht="76.5" x14ac:dyDescent="0.25">
      <c r="A214" s="9" t="s">
        <v>1165</v>
      </c>
      <c r="B214" s="10" t="s">
        <v>327</v>
      </c>
      <c r="C214" s="10" t="s">
        <v>1103</v>
      </c>
      <c r="D214" s="10">
        <v>1091.9000000000001</v>
      </c>
      <c r="E214" s="10">
        <v>38.299999999999997</v>
      </c>
      <c r="F214" s="10">
        <v>50</v>
      </c>
      <c r="G214" s="10">
        <v>547.24</v>
      </c>
      <c r="H214" s="11" t="s">
        <v>1093</v>
      </c>
      <c r="I214" s="12" t="s">
        <v>1094</v>
      </c>
      <c r="J214" s="13"/>
      <c r="K214" s="10" t="s">
        <v>5112</v>
      </c>
    </row>
    <row r="215" spans="1:11" ht="76.5" x14ac:dyDescent="0.25">
      <c r="A215" s="9" t="s">
        <v>5113</v>
      </c>
      <c r="B215" s="10" t="s">
        <v>923</v>
      </c>
      <c r="C215" s="10" t="s">
        <v>2595</v>
      </c>
      <c r="D215" s="10">
        <v>4083.9</v>
      </c>
      <c r="E215" s="10">
        <v>166.89</v>
      </c>
      <c r="F215" s="10">
        <v>41</v>
      </c>
      <c r="G215" s="10">
        <v>2415</v>
      </c>
      <c r="H215" s="11" t="s">
        <v>1093</v>
      </c>
      <c r="I215" s="12" t="s">
        <v>1094</v>
      </c>
      <c r="J215" s="13"/>
      <c r="K215" s="10" t="s">
        <v>5114</v>
      </c>
    </row>
    <row r="216" spans="1:11" ht="76.5" x14ac:dyDescent="0.25">
      <c r="A216" s="9" t="s">
        <v>5113</v>
      </c>
      <c r="B216" s="10" t="s">
        <v>527</v>
      </c>
      <c r="C216" s="10" t="s">
        <v>2595</v>
      </c>
      <c r="D216" s="10">
        <v>3636.9</v>
      </c>
      <c r="E216" s="10">
        <v>137.02000000000001</v>
      </c>
      <c r="F216" s="10">
        <v>38</v>
      </c>
      <c r="G216" s="10">
        <v>2266.67</v>
      </c>
      <c r="H216" s="11" t="s">
        <v>1093</v>
      </c>
      <c r="I216" s="12" t="s">
        <v>1094</v>
      </c>
      <c r="J216" s="13"/>
      <c r="K216" s="10" t="s">
        <v>5115</v>
      </c>
    </row>
    <row r="217" spans="1:11" ht="76.5" x14ac:dyDescent="0.25">
      <c r="A217" s="9" t="s">
        <v>4735</v>
      </c>
      <c r="B217" s="10" t="s">
        <v>857</v>
      </c>
      <c r="C217" s="10" t="s">
        <v>1158</v>
      </c>
      <c r="D217" s="10">
        <v>1978.9</v>
      </c>
      <c r="E217" s="10">
        <v>79.58</v>
      </c>
      <c r="F217" s="10">
        <v>50</v>
      </c>
      <c r="G217" s="10">
        <v>994.85</v>
      </c>
      <c r="H217" s="11" t="s">
        <v>1093</v>
      </c>
      <c r="I217" s="12" t="s">
        <v>1094</v>
      </c>
      <c r="J217" s="13"/>
      <c r="K217" s="10" t="s">
        <v>5116</v>
      </c>
    </row>
    <row r="218" spans="1:11" ht="76.5" x14ac:dyDescent="0.25">
      <c r="A218" s="9" t="s">
        <v>2661</v>
      </c>
      <c r="B218" s="10" t="s">
        <v>666</v>
      </c>
      <c r="C218" s="10" t="s">
        <v>2660</v>
      </c>
      <c r="D218" s="10">
        <v>3593.9</v>
      </c>
      <c r="E218" s="10">
        <v>137.56</v>
      </c>
      <c r="F218" s="10">
        <v>38</v>
      </c>
      <c r="G218" s="10">
        <v>2218.3000000000002</v>
      </c>
      <c r="H218" s="11" t="s">
        <v>1093</v>
      </c>
      <c r="I218" s="12" t="s">
        <v>1094</v>
      </c>
      <c r="J218" s="13"/>
      <c r="K218" s="10" t="s">
        <v>5117</v>
      </c>
    </row>
    <row r="219" spans="1:11" ht="76.5" x14ac:dyDescent="0.25">
      <c r="A219" s="9" t="s">
        <v>5118</v>
      </c>
      <c r="B219" s="10" t="s">
        <v>339</v>
      </c>
      <c r="C219" s="10" t="s">
        <v>3276</v>
      </c>
      <c r="D219" s="10">
        <v>2623.9</v>
      </c>
      <c r="E219" s="10">
        <v>94.93</v>
      </c>
      <c r="F219" s="10">
        <v>36</v>
      </c>
      <c r="G219" s="10">
        <v>1674.52</v>
      </c>
      <c r="H219" s="11" t="s">
        <v>1093</v>
      </c>
      <c r="I219" s="12" t="s">
        <v>1094</v>
      </c>
      <c r="J219" s="13"/>
      <c r="K219" s="10" t="s">
        <v>5119</v>
      </c>
    </row>
    <row r="220" spans="1:11" ht="76.5" x14ac:dyDescent="0.25">
      <c r="A220" s="9" t="s">
        <v>2843</v>
      </c>
      <c r="B220" s="10" t="s">
        <v>958</v>
      </c>
      <c r="C220" s="10" t="s">
        <v>2842</v>
      </c>
      <c r="D220" s="10">
        <v>3605.9</v>
      </c>
      <c r="E220" s="10">
        <v>154.87</v>
      </c>
      <c r="F220" s="10">
        <v>43</v>
      </c>
      <c r="G220" s="10">
        <v>2057.16</v>
      </c>
      <c r="H220" s="11" t="s">
        <v>1093</v>
      </c>
      <c r="I220" s="12" t="s">
        <v>1094</v>
      </c>
      <c r="J220" s="13"/>
      <c r="K220" s="10" t="s">
        <v>5120</v>
      </c>
    </row>
    <row r="221" spans="1:11" ht="76.5" x14ac:dyDescent="0.25">
      <c r="A221" s="9" t="s">
        <v>5121</v>
      </c>
      <c r="B221" s="10" t="s">
        <v>464</v>
      </c>
      <c r="C221" s="10" t="s">
        <v>3443</v>
      </c>
      <c r="D221" s="10">
        <v>2912.9</v>
      </c>
      <c r="E221" s="10">
        <v>122.07</v>
      </c>
      <c r="F221" s="10">
        <v>48</v>
      </c>
      <c r="G221" s="10">
        <v>1525.99</v>
      </c>
      <c r="H221" s="11" t="s">
        <v>1093</v>
      </c>
      <c r="I221" s="12" t="s">
        <v>1094</v>
      </c>
      <c r="J221" s="13"/>
      <c r="K221" s="10" t="s">
        <v>5122</v>
      </c>
    </row>
    <row r="222" spans="1:11" ht="76.5" x14ac:dyDescent="0.25">
      <c r="A222" s="9" t="s">
        <v>5123</v>
      </c>
      <c r="B222" s="10" t="s">
        <v>524</v>
      </c>
      <c r="C222" s="10" t="s">
        <v>2434</v>
      </c>
      <c r="D222" s="10">
        <v>4538.8999999999996</v>
      </c>
      <c r="E222" s="10">
        <v>195.23</v>
      </c>
      <c r="F222" s="10">
        <v>46</v>
      </c>
      <c r="G222" s="10">
        <v>2440.48</v>
      </c>
      <c r="H222" s="11" t="s">
        <v>1093</v>
      </c>
      <c r="I222" s="12" t="s">
        <v>1094</v>
      </c>
      <c r="J222" s="13"/>
      <c r="K222" s="10" t="s">
        <v>5124</v>
      </c>
    </row>
    <row r="223" spans="1:11" ht="76.5" x14ac:dyDescent="0.25">
      <c r="A223" s="9" t="s">
        <v>1780</v>
      </c>
      <c r="B223" s="10" t="s">
        <v>540</v>
      </c>
      <c r="C223" s="10" t="s">
        <v>1779</v>
      </c>
      <c r="D223" s="10">
        <v>5504.9</v>
      </c>
      <c r="E223" s="10">
        <v>222.69</v>
      </c>
      <c r="F223" s="10">
        <v>40</v>
      </c>
      <c r="G223" s="10">
        <v>3278</v>
      </c>
      <c r="H223" s="11" t="s">
        <v>1093</v>
      </c>
      <c r="I223" s="12" t="s">
        <v>1094</v>
      </c>
      <c r="J223" s="13"/>
      <c r="K223" s="10" t="s">
        <v>5125</v>
      </c>
    </row>
    <row r="224" spans="1:11" ht="76.5" x14ac:dyDescent="0.25">
      <c r="A224" s="9" t="s">
        <v>2584</v>
      </c>
      <c r="B224" s="10" t="s">
        <v>459</v>
      </c>
      <c r="C224" s="10" t="s">
        <v>2583</v>
      </c>
      <c r="D224" s="10">
        <v>4202.8999999999996</v>
      </c>
      <c r="E224" s="10">
        <v>182.38</v>
      </c>
      <c r="F224" s="10">
        <v>46</v>
      </c>
      <c r="G224" s="10">
        <v>2279.84</v>
      </c>
      <c r="H224" s="11" t="s">
        <v>1093</v>
      </c>
      <c r="I224" s="12" t="s">
        <v>1094</v>
      </c>
      <c r="J224" s="13"/>
      <c r="K224" s="10" t="s">
        <v>5126</v>
      </c>
    </row>
    <row r="225" spans="1:11" ht="76.5" x14ac:dyDescent="0.25">
      <c r="A225" s="9" t="s">
        <v>5127</v>
      </c>
      <c r="B225" s="10" t="s">
        <v>539</v>
      </c>
      <c r="C225" s="10" t="s">
        <v>4377</v>
      </c>
      <c r="D225" s="10">
        <v>951.9</v>
      </c>
      <c r="E225" s="10">
        <v>30.8</v>
      </c>
      <c r="F225" s="10">
        <v>54</v>
      </c>
      <c r="G225" s="10">
        <v>440</v>
      </c>
      <c r="H225" s="11" t="s">
        <v>1093</v>
      </c>
      <c r="I225" s="12" t="s">
        <v>1094</v>
      </c>
      <c r="J225" s="13"/>
      <c r="K225" s="10" t="s">
        <v>5128</v>
      </c>
    </row>
    <row r="226" spans="1:11" ht="76.5" x14ac:dyDescent="0.25">
      <c r="A226" s="9" t="s">
        <v>5127</v>
      </c>
      <c r="B226" s="10" t="s">
        <v>692</v>
      </c>
      <c r="C226" s="10" t="s">
        <v>4377</v>
      </c>
      <c r="D226" s="10">
        <v>1053.9000000000001</v>
      </c>
      <c r="E226" s="10">
        <v>35.909999999999997</v>
      </c>
      <c r="F226" s="10">
        <v>51</v>
      </c>
      <c r="G226" s="10">
        <v>513.03</v>
      </c>
      <c r="H226" s="11" t="s">
        <v>1093</v>
      </c>
      <c r="I226" s="12" t="s">
        <v>1094</v>
      </c>
      <c r="J226" s="13"/>
      <c r="K226" s="10" t="s">
        <v>5129</v>
      </c>
    </row>
    <row r="227" spans="1:11" ht="76.5" x14ac:dyDescent="0.25">
      <c r="A227" s="9" t="s">
        <v>4914</v>
      </c>
      <c r="B227" s="10" t="s">
        <v>376</v>
      </c>
      <c r="C227" s="10" t="s">
        <v>1586</v>
      </c>
      <c r="D227" s="10">
        <v>6075</v>
      </c>
      <c r="E227" s="10">
        <v>292.74</v>
      </c>
      <c r="F227" s="10">
        <v>40</v>
      </c>
      <c r="G227" s="10">
        <v>3659.35</v>
      </c>
      <c r="H227" s="11" t="s">
        <v>1093</v>
      </c>
      <c r="I227" s="12" t="s">
        <v>1094</v>
      </c>
      <c r="J227" s="13"/>
      <c r="K227" s="10" t="s">
        <v>5130</v>
      </c>
    </row>
    <row r="228" spans="1:11" ht="76.5" x14ac:dyDescent="0.25">
      <c r="A228" s="9" t="s">
        <v>5131</v>
      </c>
      <c r="B228" s="10" t="s">
        <v>516</v>
      </c>
      <c r="C228" s="10" t="s">
        <v>1349</v>
      </c>
      <c r="D228" s="10">
        <v>7048.9</v>
      </c>
      <c r="E228" s="10">
        <v>217.52</v>
      </c>
      <c r="F228" s="10">
        <v>31</v>
      </c>
      <c r="G228" s="10">
        <v>4873.67</v>
      </c>
      <c r="H228" s="11" t="s">
        <v>1093</v>
      </c>
      <c r="I228" s="12" t="s">
        <v>1094</v>
      </c>
      <c r="J228" s="13"/>
      <c r="K228" s="10" t="s">
        <v>5132</v>
      </c>
    </row>
    <row r="229" spans="1:11" ht="76.5" x14ac:dyDescent="0.25">
      <c r="A229" s="9" t="s">
        <v>5133</v>
      </c>
      <c r="B229" s="10" t="s">
        <v>511</v>
      </c>
      <c r="C229" s="10" t="s">
        <v>1954</v>
      </c>
      <c r="D229" s="10">
        <v>4657.8999999999996</v>
      </c>
      <c r="E229" s="10">
        <v>159.74</v>
      </c>
      <c r="F229" s="10">
        <v>34</v>
      </c>
      <c r="G229" s="10">
        <v>3060.41</v>
      </c>
      <c r="H229" s="11" t="s">
        <v>1093</v>
      </c>
      <c r="I229" s="12" t="s">
        <v>1094</v>
      </c>
      <c r="J229" s="13"/>
      <c r="K229" s="10" t="s">
        <v>5134</v>
      </c>
    </row>
    <row r="230" spans="1:11" ht="76.5" x14ac:dyDescent="0.25">
      <c r="A230" s="9" t="s">
        <v>5135</v>
      </c>
      <c r="B230" s="10" t="s">
        <v>662</v>
      </c>
      <c r="C230" s="10" t="s">
        <v>2384</v>
      </c>
      <c r="D230" s="10">
        <v>5394.9</v>
      </c>
      <c r="E230" s="10">
        <v>199.15</v>
      </c>
      <c r="F230" s="10">
        <v>54</v>
      </c>
      <c r="G230" s="10">
        <v>2489.4899999999998</v>
      </c>
      <c r="H230" s="11" t="s">
        <v>1093</v>
      </c>
      <c r="I230" s="12" t="s">
        <v>1094</v>
      </c>
      <c r="J230" s="13"/>
      <c r="K230" s="10" t="s">
        <v>5136</v>
      </c>
    </row>
    <row r="231" spans="1:11" ht="76.5" x14ac:dyDescent="0.25">
      <c r="A231" s="9" t="s">
        <v>5137</v>
      </c>
      <c r="B231" s="10" t="s">
        <v>506</v>
      </c>
      <c r="C231" s="10" t="s">
        <v>3310</v>
      </c>
      <c r="D231" s="10">
        <v>3513.9</v>
      </c>
      <c r="E231" s="10">
        <v>131.91</v>
      </c>
      <c r="F231" s="10">
        <v>53</v>
      </c>
      <c r="G231" s="10">
        <v>1648.93</v>
      </c>
      <c r="H231" s="11" t="s">
        <v>1093</v>
      </c>
      <c r="I231" s="12" t="s">
        <v>1094</v>
      </c>
      <c r="J231" s="13"/>
      <c r="K231" s="10" t="s">
        <v>5138</v>
      </c>
    </row>
    <row r="232" spans="1:11" ht="76.5" x14ac:dyDescent="0.25">
      <c r="A232" s="9" t="s">
        <v>1181</v>
      </c>
      <c r="B232" s="10" t="s">
        <v>343</v>
      </c>
      <c r="C232" s="10" t="s">
        <v>1182</v>
      </c>
      <c r="D232" s="10">
        <v>3245.9</v>
      </c>
      <c r="E232" s="10">
        <v>136.27000000000001</v>
      </c>
      <c r="F232" s="10">
        <v>48</v>
      </c>
      <c r="G232" s="10">
        <v>1703.4</v>
      </c>
      <c r="H232" s="11" t="s">
        <v>1093</v>
      </c>
      <c r="I232" s="12" t="s">
        <v>1094</v>
      </c>
      <c r="J232" s="13"/>
      <c r="K232" s="10" t="s">
        <v>5139</v>
      </c>
    </row>
    <row r="233" spans="1:11" ht="76.5" x14ac:dyDescent="0.25">
      <c r="A233" s="9" t="s">
        <v>1178</v>
      </c>
      <c r="B233" s="10" t="s">
        <v>753</v>
      </c>
      <c r="C233" s="10" t="s">
        <v>1179</v>
      </c>
      <c r="D233" s="10">
        <v>2675.9</v>
      </c>
      <c r="E233" s="10">
        <v>73.599999999999994</v>
      </c>
      <c r="F233" s="10">
        <v>66</v>
      </c>
      <c r="G233" s="10">
        <v>920</v>
      </c>
      <c r="H233" s="11" t="s">
        <v>1093</v>
      </c>
      <c r="I233" s="12" t="s">
        <v>1094</v>
      </c>
      <c r="J233" s="13"/>
      <c r="K233" s="10" t="s">
        <v>5140</v>
      </c>
    </row>
    <row r="234" spans="1:11" ht="76.5" x14ac:dyDescent="0.25">
      <c r="A234" s="9" t="s">
        <v>5141</v>
      </c>
      <c r="B234" s="10" t="s">
        <v>873</v>
      </c>
      <c r="C234" s="10" t="s">
        <v>2240</v>
      </c>
      <c r="D234" s="10">
        <v>5817.9</v>
      </c>
      <c r="E234" s="10">
        <v>214.49</v>
      </c>
      <c r="F234" s="10">
        <v>54</v>
      </c>
      <c r="G234" s="10">
        <v>2681.14</v>
      </c>
      <c r="H234" s="11" t="s">
        <v>1093</v>
      </c>
      <c r="I234" s="12" t="s">
        <v>1094</v>
      </c>
      <c r="J234" s="13"/>
      <c r="K234" s="10" t="s">
        <v>5142</v>
      </c>
    </row>
    <row r="235" spans="1:11" ht="76.5" x14ac:dyDescent="0.25">
      <c r="A235" s="9" t="s">
        <v>5066</v>
      </c>
      <c r="B235" s="10" t="s">
        <v>501</v>
      </c>
      <c r="C235" s="10" t="s">
        <v>1439</v>
      </c>
      <c r="D235" s="10">
        <v>7092.9</v>
      </c>
      <c r="E235" s="10">
        <v>269.01</v>
      </c>
      <c r="F235" s="10">
        <v>38</v>
      </c>
      <c r="G235" s="10">
        <v>4402.71</v>
      </c>
      <c r="H235" s="11" t="s">
        <v>1093</v>
      </c>
      <c r="I235" s="12" t="s">
        <v>1094</v>
      </c>
      <c r="J235" s="13"/>
      <c r="K235" s="10" t="s">
        <v>5143</v>
      </c>
    </row>
    <row r="236" spans="1:11" ht="76.5" x14ac:dyDescent="0.25">
      <c r="A236" s="9" t="s">
        <v>1221</v>
      </c>
      <c r="B236" s="10" t="s">
        <v>777</v>
      </c>
      <c r="C236" s="10" t="s">
        <v>1104</v>
      </c>
      <c r="D236" s="10">
        <v>4300.8999999999996</v>
      </c>
      <c r="E236" s="10">
        <v>161.84</v>
      </c>
      <c r="F236" s="10">
        <v>53</v>
      </c>
      <c r="G236" s="10">
        <v>2023</v>
      </c>
      <c r="H236" s="11" t="s">
        <v>1093</v>
      </c>
      <c r="I236" s="12" t="s">
        <v>1094</v>
      </c>
      <c r="J236" s="13"/>
      <c r="K236" s="10" t="s">
        <v>5144</v>
      </c>
    </row>
    <row r="237" spans="1:11" ht="76.5" x14ac:dyDescent="0.25">
      <c r="A237" s="9" t="s">
        <v>5145</v>
      </c>
      <c r="B237" s="10" t="s">
        <v>470</v>
      </c>
      <c r="C237" s="10" t="s">
        <v>2304</v>
      </c>
      <c r="D237" s="10">
        <v>4458.8999999999996</v>
      </c>
      <c r="E237" s="10">
        <v>184.33</v>
      </c>
      <c r="F237" s="10">
        <v>41</v>
      </c>
      <c r="G237" s="10">
        <v>2615.5700000000002</v>
      </c>
      <c r="H237" s="11" t="s">
        <v>1093</v>
      </c>
      <c r="I237" s="12" t="s">
        <v>1094</v>
      </c>
      <c r="J237" s="13"/>
      <c r="K237" s="10" t="s">
        <v>5146</v>
      </c>
    </row>
    <row r="238" spans="1:11" ht="76.5" x14ac:dyDescent="0.25">
      <c r="A238" s="9" t="s">
        <v>5147</v>
      </c>
      <c r="B238" s="10" t="s">
        <v>815</v>
      </c>
      <c r="C238" s="10" t="s">
        <v>1674</v>
      </c>
      <c r="D238" s="10">
        <v>6350</v>
      </c>
      <c r="E238" s="10">
        <v>254</v>
      </c>
      <c r="F238" s="10">
        <v>40</v>
      </c>
      <c r="G238" s="10">
        <v>3810</v>
      </c>
      <c r="H238" s="11" t="s">
        <v>1093</v>
      </c>
      <c r="I238" s="12" t="s">
        <v>1094</v>
      </c>
      <c r="J238" s="13"/>
      <c r="K238" s="10" t="s">
        <v>5148</v>
      </c>
    </row>
    <row r="239" spans="1:11" ht="76.5" x14ac:dyDescent="0.25">
      <c r="A239" s="9" t="s">
        <v>5149</v>
      </c>
      <c r="B239" s="10" t="s">
        <v>338</v>
      </c>
      <c r="C239" s="10" t="s">
        <v>3209</v>
      </c>
      <c r="D239" s="10">
        <v>2564.9</v>
      </c>
      <c r="E239" s="10">
        <v>83.75</v>
      </c>
      <c r="F239" s="10">
        <v>33</v>
      </c>
      <c r="G239" s="10">
        <v>1727.33</v>
      </c>
      <c r="H239" s="11" t="s">
        <v>1093</v>
      </c>
      <c r="I239" s="12" t="s">
        <v>1094</v>
      </c>
      <c r="J239" s="13"/>
      <c r="K239" s="10" t="s">
        <v>5150</v>
      </c>
    </row>
    <row r="240" spans="1:11" ht="76.5" x14ac:dyDescent="0.25">
      <c r="A240" s="9" t="s">
        <v>1180</v>
      </c>
      <c r="B240" s="10" t="s">
        <v>686</v>
      </c>
      <c r="C240" s="10" t="s">
        <v>1101</v>
      </c>
      <c r="D240" s="10">
        <v>5979.9</v>
      </c>
      <c r="E240" s="10">
        <v>242.16</v>
      </c>
      <c r="F240" s="10">
        <v>49</v>
      </c>
      <c r="G240" s="10">
        <v>3027</v>
      </c>
      <c r="H240" s="11" t="s">
        <v>1093</v>
      </c>
      <c r="I240" s="12" t="s">
        <v>1094</v>
      </c>
      <c r="J240" s="13"/>
      <c r="K240" s="10" t="s">
        <v>5151</v>
      </c>
    </row>
    <row r="241" spans="1:11" ht="76.5" x14ac:dyDescent="0.25">
      <c r="A241" s="9" t="s">
        <v>5149</v>
      </c>
      <c r="B241" s="10" t="s">
        <v>881</v>
      </c>
      <c r="C241" s="10" t="s">
        <v>3209</v>
      </c>
      <c r="D241" s="10">
        <v>2880.9</v>
      </c>
      <c r="E241" s="10">
        <v>115.35</v>
      </c>
      <c r="F241" s="10">
        <v>40</v>
      </c>
      <c r="G241" s="10">
        <v>1727.34</v>
      </c>
      <c r="H241" s="11" t="s">
        <v>1093</v>
      </c>
      <c r="I241" s="12" t="s">
        <v>1094</v>
      </c>
      <c r="J241" s="13"/>
      <c r="K241" s="10" t="s">
        <v>5152</v>
      </c>
    </row>
    <row r="242" spans="1:11" ht="76.5" x14ac:dyDescent="0.25">
      <c r="A242" s="9" t="s">
        <v>4996</v>
      </c>
      <c r="B242" s="10" t="s">
        <v>699</v>
      </c>
      <c r="C242" s="10" t="s">
        <v>3429</v>
      </c>
      <c r="D242" s="10">
        <v>2713.9</v>
      </c>
      <c r="E242" s="10">
        <v>117.3</v>
      </c>
      <c r="F242" s="10">
        <v>43</v>
      </c>
      <c r="G242" s="10">
        <v>1540.84</v>
      </c>
      <c r="H242" s="11" t="s">
        <v>1093</v>
      </c>
      <c r="I242" s="12" t="s">
        <v>1094</v>
      </c>
      <c r="J242" s="13"/>
      <c r="K242" s="10" t="s">
        <v>5153</v>
      </c>
    </row>
    <row r="243" spans="1:11" ht="76.5" x14ac:dyDescent="0.25">
      <c r="A243" s="9" t="s">
        <v>5147</v>
      </c>
      <c r="B243" s="10" t="s">
        <v>382</v>
      </c>
      <c r="C243" s="10" t="s">
        <v>1674</v>
      </c>
      <c r="D243" s="10">
        <v>6096.9</v>
      </c>
      <c r="E243" s="10">
        <v>243.75</v>
      </c>
      <c r="F243" s="10">
        <v>40</v>
      </c>
      <c r="G243" s="10">
        <v>3659.35</v>
      </c>
      <c r="H243" s="11" t="s">
        <v>1093</v>
      </c>
      <c r="I243" s="12" t="s">
        <v>1094</v>
      </c>
      <c r="J243" s="13"/>
      <c r="K243" s="10" t="s">
        <v>5154</v>
      </c>
    </row>
    <row r="244" spans="1:11" ht="76.5" x14ac:dyDescent="0.25">
      <c r="A244" s="9" t="s">
        <v>1186</v>
      </c>
      <c r="B244" s="10" t="s">
        <v>548</v>
      </c>
      <c r="C244" s="10" t="s">
        <v>1097</v>
      </c>
      <c r="D244" s="10">
        <v>2110.9</v>
      </c>
      <c r="E244" s="10">
        <v>90.99</v>
      </c>
      <c r="F244" s="10">
        <v>46</v>
      </c>
      <c r="G244" s="10">
        <v>1137.45</v>
      </c>
      <c r="H244" s="11" t="s">
        <v>1093</v>
      </c>
      <c r="I244" s="12" t="s">
        <v>1094</v>
      </c>
      <c r="J244" s="13"/>
      <c r="K244" s="10" t="s">
        <v>5155</v>
      </c>
    </row>
    <row r="245" spans="1:11" ht="76.5" x14ac:dyDescent="0.25">
      <c r="A245" s="9" t="s">
        <v>5156</v>
      </c>
      <c r="B245" s="10" t="s">
        <v>625</v>
      </c>
      <c r="C245" s="10" t="s">
        <v>2684</v>
      </c>
      <c r="D245" s="10">
        <v>3296.9</v>
      </c>
      <c r="E245" s="10">
        <v>109.57</v>
      </c>
      <c r="F245" s="10">
        <v>33</v>
      </c>
      <c r="G245" s="10">
        <v>2201.12</v>
      </c>
      <c r="H245" s="11" t="s">
        <v>1093</v>
      </c>
      <c r="I245" s="12" t="s">
        <v>1094</v>
      </c>
      <c r="J245" s="13"/>
      <c r="K245" s="10" t="s">
        <v>5157</v>
      </c>
    </row>
    <row r="246" spans="1:11" ht="76.5" x14ac:dyDescent="0.25">
      <c r="A246" s="9" t="s">
        <v>5158</v>
      </c>
      <c r="B246" s="10" t="s">
        <v>467</v>
      </c>
      <c r="C246" s="10" t="s">
        <v>3819</v>
      </c>
      <c r="D246" s="10">
        <v>1827.9</v>
      </c>
      <c r="E246" s="10">
        <v>72.45</v>
      </c>
      <c r="F246" s="10">
        <v>40</v>
      </c>
      <c r="G246" s="10">
        <v>1103.3699999999999</v>
      </c>
      <c r="H246" s="11" t="s">
        <v>1093</v>
      </c>
      <c r="I246" s="12" t="s">
        <v>1094</v>
      </c>
      <c r="J246" s="13"/>
      <c r="K246" s="10" t="s">
        <v>5159</v>
      </c>
    </row>
    <row r="247" spans="1:11" ht="76.5" x14ac:dyDescent="0.25">
      <c r="A247" s="9" t="s">
        <v>5156</v>
      </c>
      <c r="B247" s="10" t="s">
        <v>877</v>
      </c>
      <c r="C247" s="10" t="s">
        <v>2684</v>
      </c>
      <c r="D247" s="10">
        <v>3682.9</v>
      </c>
      <c r="E247" s="10">
        <v>148.16999999999999</v>
      </c>
      <c r="F247" s="10">
        <v>40</v>
      </c>
      <c r="G247" s="10">
        <v>2201.13</v>
      </c>
      <c r="H247" s="11" t="s">
        <v>1093</v>
      </c>
      <c r="I247" s="12" t="s">
        <v>1094</v>
      </c>
      <c r="J247" s="13"/>
      <c r="K247" s="10" t="s">
        <v>5160</v>
      </c>
    </row>
    <row r="248" spans="1:11" ht="76.5" x14ac:dyDescent="0.25">
      <c r="A248" s="9" t="s">
        <v>5161</v>
      </c>
      <c r="B248" s="10" t="s">
        <v>426</v>
      </c>
      <c r="C248" s="10" t="s">
        <v>1897</v>
      </c>
      <c r="D248" s="10">
        <v>4916.8999999999996</v>
      </c>
      <c r="E248" s="10">
        <v>174.18</v>
      </c>
      <c r="F248" s="10">
        <v>35</v>
      </c>
      <c r="G248" s="10">
        <v>3175.08</v>
      </c>
      <c r="H248" s="11" t="s">
        <v>1093</v>
      </c>
      <c r="I248" s="12" t="s">
        <v>1094</v>
      </c>
      <c r="J248" s="13"/>
      <c r="K248" s="10" t="s">
        <v>5162</v>
      </c>
    </row>
    <row r="249" spans="1:11" ht="76.5" x14ac:dyDescent="0.25">
      <c r="A249" s="9" t="s">
        <v>5163</v>
      </c>
      <c r="B249" s="10" t="s">
        <v>596</v>
      </c>
      <c r="C249" s="10" t="s">
        <v>2815</v>
      </c>
      <c r="D249" s="10">
        <v>3433.9</v>
      </c>
      <c r="E249" s="10">
        <v>135.83000000000001</v>
      </c>
      <c r="F249" s="10">
        <v>40</v>
      </c>
      <c r="G249" s="10">
        <v>2075.59</v>
      </c>
      <c r="H249" s="11" t="s">
        <v>1093</v>
      </c>
      <c r="I249" s="12" t="s">
        <v>1094</v>
      </c>
      <c r="J249" s="13"/>
      <c r="K249" s="10" t="s">
        <v>5164</v>
      </c>
    </row>
    <row r="250" spans="1:11" ht="76.5" x14ac:dyDescent="0.25">
      <c r="A250" s="9" t="s">
        <v>5165</v>
      </c>
      <c r="B250" s="10" t="s">
        <v>326</v>
      </c>
      <c r="C250" s="10" t="s">
        <v>3764</v>
      </c>
      <c r="D250" s="10">
        <v>1901.9</v>
      </c>
      <c r="E250" s="10">
        <v>71.37</v>
      </c>
      <c r="F250" s="10">
        <v>38</v>
      </c>
      <c r="G250" s="10">
        <v>1188.2</v>
      </c>
      <c r="H250" s="11" t="s">
        <v>1093</v>
      </c>
      <c r="I250" s="12" t="s">
        <v>1094</v>
      </c>
      <c r="J250" s="13"/>
      <c r="K250" s="10" t="s">
        <v>5166</v>
      </c>
    </row>
    <row r="251" spans="1:11" ht="76.5" x14ac:dyDescent="0.25">
      <c r="A251" s="9" t="s">
        <v>5167</v>
      </c>
      <c r="B251" s="10" t="s">
        <v>861</v>
      </c>
      <c r="C251" s="10" t="s">
        <v>1801</v>
      </c>
      <c r="D251" s="10">
        <v>6728.9</v>
      </c>
      <c r="E251" s="10">
        <v>267.48</v>
      </c>
      <c r="F251" s="10">
        <v>50</v>
      </c>
      <c r="G251" s="10">
        <v>3343.52</v>
      </c>
      <c r="H251" s="11" t="s">
        <v>1093</v>
      </c>
      <c r="I251" s="12" t="s">
        <v>1094</v>
      </c>
      <c r="J251" s="13"/>
      <c r="K251" s="10" t="s">
        <v>5168</v>
      </c>
    </row>
    <row r="252" spans="1:11" ht="76.5" x14ac:dyDescent="0.25">
      <c r="A252" s="9" t="s">
        <v>2961</v>
      </c>
      <c r="B252" s="10" t="s">
        <v>441</v>
      </c>
      <c r="C252" s="10" t="s">
        <v>2960</v>
      </c>
      <c r="D252" s="10">
        <v>3737.9</v>
      </c>
      <c r="E252" s="10">
        <v>157.82</v>
      </c>
      <c r="F252" s="10">
        <v>47</v>
      </c>
      <c r="G252" s="10">
        <v>1972.87</v>
      </c>
      <c r="H252" s="11" t="s">
        <v>1093</v>
      </c>
      <c r="I252" s="12" t="s">
        <v>1094</v>
      </c>
      <c r="J252" s="13"/>
      <c r="K252" s="10" t="s">
        <v>5169</v>
      </c>
    </row>
    <row r="253" spans="1:11" ht="76.5" x14ac:dyDescent="0.25">
      <c r="A253" s="9" t="s">
        <v>5170</v>
      </c>
      <c r="B253" s="10" t="s">
        <v>325</v>
      </c>
      <c r="C253" s="10" t="s">
        <v>4102</v>
      </c>
      <c r="D253" s="10">
        <v>1192.9000000000001</v>
      </c>
      <c r="E253" s="10">
        <v>45.82</v>
      </c>
      <c r="F253" s="10">
        <v>45</v>
      </c>
      <c r="G253" s="10">
        <v>654.65</v>
      </c>
      <c r="H253" s="11" t="s">
        <v>1093</v>
      </c>
      <c r="I253" s="12" t="s">
        <v>1094</v>
      </c>
      <c r="J253" s="13"/>
      <c r="K253" s="10" t="s">
        <v>5171</v>
      </c>
    </row>
  </sheetData>
  <mergeCells count="21">
    <mergeCell ref="A4:A5"/>
    <mergeCell ref="B4:B5"/>
    <mergeCell ref="C4:C5"/>
    <mergeCell ref="D4:D5"/>
    <mergeCell ref="F2:F3"/>
    <mergeCell ref="A2:A3"/>
    <mergeCell ref="B2:B3"/>
    <mergeCell ref="C2:C3"/>
    <mergeCell ref="D2:D3"/>
    <mergeCell ref="E2:E3"/>
    <mergeCell ref="E4:E5"/>
    <mergeCell ref="F4:F5"/>
    <mergeCell ref="G4:G5"/>
    <mergeCell ref="I4:I5"/>
    <mergeCell ref="H4:H5"/>
    <mergeCell ref="K4:K5"/>
    <mergeCell ref="G2:G3"/>
    <mergeCell ref="J2:J3"/>
    <mergeCell ref="K2:K3"/>
    <mergeCell ref="I2:I3"/>
    <mergeCell ref="H2:H3"/>
  </mergeCells>
  <conditionalFormatting sqref="I6:I253">
    <cfRule type="cellIs" dxfId="0" priority="1" operator="equal">
      <formula>"Participar"</formula>
    </cfRule>
  </conditionalFormatting>
  <dataValidations count="1">
    <dataValidation type="list" allowBlank="1" showInputMessage="1" showErrorMessage="1" sqref="I6:I253" xr:uid="{1C9A8163-4EE7-49D5-B957-07918504F78D}">
      <formula1>"Participar,Não participar"</formula1>
    </dataValidation>
  </dataValidations>
  <hyperlinks>
    <hyperlink ref="J5" r:id="rId1" xr:uid="{4FA8B508-0555-4703-9EC8-59BFA60CD68D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8A7F-2A6B-4215-988E-470A3A662D24}">
  <dimension ref="A1:O31"/>
  <sheetViews>
    <sheetView workbookViewId="0">
      <selection activeCell="N19" sqref="N19"/>
    </sheetView>
  </sheetViews>
  <sheetFormatPr defaultRowHeight="15" x14ac:dyDescent="0.25"/>
  <cols>
    <col min="1" max="1" width="16.7109375" bestFit="1" customWidth="1"/>
    <col min="2" max="2" width="16.7109375" customWidth="1"/>
    <col min="13" max="13" width="9" bestFit="1" customWidth="1"/>
    <col min="14" max="15" width="10.42578125" bestFit="1" customWidth="1"/>
  </cols>
  <sheetData>
    <row r="1" spans="1:15" x14ac:dyDescent="0.25">
      <c r="A1" t="s">
        <v>0</v>
      </c>
      <c r="B1" t="s">
        <v>1</v>
      </c>
      <c r="C1">
        <v>16.5</v>
      </c>
      <c r="D1">
        <v>15.5</v>
      </c>
      <c r="E1">
        <v>14.5</v>
      </c>
      <c r="F1">
        <v>13.5</v>
      </c>
      <c r="G1">
        <v>12.5</v>
      </c>
      <c r="H1">
        <v>11.5</v>
      </c>
      <c r="I1">
        <v>10.5</v>
      </c>
      <c r="J1">
        <v>9.5</v>
      </c>
      <c r="K1">
        <v>8.5</v>
      </c>
      <c r="L1">
        <v>7.5</v>
      </c>
      <c r="M1">
        <v>6.5</v>
      </c>
      <c r="N1">
        <v>5.5</v>
      </c>
      <c r="O1">
        <v>4.5</v>
      </c>
    </row>
    <row r="2" spans="1:15" ht="15.75" x14ac:dyDescent="0.25">
      <c r="A2" s="14" t="s">
        <v>4708</v>
      </c>
      <c r="B2" s="14" t="s">
        <v>4709</v>
      </c>
      <c r="H2" s="16">
        <v>752.36887422070004</v>
      </c>
      <c r="I2" s="16">
        <v>730.45521769000004</v>
      </c>
      <c r="J2" s="16">
        <v>709.17982300000006</v>
      </c>
      <c r="K2" s="16">
        <v>688.52410000000009</v>
      </c>
      <c r="L2" s="16">
        <v>668.47</v>
      </c>
      <c r="M2" s="16">
        <v>649</v>
      </c>
      <c r="N2" s="15">
        <v>616.54999999999995</v>
      </c>
      <c r="O2" s="15">
        <v>585.72249999999997</v>
      </c>
    </row>
    <row r="3" spans="1:15" ht="15.75" x14ac:dyDescent="0.25">
      <c r="A3" s="14" t="s">
        <v>1200</v>
      </c>
      <c r="B3" s="14" t="s">
        <v>4707</v>
      </c>
      <c r="H3" s="16">
        <v>868.29628165070005</v>
      </c>
      <c r="I3" s="16">
        <v>843.00609869000004</v>
      </c>
      <c r="J3" s="16">
        <v>818.45252300000004</v>
      </c>
      <c r="K3" s="16">
        <v>794.61410000000001</v>
      </c>
      <c r="L3" s="16">
        <v>771.47</v>
      </c>
      <c r="M3" s="16">
        <v>749</v>
      </c>
      <c r="N3" s="15">
        <v>711.55</v>
      </c>
      <c r="O3" s="15">
        <v>675.97249999999997</v>
      </c>
    </row>
    <row r="4" spans="1:15" ht="15.75" x14ac:dyDescent="0.25">
      <c r="A4" s="14" t="s">
        <v>1192</v>
      </c>
      <c r="B4" s="14" t="s">
        <v>4732</v>
      </c>
      <c r="H4" s="16">
        <v>926.25998536570023</v>
      </c>
      <c r="I4" s="16">
        <v>899.28153919000022</v>
      </c>
      <c r="J4" s="16">
        <v>873.08887300000015</v>
      </c>
      <c r="K4" s="16">
        <v>847.65910000000008</v>
      </c>
      <c r="L4" s="16">
        <v>822.97</v>
      </c>
      <c r="M4" s="16">
        <v>799</v>
      </c>
      <c r="N4" s="15">
        <v>759.05</v>
      </c>
      <c r="O4" s="15">
        <v>721.09749999999997</v>
      </c>
    </row>
    <row r="5" spans="1:15" ht="15.75" x14ac:dyDescent="0.25">
      <c r="A5" s="14" t="s">
        <v>1139</v>
      </c>
      <c r="B5" s="14" t="s">
        <v>1173</v>
      </c>
      <c r="H5" s="16">
        <v>926.25998536570023</v>
      </c>
      <c r="I5" s="16">
        <v>899.28153919000022</v>
      </c>
      <c r="J5" s="16">
        <v>873.08887300000015</v>
      </c>
      <c r="K5" s="16">
        <v>847.65910000000008</v>
      </c>
      <c r="L5" s="16">
        <v>822.97</v>
      </c>
      <c r="M5" s="16">
        <v>799</v>
      </c>
      <c r="N5" s="15">
        <v>759.05</v>
      </c>
      <c r="O5" s="15">
        <v>721.09749999999997</v>
      </c>
    </row>
    <row r="6" spans="1:15" ht="15.75" x14ac:dyDescent="0.25">
      <c r="A6" s="14" t="s">
        <v>4687</v>
      </c>
      <c r="B6" s="14" t="s">
        <v>4688</v>
      </c>
      <c r="H6" s="16">
        <v>1100.1510965107</v>
      </c>
      <c r="I6" s="16">
        <v>1068.1078606900001</v>
      </c>
      <c r="J6" s="16">
        <v>1036.9979230000001</v>
      </c>
      <c r="K6" s="16">
        <v>1006.7941000000001</v>
      </c>
      <c r="L6" s="16">
        <v>977.47</v>
      </c>
      <c r="M6" s="16">
        <v>949</v>
      </c>
      <c r="N6" s="15">
        <v>901.55</v>
      </c>
      <c r="O6" s="15">
        <v>856.47249999999997</v>
      </c>
    </row>
    <row r="7" spans="1:15" ht="15.75" x14ac:dyDescent="0.25">
      <c r="A7" s="14" t="s">
        <v>4710</v>
      </c>
      <c r="B7" s="14" t="s">
        <v>4711</v>
      </c>
      <c r="H7" s="16">
        <v>1158.1148002257</v>
      </c>
      <c r="I7" s="16">
        <v>1124.3833011900001</v>
      </c>
      <c r="J7" s="16">
        <v>1091.6342730000001</v>
      </c>
      <c r="K7" s="16">
        <v>1059.8391000000001</v>
      </c>
      <c r="L7" s="16">
        <v>1028.97</v>
      </c>
      <c r="M7" s="16">
        <v>999</v>
      </c>
      <c r="N7" s="15">
        <v>949.05</v>
      </c>
      <c r="O7" s="15">
        <v>901.59749999999997</v>
      </c>
    </row>
    <row r="8" spans="1:15" ht="15.75" x14ac:dyDescent="0.25">
      <c r="A8" s="14" t="s">
        <v>1144</v>
      </c>
      <c r="B8" s="14" t="s">
        <v>1171</v>
      </c>
      <c r="H8" s="16">
        <v>1274.0422076557002</v>
      </c>
      <c r="I8" s="16">
        <v>1236.9341821900002</v>
      </c>
      <c r="J8" s="16">
        <v>1200.9069730000001</v>
      </c>
      <c r="K8" s="16">
        <v>1165.9291000000001</v>
      </c>
      <c r="L8" s="16">
        <v>1131.97</v>
      </c>
      <c r="M8" s="16">
        <v>1099</v>
      </c>
      <c r="N8" s="15">
        <v>1044.05</v>
      </c>
      <c r="O8" s="15">
        <v>991.84749999999985</v>
      </c>
    </row>
    <row r="9" spans="1:15" ht="15.75" x14ac:dyDescent="0.25">
      <c r="A9" s="14" t="s">
        <v>4702</v>
      </c>
      <c r="B9" s="14" t="s">
        <v>4703</v>
      </c>
      <c r="H9" s="16">
        <v>1355.1913928567001</v>
      </c>
      <c r="I9" s="16">
        <v>1315.71979889</v>
      </c>
      <c r="J9" s="16">
        <v>1277.3978629999999</v>
      </c>
      <c r="K9" s="16">
        <v>1240.1921</v>
      </c>
      <c r="L9" s="16">
        <v>1204.07</v>
      </c>
      <c r="M9" s="16">
        <v>1169</v>
      </c>
      <c r="N9" s="15">
        <v>1110.55</v>
      </c>
      <c r="O9" s="15">
        <v>1055.0224999999998</v>
      </c>
    </row>
    <row r="10" spans="1:15" ht="15.75" x14ac:dyDescent="0.25">
      <c r="A10" s="14" t="s">
        <v>4686</v>
      </c>
      <c r="B10" s="14" t="s">
        <v>1175</v>
      </c>
      <c r="H10" s="16">
        <v>1389.9696150857001</v>
      </c>
      <c r="I10" s="16">
        <v>1349.4850631900001</v>
      </c>
      <c r="J10" s="16">
        <v>1310.1796730000001</v>
      </c>
      <c r="K10" s="16">
        <v>1272.0191</v>
      </c>
      <c r="L10" s="16">
        <v>1234.97</v>
      </c>
      <c r="M10" s="16">
        <v>1199</v>
      </c>
      <c r="N10" s="15">
        <v>1139.05</v>
      </c>
      <c r="O10" s="15">
        <v>1082.0974999999999</v>
      </c>
    </row>
    <row r="11" spans="1:15" ht="15.75" x14ac:dyDescent="0.25">
      <c r="A11" s="14" t="s">
        <v>4692</v>
      </c>
      <c r="B11" s="14" t="s">
        <v>4693</v>
      </c>
      <c r="H11" s="16">
        <v>1505.8970225157</v>
      </c>
      <c r="I11" s="16">
        <v>1462.03594419</v>
      </c>
      <c r="J11" s="16">
        <v>1419.4523730000001</v>
      </c>
      <c r="K11" s="16">
        <v>1378.1091000000001</v>
      </c>
      <c r="L11" s="16">
        <v>1337.97</v>
      </c>
      <c r="M11" s="16">
        <v>1299</v>
      </c>
      <c r="N11" s="15">
        <v>1234.05</v>
      </c>
      <c r="O11" s="15">
        <v>1172.3474999999999</v>
      </c>
    </row>
    <row r="12" spans="1:15" ht="15.75" x14ac:dyDescent="0.25">
      <c r="A12" s="14" t="s">
        <v>4700</v>
      </c>
      <c r="B12" s="14" t="s">
        <v>4701</v>
      </c>
      <c r="H12" s="16">
        <v>1621.8244299457001</v>
      </c>
      <c r="I12" s="16">
        <v>1574.5868251900001</v>
      </c>
      <c r="J12" s="16">
        <v>1528.7250730000001</v>
      </c>
      <c r="K12" s="16">
        <v>1484.1991</v>
      </c>
      <c r="L12" s="16">
        <v>1440.97</v>
      </c>
      <c r="M12" s="16">
        <v>1399</v>
      </c>
      <c r="N12" s="15">
        <v>1329.05</v>
      </c>
      <c r="O12" s="15">
        <v>1262.5974999999999</v>
      </c>
    </row>
    <row r="13" spans="1:15" ht="15.75" x14ac:dyDescent="0.25">
      <c r="A13" s="14" t="s">
        <v>4721</v>
      </c>
      <c r="B13" s="14" t="s">
        <v>4733</v>
      </c>
      <c r="H13" s="16">
        <v>1853.6792448057004</v>
      </c>
      <c r="I13" s="16">
        <v>1799.6885871900004</v>
      </c>
      <c r="J13" s="16">
        <v>1747.2704730000003</v>
      </c>
      <c r="K13" s="16">
        <v>1696.3791000000001</v>
      </c>
      <c r="L13" s="16">
        <v>1646.97</v>
      </c>
      <c r="M13" s="16">
        <v>1599</v>
      </c>
      <c r="N13" s="15">
        <v>1519.05</v>
      </c>
      <c r="O13" s="15">
        <v>1443.0974999999999</v>
      </c>
    </row>
    <row r="14" spans="1:15" ht="15.75" x14ac:dyDescent="0.25">
      <c r="A14" s="14" t="s">
        <v>1196</v>
      </c>
      <c r="B14" s="14" t="s">
        <v>4734</v>
      </c>
      <c r="H14" s="16">
        <v>1969.6066522357</v>
      </c>
      <c r="I14" s="16">
        <v>1912.23946819</v>
      </c>
      <c r="J14" s="16">
        <v>1856.543173</v>
      </c>
      <c r="K14" s="16">
        <v>1802.4691</v>
      </c>
      <c r="L14" s="16">
        <v>1749.97</v>
      </c>
      <c r="M14" s="16">
        <v>1699</v>
      </c>
      <c r="N14" s="15">
        <v>1614.05</v>
      </c>
      <c r="O14" s="15">
        <v>1533.3474999999999</v>
      </c>
    </row>
    <row r="15" spans="1:15" ht="15.75" x14ac:dyDescent="0.25">
      <c r="A15" s="14" t="s">
        <v>4694</v>
      </c>
      <c r="B15" s="14" t="s">
        <v>4695</v>
      </c>
      <c r="H15" s="16">
        <v>2166.6832448667001</v>
      </c>
      <c r="I15" s="16">
        <v>2103.5759658900001</v>
      </c>
      <c r="J15" s="16">
        <v>2042.306763</v>
      </c>
      <c r="K15" s="16">
        <v>1982.8221000000001</v>
      </c>
      <c r="L15" s="16">
        <v>1925.07</v>
      </c>
      <c r="M15" s="16">
        <v>1869</v>
      </c>
      <c r="N15" s="15">
        <v>1775.55</v>
      </c>
      <c r="O15" s="15">
        <v>1686.7724999999998</v>
      </c>
    </row>
    <row r="16" spans="1:15" ht="15.75" x14ac:dyDescent="0.25">
      <c r="A16" s="14" t="s">
        <v>4704</v>
      </c>
      <c r="B16" s="14" t="s">
        <v>4705</v>
      </c>
      <c r="H16" s="16">
        <v>2317.3888745257004</v>
      </c>
      <c r="I16" s="16">
        <v>2249.8921111900004</v>
      </c>
      <c r="J16" s="16">
        <v>2184.3612730000004</v>
      </c>
      <c r="K16" s="16">
        <v>2120.7391000000002</v>
      </c>
      <c r="L16" s="16">
        <v>2058.9700000000003</v>
      </c>
      <c r="M16" s="16">
        <v>1999</v>
      </c>
      <c r="N16" s="15">
        <v>1899.05</v>
      </c>
      <c r="O16" s="15">
        <v>1804.0974999999999</v>
      </c>
    </row>
    <row r="17" spans="1:15" ht="15.75" x14ac:dyDescent="0.25">
      <c r="A17" s="14" t="s">
        <v>1174</v>
      </c>
      <c r="B17" s="14" t="s">
        <v>1175</v>
      </c>
      <c r="C17" s="16">
        <v>1646.419009069012</v>
      </c>
      <c r="D17" s="16">
        <v>1598.4650573485553</v>
      </c>
      <c r="E17" s="16">
        <v>1551.9078226685003</v>
      </c>
      <c r="F17" s="16">
        <v>1506.7066239500002</v>
      </c>
      <c r="G17" s="16">
        <v>1462.8219650000001</v>
      </c>
      <c r="H17" s="16">
        <v>1420.2155</v>
      </c>
      <c r="I17" s="16">
        <v>1378.85</v>
      </c>
      <c r="J17">
        <v>859</v>
      </c>
      <c r="K17">
        <v>816.05</v>
      </c>
      <c r="L17" s="3">
        <v>816.05</v>
      </c>
      <c r="M17" s="3">
        <v>816.05</v>
      </c>
      <c r="N17" s="3">
        <v>816.05</v>
      </c>
      <c r="O17" s="3">
        <v>816.05</v>
      </c>
    </row>
    <row r="18" spans="1:15" ht="15.75" x14ac:dyDescent="0.25">
      <c r="A18" s="14" t="s">
        <v>1139</v>
      </c>
      <c r="B18" s="14" t="s">
        <v>1173</v>
      </c>
      <c r="C18" s="16">
        <v>1097.1549526656718</v>
      </c>
      <c r="D18" s="16">
        <v>1065.198983170555</v>
      </c>
      <c r="E18" s="16">
        <v>1034.1737700685001</v>
      </c>
      <c r="F18" s="16">
        <v>1004.05220395</v>
      </c>
      <c r="G18" s="16">
        <v>974.80796499999997</v>
      </c>
      <c r="H18" s="16">
        <v>946.41549999999995</v>
      </c>
      <c r="I18" s="16">
        <v>918.84999999999991</v>
      </c>
      <c r="J18">
        <v>649</v>
      </c>
      <c r="K18">
        <v>616.54999999999995</v>
      </c>
      <c r="L18" s="3">
        <v>616.54999999999995</v>
      </c>
      <c r="M18" s="3">
        <v>616.54999999999995</v>
      </c>
      <c r="N18" s="3">
        <v>616.54999999999995</v>
      </c>
      <c r="O18" s="3">
        <v>616.54999999999995</v>
      </c>
    </row>
    <row r="19" spans="1:15" ht="15.75" x14ac:dyDescent="0.25">
      <c r="A19" s="14" t="s">
        <v>4722</v>
      </c>
      <c r="B19" s="14" t="s">
        <v>4705</v>
      </c>
      <c r="C19" s="16">
        <v>2744.9471218756926</v>
      </c>
      <c r="D19" s="16">
        <v>2664.9972057045557</v>
      </c>
      <c r="E19" s="16">
        <v>2587.3759278685006</v>
      </c>
      <c r="F19" s="16">
        <v>2512.0154639500006</v>
      </c>
      <c r="G19" s="16">
        <v>2438.8499650000003</v>
      </c>
      <c r="H19" s="16">
        <v>2367.8155000000002</v>
      </c>
      <c r="I19" s="16">
        <v>2298.85</v>
      </c>
      <c r="J19">
        <v>1965.9251457000005</v>
      </c>
      <c r="K19">
        <v>1867.6288884150003</v>
      </c>
      <c r="L19" s="3">
        <v>1867.6288884150003</v>
      </c>
      <c r="M19" s="3">
        <v>1867.6288884150003</v>
      </c>
      <c r="N19" s="3">
        <v>1867.6288884150003</v>
      </c>
      <c r="O19" s="3">
        <v>1867.6288884150003</v>
      </c>
    </row>
    <row r="20" spans="1:15" ht="15.75" x14ac:dyDescent="0.25">
      <c r="A20" s="14" t="s">
        <v>4723</v>
      </c>
      <c r="B20" s="14" t="s">
        <v>4701</v>
      </c>
      <c r="C20" s="16">
        <v>1921.0510372706817</v>
      </c>
      <c r="D20" s="16">
        <v>1865.0980944375551</v>
      </c>
      <c r="E20" s="16">
        <v>1810.7748489685</v>
      </c>
      <c r="F20" s="16">
        <v>1758.0338339499999</v>
      </c>
      <c r="G20" s="16">
        <v>1706.8289649999999</v>
      </c>
      <c r="H20" s="16">
        <v>1657.1154999999999</v>
      </c>
      <c r="I20" s="16">
        <v>1608.85</v>
      </c>
      <c r="J20">
        <v>1375.8525657</v>
      </c>
      <c r="K20">
        <v>1307.0599374149999</v>
      </c>
      <c r="L20" s="3">
        <v>1307.0599374149999</v>
      </c>
      <c r="M20" s="3">
        <v>1307.0599374149999</v>
      </c>
      <c r="N20" s="3">
        <v>1307.0599374149999</v>
      </c>
      <c r="O20" s="3">
        <v>1307.0599374149999</v>
      </c>
    </row>
    <row r="21" spans="1:15" ht="15.75" x14ac:dyDescent="0.25">
      <c r="A21" s="14" t="s">
        <v>4724</v>
      </c>
      <c r="B21" s="14" t="s">
        <v>4732</v>
      </c>
      <c r="C21" s="16">
        <v>1097.1549526656718</v>
      </c>
      <c r="D21" s="16">
        <v>1065.198983170555</v>
      </c>
      <c r="E21" s="16">
        <v>1034.1737700685001</v>
      </c>
      <c r="F21" s="16">
        <v>1004.05220395</v>
      </c>
      <c r="G21" s="16">
        <v>974.80796499999997</v>
      </c>
      <c r="H21" s="16">
        <v>946.41549999999995</v>
      </c>
      <c r="I21" s="16">
        <v>918.84999999999991</v>
      </c>
      <c r="J21">
        <v>785.77998570000011</v>
      </c>
      <c r="K21">
        <v>746.49098641500007</v>
      </c>
      <c r="L21" s="3">
        <v>746.49098641500007</v>
      </c>
      <c r="M21" s="3">
        <v>746.49098641500007</v>
      </c>
      <c r="N21" s="3">
        <v>746.49098641500007</v>
      </c>
      <c r="O21" s="3">
        <v>746.49098641500007</v>
      </c>
    </row>
    <row r="22" spans="1:15" ht="15.75" x14ac:dyDescent="0.25">
      <c r="A22" s="14" t="s">
        <v>4725</v>
      </c>
      <c r="B22" s="14" t="s">
        <v>4693</v>
      </c>
      <c r="C22" s="16">
        <v>1783.7350231698467</v>
      </c>
      <c r="D22" s="16">
        <v>1731.7815758930551</v>
      </c>
      <c r="E22" s="16">
        <v>1681.3413358185001</v>
      </c>
      <c r="F22" s="16">
        <v>1632.37022895</v>
      </c>
      <c r="G22" s="16">
        <v>1584.8254649999999</v>
      </c>
      <c r="H22" s="16">
        <v>1538.6654999999998</v>
      </c>
      <c r="I22" s="16">
        <v>1493.85</v>
      </c>
      <c r="J22">
        <v>1277.5071357000002</v>
      </c>
      <c r="K22">
        <v>1213.631778915</v>
      </c>
      <c r="L22" s="3">
        <v>1213.631778915</v>
      </c>
      <c r="M22" s="3">
        <v>1213.631778915</v>
      </c>
      <c r="N22" s="3">
        <v>1213.631778915</v>
      </c>
      <c r="O22" s="3">
        <v>1213.631778915</v>
      </c>
    </row>
    <row r="23" spans="1:15" ht="15.75" x14ac:dyDescent="0.25">
      <c r="A23" s="14" t="s">
        <v>1198</v>
      </c>
      <c r="B23" s="14" t="s">
        <v>1171</v>
      </c>
      <c r="C23" s="16">
        <v>1509.1029949681767</v>
      </c>
      <c r="D23" s="16">
        <v>1465.1485388040551</v>
      </c>
      <c r="E23" s="16">
        <v>1422.4743095185001</v>
      </c>
      <c r="F23" s="16">
        <v>1381.04301895</v>
      </c>
      <c r="G23" s="16">
        <v>1340.8184650000001</v>
      </c>
      <c r="H23" s="16">
        <v>1301.7655</v>
      </c>
      <c r="I23" s="16">
        <v>1263.8499999999999</v>
      </c>
      <c r="J23">
        <v>1080.8162757000002</v>
      </c>
      <c r="K23">
        <v>1026.7754619150003</v>
      </c>
      <c r="L23" s="3">
        <v>1026.7754619150003</v>
      </c>
      <c r="M23" s="3">
        <v>1026.7754619150003</v>
      </c>
      <c r="N23" s="3">
        <v>1026.7754619150003</v>
      </c>
      <c r="O23" s="3">
        <v>1026.7754619150003</v>
      </c>
    </row>
    <row r="24" spans="1:15" ht="15.75" x14ac:dyDescent="0.25">
      <c r="A24" s="14" t="s">
        <v>4726</v>
      </c>
      <c r="B24" s="14" t="s">
        <v>4707</v>
      </c>
      <c r="C24" s="16">
        <v>1028.4969456152542</v>
      </c>
      <c r="D24" s="16">
        <v>998.54072389830503</v>
      </c>
      <c r="E24" s="16">
        <v>969.45701349349997</v>
      </c>
      <c r="F24" s="16">
        <v>941.22040144999994</v>
      </c>
      <c r="G24" s="16">
        <v>913.80621499999995</v>
      </c>
      <c r="H24" s="16">
        <v>887.19049999999993</v>
      </c>
      <c r="I24" s="16">
        <v>861.34999999999991</v>
      </c>
      <c r="J24">
        <v>736.60727070000007</v>
      </c>
      <c r="K24">
        <v>699.77690716500001</v>
      </c>
      <c r="L24" s="3">
        <v>699.77690716500001</v>
      </c>
      <c r="M24" s="3">
        <v>699.77690716500001</v>
      </c>
      <c r="N24" s="3">
        <v>699.77690716500001</v>
      </c>
      <c r="O24" s="3">
        <v>699.77690716500001</v>
      </c>
    </row>
    <row r="25" spans="1:15" ht="15.75" x14ac:dyDescent="0.25">
      <c r="A25" s="14" t="s">
        <v>4727</v>
      </c>
      <c r="B25" s="14" t="s">
        <v>4695</v>
      </c>
      <c r="C25" s="16">
        <v>2566.4363035446067</v>
      </c>
      <c r="D25" s="16">
        <v>2491.6857315967054</v>
      </c>
      <c r="E25" s="16">
        <v>2419.1123607735003</v>
      </c>
      <c r="F25" s="16">
        <v>2348.65277745</v>
      </c>
      <c r="G25" s="16">
        <v>2280.2454149999999</v>
      </c>
      <c r="H25" s="16">
        <v>2213.8305</v>
      </c>
      <c r="I25" s="16">
        <v>2149.35</v>
      </c>
      <c r="J25">
        <v>1838.0760867000001</v>
      </c>
      <c r="K25">
        <v>1746.172282365</v>
      </c>
      <c r="L25" s="3">
        <v>1746.172282365</v>
      </c>
      <c r="M25" s="3">
        <v>1746.172282365</v>
      </c>
      <c r="N25" s="3">
        <v>1746.172282365</v>
      </c>
      <c r="O25" s="3">
        <v>1746.172282365</v>
      </c>
    </row>
    <row r="26" spans="1:15" ht="15.75" x14ac:dyDescent="0.25">
      <c r="A26" s="14" t="s">
        <v>1201</v>
      </c>
      <c r="B26" s="14" t="s">
        <v>4734</v>
      </c>
      <c r="C26" s="16">
        <v>2332.9990795731869</v>
      </c>
      <c r="D26" s="16">
        <v>2265.0476500710552</v>
      </c>
      <c r="E26" s="16">
        <v>2199.0753884185001</v>
      </c>
      <c r="F26" s="16">
        <v>2135.02464895</v>
      </c>
      <c r="G26" s="16">
        <v>2072.839465</v>
      </c>
      <c r="H26" s="16">
        <v>2012.4655</v>
      </c>
      <c r="I26" s="16">
        <v>1953.85</v>
      </c>
      <c r="J26">
        <v>1670.8888557</v>
      </c>
      <c r="K26">
        <v>1587.344412915</v>
      </c>
      <c r="L26" s="3">
        <v>1587.344412915</v>
      </c>
      <c r="M26" s="3">
        <v>1587.344412915</v>
      </c>
      <c r="N26" s="3">
        <v>1587.344412915</v>
      </c>
      <c r="O26" s="3">
        <v>1587.344412915</v>
      </c>
    </row>
    <row r="27" spans="1:15" ht="15.75" x14ac:dyDescent="0.25">
      <c r="A27" s="14" t="s">
        <v>4728</v>
      </c>
      <c r="B27" s="14" t="s">
        <v>4703</v>
      </c>
      <c r="C27" s="16">
        <v>1605.2242048387614</v>
      </c>
      <c r="D27" s="16">
        <v>1558.4701017852051</v>
      </c>
      <c r="E27" s="16">
        <v>1513.0777687235</v>
      </c>
      <c r="F27" s="16">
        <v>1469.0075424499998</v>
      </c>
      <c r="G27" s="16">
        <v>1426.2209149999999</v>
      </c>
      <c r="H27" s="16">
        <v>1384.6804999999999</v>
      </c>
      <c r="I27" s="16">
        <v>1344.35</v>
      </c>
      <c r="J27">
        <v>1149.6580767</v>
      </c>
      <c r="K27">
        <v>1092.1751728649999</v>
      </c>
      <c r="L27" s="3">
        <v>1092.1751728649999</v>
      </c>
      <c r="M27" s="3">
        <v>1092.1751728649999</v>
      </c>
      <c r="N27" s="3">
        <v>1092.1751728649999</v>
      </c>
      <c r="O27" s="3">
        <v>1092.1751728649999</v>
      </c>
    </row>
    <row r="28" spans="1:15" ht="15.75" x14ac:dyDescent="0.25">
      <c r="A28" s="14" t="s">
        <v>4729</v>
      </c>
      <c r="B28" s="14" t="s">
        <v>4733</v>
      </c>
      <c r="C28" s="16">
        <v>2195.6830654723517</v>
      </c>
      <c r="D28" s="16">
        <v>2131.7311315265551</v>
      </c>
      <c r="E28" s="16">
        <v>2069.6418752684999</v>
      </c>
      <c r="F28" s="16">
        <v>2009.3610439500001</v>
      </c>
      <c r="G28" s="16">
        <v>1950.835965</v>
      </c>
      <c r="H28" s="16">
        <v>1894.0155</v>
      </c>
      <c r="I28" s="16">
        <v>1838.85</v>
      </c>
      <c r="J28">
        <v>1572.5434257000002</v>
      </c>
      <c r="K28">
        <v>1493.9162544150001</v>
      </c>
      <c r="L28" s="3">
        <v>1493.9162544150001</v>
      </c>
      <c r="M28" s="3">
        <v>1493.9162544150001</v>
      </c>
      <c r="N28" s="3">
        <v>1493.9162544150001</v>
      </c>
      <c r="O28" s="3">
        <v>1493.9162544150001</v>
      </c>
    </row>
    <row r="29" spans="1:15" ht="15.75" x14ac:dyDescent="0.25">
      <c r="A29" s="14" t="s">
        <v>1199</v>
      </c>
      <c r="B29" s="14" t="s">
        <v>4688</v>
      </c>
      <c r="C29" s="16">
        <v>1303.1289738169244</v>
      </c>
      <c r="D29" s="16">
        <v>1265.1737609873053</v>
      </c>
      <c r="E29" s="16">
        <v>1228.3240397935003</v>
      </c>
      <c r="F29" s="16">
        <v>1192.5476114500002</v>
      </c>
      <c r="G29" s="16">
        <v>1157.8132150000001</v>
      </c>
      <c r="H29" s="16">
        <v>1124.0905</v>
      </c>
      <c r="I29" s="16">
        <v>1091.3499999999999</v>
      </c>
      <c r="J29">
        <v>933.29813070000012</v>
      </c>
      <c r="K29">
        <v>886.63322416500012</v>
      </c>
      <c r="L29" s="3">
        <v>886.63322416500012</v>
      </c>
      <c r="M29" s="3">
        <v>886.63322416500012</v>
      </c>
      <c r="N29" s="3">
        <v>886.63322416500012</v>
      </c>
      <c r="O29" s="3">
        <v>886.63322416500012</v>
      </c>
    </row>
    <row r="30" spans="1:15" ht="15.75" x14ac:dyDescent="0.25">
      <c r="A30" s="14" t="s">
        <v>4730</v>
      </c>
      <c r="B30" s="14" t="s">
        <v>4711</v>
      </c>
      <c r="C30" s="16">
        <v>1371.786980867342</v>
      </c>
      <c r="D30" s="16">
        <v>1331.8320202595553</v>
      </c>
      <c r="E30" s="16">
        <v>1293.0407963685002</v>
      </c>
      <c r="F30" s="16">
        <v>1255.3794139500001</v>
      </c>
      <c r="G30" s="16">
        <v>1218.814965</v>
      </c>
      <c r="H30" s="16">
        <v>1183.3154999999999</v>
      </c>
      <c r="I30" s="16">
        <v>1148.8499999999999</v>
      </c>
      <c r="J30">
        <v>982.47084570000015</v>
      </c>
      <c r="K30">
        <v>933.34730341500006</v>
      </c>
      <c r="L30" s="3">
        <v>933.34730341500006</v>
      </c>
      <c r="M30" s="3">
        <v>933.34730341500006</v>
      </c>
      <c r="N30" s="3">
        <v>933.34730341500006</v>
      </c>
      <c r="O30" s="3">
        <v>933.34730341500006</v>
      </c>
    </row>
    <row r="31" spans="1:15" ht="15.75" x14ac:dyDescent="0.25">
      <c r="A31" s="14" t="s">
        <v>4731</v>
      </c>
      <c r="B31" s="14" t="s">
        <v>4709</v>
      </c>
      <c r="C31" s="16">
        <v>891.18093151441917</v>
      </c>
      <c r="D31" s="16">
        <v>865.22420535380502</v>
      </c>
      <c r="E31" s="16">
        <v>840.02350034350002</v>
      </c>
      <c r="F31" s="16">
        <v>815.55679644999998</v>
      </c>
      <c r="G31" s="16">
        <v>791.80271499999992</v>
      </c>
      <c r="H31" s="16">
        <v>768.74049999999988</v>
      </c>
      <c r="I31" s="16">
        <v>746.34999999999991</v>
      </c>
      <c r="J31">
        <v>638.26184070000011</v>
      </c>
      <c r="K31">
        <v>606.34874866500013</v>
      </c>
      <c r="L31" s="3">
        <v>606.34874866500013</v>
      </c>
      <c r="M31" s="3">
        <v>606.34874866500013</v>
      </c>
      <c r="N31" s="3">
        <v>606.34874866500013</v>
      </c>
      <c r="O31" s="3">
        <v>606.34874866500013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A01E-9529-42D1-BFF3-2D29C9BCF471}">
  <dimension ref="A1:O1872"/>
  <sheetViews>
    <sheetView topLeftCell="C1" workbookViewId="0">
      <selection activeCell="I5" sqref="I5"/>
    </sheetView>
  </sheetViews>
  <sheetFormatPr defaultRowHeight="15" x14ac:dyDescent="0.25"/>
  <cols>
    <col min="1" max="1" width="12.42578125" bestFit="1" customWidth="1"/>
    <col min="2" max="2" width="41.7109375" customWidth="1"/>
    <col min="3" max="9" width="22.7109375" style="2" bestFit="1" customWidth="1"/>
    <col min="10" max="15" width="21.7109375" style="2" bestFit="1" customWidth="1"/>
  </cols>
  <sheetData>
    <row r="1" spans="1:15" x14ac:dyDescent="0.25">
      <c r="A1" t="s">
        <v>1222</v>
      </c>
      <c r="B1" t="s">
        <v>1223</v>
      </c>
      <c r="C1" s="2">
        <v>0.16500000000000001</v>
      </c>
      <c r="D1" s="2">
        <v>0.155</v>
      </c>
      <c r="E1" s="2">
        <v>0.14499999999999999</v>
      </c>
      <c r="F1" s="2">
        <v>0.13500000000000001</v>
      </c>
      <c r="G1" s="2">
        <v>0.125</v>
      </c>
      <c r="H1" s="2">
        <v>0.115</v>
      </c>
      <c r="I1" s="2">
        <v>0.105</v>
      </c>
      <c r="J1" s="2">
        <v>9.5000000000000001E-2</v>
      </c>
      <c r="K1" s="2">
        <v>8.5000000000000006E-2</v>
      </c>
      <c r="L1" s="2">
        <v>7.4999999999999997E-2</v>
      </c>
      <c r="M1" s="2">
        <v>6.5000000000000002E-2</v>
      </c>
      <c r="N1" s="2">
        <v>5.5E-2</v>
      </c>
      <c r="O1" s="2">
        <v>4.4999999999999998E-2</v>
      </c>
    </row>
    <row r="2" spans="1:15" x14ac:dyDescent="0.25">
      <c r="C2" s="2" t="s">
        <v>1224</v>
      </c>
      <c r="D2" s="2" t="s">
        <v>1225</v>
      </c>
      <c r="E2" s="2" t="s">
        <v>1226</v>
      </c>
      <c r="F2" s="2" t="s">
        <v>1227</v>
      </c>
      <c r="G2" s="2" t="s">
        <v>1228</v>
      </c>
      <c r="H2" s="2" t="s">
        <v>1229</v>
      </c>
      <c r="I2" s="2" t="s">
        <v>1230</v>
      </c>
      <c r="J2" s="2" t="s">
        <v>1231</v>
      </c>
      <c r="K2" s="2" t="s">
        <v>1232</v>
      </c>
      <c r="L2" s="2" t="s">
        <v>1233</v>
      </c>
      <c r="M2" s="2" t="s">
        <v>1234</v>
      </c>
      <c r="N2" s="2" t="s">
        <v>1235</v>
      </c>
      <c r="O2" s="2" t="s">
        <v>1236</v>
      </c>
    </row>
    <row r="3" spans="1:15" x14ac:dyDescent="0.25">
      <c r="A3" t="s">
        <v>1237</v>
      </c>
      <c r="B3" t="s">
        <v>1238</v>
      </c>
      <c r="C3" s="2">
        <v>10625.121584000002</v>
      </c>
      <c r="D3" s="2">
        <v>10306.367936480003</v>
      </c>
      <c r="E3" s="2">
        <v>9997.1768983856018</v>
      </c>
      <c r="F3" s="2">
        <v>9697.2615914340331</v>
      </c>
      <c r="G3" s="2">
        <v>9406.3437436910117</v>
      </c>
      <c r="H3" s="2">
        <v>9124.1534313802804</v>
      </c>
      <c r="I3" s="2">
        <v>8850.4288284388713</v>
      </c>
      <c r="J3" s="2">
        <v>8584.915963585705</v>
      </c>
      <c r="K3" s="2">
        <v>8327.3684846781343</v>
      </c>
      <c r="L3" s="2">
        <v>8077.5474301377899</v>
      </c>
      <c r="M3" s="2">
        <v>7835.2210072336557</v>
      </c>
      <c r="N3" s="2">
        <v>7600.1643770166456</v>
      </c>
      <c r="O3" s="2">
        <v>7372.1594457061465</v>
      </c>
    </row>
    <row r="4" spans="1:15" x14ac:dyDescent="0.25">
      <c r="A4" t="s">
        <v>1239</v>
      </c>
      <c r="B4" t="s">
        <v>1240</v>
      </c>
      <c r="C4" s="2">
        <v>9324.6651520000032</v>
      </c>
      <c r="D4" s="2">
        <v>9044.9251974400031</v>
      </c>
      <c r="E4" s="2">
        <v>8773.5774415168034</v>
      </c>
      <c r="F4" s="2">
        <v>8510.3701182712994</v>
      </c>
      <c r="G4" s="2">
        <v>8255.0590147231596</v>
      </c>
      <c r="H4" s="2">
        <v>8007.407244281465</v>
      </c>
      <c r="I4" s="2">
        <v>7767.1850269530205</v>
      </c>
      <c r="J4" s="2">
        <v>7534.1694761444296</v>
      </c>
      <c r="K4" s="2">
        <v>7308.1443918600962</v>
      </c>
      <c r="L4" s="2">
        <v>7088.9000601042935</v>
      </c>
      <c r="M4" s="2">
        <v>6876.2330583011644</v>
      </c>
      <c r="N4" s="2">
        <v>6669.9460665521292</v>
      </c>
      <c r="O4" s="2">
        <v>6469.8476845555651</v>
      </c>
    </row>
    <row r="5" spans="1:15" x14ac:dyDescent="0.25">
      <c r="A5" t="s">
        <v>1241</v>
      </c>
      <c r="B5" t="s">
        <v>1242</v>
      </c>
      <c r="C5" s="2">
        <v>8990.0448219999998</v>
      </c>
      <c r="D5" s="2">
        <v>8720.3434773400004</v>
      </c>
      <c r="E5" s="2">
        <v>8458.7331730198002</v>
      </c>
      <c r="F5" s="2">
        <v>8204.9711778292058</v>
      </c>
      <c r="G5" s="2">
        <v>7958.8220424943293</v>
      </c>
      <c r="H5" s="2">
        <v>7720.0573812194989</v>
      </c>
      <c r="I5" s="2">
        <v>7488.4556597829142</v>
      </c>
      <c r="J5" s="2">
        <v>7263.8019899894261</v>
      </c>
      <c r="K5" s="2">
        <v>7045.8879302897431</v>
      </c>
      <c r="L5" s="2">
        <v>6834.5112923810502</v>
      </c>
      <c r="M5" s="2">
        <v>6629.475953609619</v>
      </c>
      <c r="N5" s="2">
        <v>6430.5916750013303</v>
      </c>
      <c r="O5" s="2">
        <v>6237.6739247512905</v>
      </c>
    </row>
    <row r="6" spans="1:15" x14ac:dyDescent="0.25">
      <c r="A6" t="s">
        <v>1243</v>
      </c>
      <c r="B6" t="s">
        <v>1244</v>
      </c>
      <c r="C6" s="2">
        <v>8522.4917139999998</v>
      </c>
      <c r="D6" s="2">
        <v>8266.8169625800001</v>
      </c>
      <c r="E6" s="2">
        <v>8018.8124537025997</v>
      </c>
      <c r="F6" s="2">
        <v>7778.2480800915218</v>
      </c>
      <c r="G6" s="2">
        <v>7544.9006376887755</v>
      </c>
      <c r="H6" s="2">
        <v>7318.5536185581122</v>
      </c>
      <c r="I6" s="2">
        <v>7098.9970100013688</v>
      </c>
      <c r="J6" s="2">
        <v>6886.0270997013276</v>
      </c>
      <c r="K6" s="2">
        <v>6679.4462867102875</v>
      </c>
      <c r="L6" s="2">
        <v>6479.0628981089785</v>
      </c>
      <c r="M6" s="2">
        <v>6284.6910111657089</v>
      </c>
      <c r="N6" s="2">
        <v>6096.1502808307378</v>
      </c>
      <c r="O6" s="2">
        <v>5913.2657724058154</v>
      </c>
    </row>
    <row r="7" spans="1:15" x14ac:dyDescent="0.25">
      <c r="A7" t="s">
        <v>1245</v>
      </c>
      <c r="B7" t="s">
        <v>1246</v>
      </c>
      <c r="C7" s="2">
        <v>8407.8614620000008</v>
      </c>
      <c r="D7" s="2">
        <v>8155.6256181400004</v>
      </c>
      <c r="E7" s="2">
        <v>7910.9568495958001</v>
      </c>
      <c r="F7" s="2">
        <v>7673.6281441079263</v>
      </c>
      <c r="G7" s="2">
        <v>7443.4192997846885</v>
      </c>
      <c r="H7" s="2">
        <v>7220.1167207911476</v>
      </c>
      <c r="I7" s="2">
        <v>7003.5132191674129</v>
      </c>
      <c r="J7" s="2">
        <v>6793.4078225923904</v>
      </c>
      <c r="K7" s="2">
        <v>6589.6055879146188</v>
      </c>
      <c r="L7" s="2">
        <v>6391.9174202771801</v>
      </c>
      <c r="M7" s="2">
        <v>6200.1598976688647</v>
      </c>
      <c r="N7" s="2">
        <v>6014.1551007387989</v>
      </c>
      <c r="O7" s="2">
        <v>5833.7304477166344</v>
      </c>
    </row>
    <row r="8" spans="1:15" x14ac:dyDescent="0.25">
      <c r="A8" t="s">
        <v>1247</v>
      </c>
      <c r="B8" t="s">
        <v>1248</v>
      </c>
      <c r="C8" s="2">
        <v>8289.2226780000001</v>
      </c>
      <c r="D8" s="2">
        <v>8040.5459976599996</v>
      </c>
      <c r="E8" s="2">
        <v>7799.3296177301991</v>
      </c>
      <c r="F8" s="2">
        <v>7565.3497291982931</v>
      </c>
      <c r="G8" s="2">
        <v>7338.3892373223443</v>
      </c>
      <c r="H8" s="2">
        <v>7118.2375602026741</v>
      </c>
      <c r="I8" s="2">
        <v>6904.690433396594</v>
      </c>
      <c r="J8" s="2">
        <v>6697.5497203946961</v>
      </c>
      <c r="K8" s="2">
        <v>6496.6232287828552</v>
      </c>
      <c r="L8" s="2">
        <v>6301.7245319193698</v>
      </c>
      <c r="M8" s="2">
        <v>6112.6727959617883</v>
      </c>
      <c r="N8" s="2">
        <v>5929.2926120829343</v>
      </c>
      <c r="O8" s="2">
        <v>5751.4138337204458</v>
      </c>
    </row>
    <row r="9" spans="1:15" x14ac:dyDescent="0.25">
      <c r="A9" t="s">
        <v>1249</v>
      </c>
      <c r="B9" t="s">
        <v>1250</v>
      </c>
      <c r="C9" s="2">
        <v>8287.268</v>
      </c>
      <c r="D9" s="2">
        <v>8038.6499599999997</v>
      </c>
      <c r="E9" s="2">
        <v>7797.4904611999991</v>
      </c>
      <c r="F9" s="2">
        <v>7563.5657473639985</v>
      </c>
      <c r="G9" s="2">
        <v>7336.6587749430782</v>
      </c>
      <c r="H9" s="2">
        <v>7116.559011694786</v>
      </c>
      <c r="I9" s="2">
        <v>6903.0622413439423</v>
      </c>
      <c r="J9" s="2">
        <v>6695.9703741036237</v>
      </c>
      <c r="K9" s="2">
        <v>6495.0912628805145</v>
      </c>
      <c r="L9" s="2">
        <v>6300.238524994099</v>
      </c>
      <c r="M9" s="2">
        <v>6111.2313692442758</v>
      </c>
      <c r="N9" s="2">
        <v>5927.8944281669474</v>
      </c>
      <c r="O9" s="2">
        <v>5750.0575953219386</v>
      </c>
    </row>
    <row r="10" spans="1:15" x14ac:dyDescent="0.25">
      <c r="A10" t="s">
        <v>1251</v>
      </c>
      <c r="B10" t="s">
        <v>1252</v>
      </c>
      <c r="C10" s="2">
        <v>8044.2119119999998</v>
      </c>
      <c r="D10" s="2">
        <v>7802.8855546399991</v>
      </c>
      <c r="E10" s="2">
        <v>7568.798988000799</v>
      </c>
      <c r="F10" s="2">
        <v>7341.735018360775</v>
      </c>
      <c r="G10" s="2">
        <v>7121.4829678099513</v>
      </c>
      <c r="H10" s="2">
        <v>6907.8384787756522</v>
      </c>
      <c r="I10" s="2">
        <v>6700.6033244123828</v>
      </c>
      <c r="J10" s="2">
        <v>6499.5852246800114</v>
      </c>
      <c r="K10" s="2">
        <v>6304.5976679396108</v>
      </c>
      <c r="L10" s="2">
        <v>6115.4597379014222</v>
      </c>
      <c r="M10" s="2">
        <v>5931.995945764379</v>
      </c>
      <c r="N10" s="2">
        <v>5754.0360673914474</v>
      </c>
      <c r="O10" s="2">
        <v>5581.4149853697036</v>
      </c>
    </row>
    <row r="11" spans="1:15" x14ac:dyDescent="0.25">
      <c r="A11" t="s">
        <v>1253</v>
      </c>
      <c r="B11" t="s">
        <v>1254</v>
      </c>
      <c r="C11" s="2">
        <v>8020.6596360000012</v>
      </c>
      <c r="D11" s="2">
        <v>7780.0398469200009</v>
      </c>
      <c r="E11" s="2">
        <v>7546.6386515124004</v>
      </c>
      <c r="F11" s="2">
        <v>7320.2394919670278</v>
      </c>
      <c r="G11" s="2">
        <v>7100.6323072080168</v>
      </c>
      <c r="H11" s="2">
        <v>6887.6133379917765</v>
      </c>
      <c r="I11" s="2">
        <v>6680.984937852023</v>
      </c>
      <c r="J11" s="2">
        <v>6480.5553897164618</v>
      </c>
      <c r="K11" s="2">
        <v>6286.1387280249683</v>
      </c>
      <c r="L11" s="2">
        <v>6097.5545661842189</v>
      </c>
      <c r="M11" s="2">
        <v>5914.6279291986921</v>
      </c>
      <c r="N11" s="2">
        <v>5737.1890913227307</v>
      </c>
      <c r="O11" s="2">
        <v>5565.0734185830488</v>
      </c>
    </row>
    <row r="12" spans="1:15" x14ac:dyDescent="0.25">
      <c r="A12" t="s">
        <v>1255</v>
      </c>
      <c r="B12" t="s">
        <v>1256</v>
      </c>
      <c r="C12" s="2">
        <v>7964.8154520000007</v>
      </c>
      <c r="D12" s="2">
        <v>7725.8709884400005</v>
      </c>
      <c r="E12" s="2">
        <v>7494.0948587868006</v>
      </c>
      <c r="F12" s="2">
        <v>7269.2720130231965</v>
      </c>
      <c r="G12" s="2">
        <v>7051.1938526325002</v>
      </c>
      <c r="H12" s="2">
        <v>6839.6580370535248</v>
      </c>
      <c r="I12" s="2">
        <v>6634.4682959419188</v>
      </c>
      <c r="J12" s="2">
        <v>6435.4342470636611</v>
      </c>
      <c r="K12" s="2">
        <v>6242.3712196517508</v>
      </c>
      <c r="L12" s="2">
        <v>6055.1000830621979</v>
      </c>
      <c r="M12" s="2">
        <v>5873.4470805703322</v>
      </c>
      <c r="N12" s="2">
        <v>5697.2436681532217</v>
      </c>
      <c r="O12" s="2">
        <v>5526.3263581086248</v>
      </c>
    </row>
    <row r="13" spans="1:15" x14ac:dyDescent="0.25">
      <c r="A13" t="s">
        <v>1257</v>
      </c>
      <c r="B13" t="s">
        <v>1258</v>
      </c>
      <c r="C13" s="2">
        <v>7518.294234</v>
      </c>
      <c r="D13" s="2">
        <v>7292.7454069799996</v>
      </c>
      <c r="E13" s="2">
        <v>7073.9630447705995</v>
      </c>
      <c r="F13" s="2">
        <v>6861.7441534274813</v>
      </c>
      <c r="G13" s="2">
        <v>6655.8918288246568</v>
      </c>
      <c r="H13" s="2">
        <v>6456.2150739599174</v>
      </c>
      <c r="I13" s="2">
        <v>6262.5286217411194</v>
      </c>
      <c r="J13" s="2">
        <v>6074.6527630888859</v>
      </c>
      <c r="K13" s="2">
        <v>5892.4131801962194</v>
      </c>
      <c r="L13" s="2">
        <v>5715.6407847903329</v>
      </c>
      <c r="M13" s="2">
        <v>5544.1715612466223</v>
      </c>
      <c r="N13" s="2">
        <v>5377.8464144092231</v>
      </c>
      <c r="O13" s="2">
        <v>5216.5110219769467</v>
      </c>
    </row>
    <row r="14" spans="1:15" x14ac:dyDescent="0.25">
      <c r="A14" t="s">
        <v>1259</v>
      </c>
      <c r="B14" t="s">
        <v>1260</v>
      </c>
      <c r="C14" s="2">
        <v>7440.5063479999999</v>
      </c>
      <c r="D14" s="2">
        <v>7217.2911575600001</v>
      </c>
      <c r="E14" s="2">
        <v>7000.7724228331999</v>
      </c>
      <c r="F14" s="2">
        <v>6790.7492501482038</v>
      </c>
      <c r="G14" s="2">
        <v>6587.0267726437578</v>
      </c>
      <c r="H14" s="2">
        <v>6389.415969464445</v>
      </c>
      <c r="I14" s="2">
        <v>6197.7334903805113</v>
      </c>
      <c r="J14" s="2">
        <v>6011.8014856690961</v>
      </c>
      <c r="K14" s="2">
        <v>5831.4474410990233</v>
      </c>
      <c r="L14" s="2">
        <v>5656.5040178660529</v>
      </c>
      <c r="M14" s="2">
        <v>5486.808897330071</v>
      </c>
      <c r="N14" s="2">
        <v>5322.2046304101686</v>
      </c>
      <c r="O14" s="2">
        <v>5162.5384914978631</v>
      </c>
    </row>
    <row r="15" spans="1:15" x14ac:dyDescent="0.25">
      <c r="A15" t="s">
        <v>1261</v>
      </c>
      <c r="B15" t="s">
        <v>1262</v>
      </c>
      <c r="C15" s="2">
        <v>7296.099008000001</v>
      </c>
      <c r="D15" s="2">
        <v>7077.2160377600012</v>
      </c>
      <c r="E15" s="2">
        <v>6864.8995566272006</v>
      </c>
      <c r="F15" s="2">
        <v>6658.952569928384</v>
      </c>
      <c r="G15" s="2">
        <v>6459.1839928305326</v>
      </c>
      <c r="H15" s="2">
        <v>6265.4084730456161</v>
      </c>
      <c r="I15" s="2">
        <v>6077.4462188542475</v>
      </c>
      <c r="J15" s="2">
        <v>5895.12283228862</v>
      </c>
      <c r="K15" s="2">
        <v>5718.2691473199611</v>
      </c>
      <c r="L15" s="2">
        <v>5546.7210729003618</v>
      </c>
      <c r="M15" s="2">
        <v>5380.3194407133506</v>
      </c>
      <c r="N15" s="2">
        <v>5218.9098574919499</v>
      </c>
      <c r="O15" s="2">
        <v>5062.342561767191</v>
      </c>
    </row>
    <row r="16" spans="1:15" x14ac:dyDescent="0.25">
      <c r="A16" t="s">
        <v>1263</v>
      </c>
      <c r="B16" t="s">
        <v>1264</v>
      </c>
      <c r="C16" s="2">
        <v>7208.321164</v>
      </c>
      <c r="D16" s="2">
        <v>6992.0715290799999</v>
      </c>
      <c r="E16" s="2">
        <v>6782.3093832076001</v>
      </c>
      <c r="F16" s="2">
        <v>6578.840101711372</v>
      </c>
      <c r="G16" s="2">
        <v>6381.4748986600307</v>
      </c>
      <c r="H16" s="2">
        <v>6190.03065170023</v>
      </c>
      <c r="I16" s="2">
        <v>6004.3297321492228</v>
      </c>
      <c r="J16" s="2">
        <v>5824.1998401847459</v>
      </c>
      <c r="K16" s="2">
        <v>5649.473844979203</v>
      </c>
      <c r="L16" s="2">
        <v>5479.9896296298266</v>
      </c>
      <c r="M16" s="2">
        <v>5315.5899407409315</v>
      </c>
      <c r="N16" s="2">
        <v>5156.1222425187034</v>
      </c>
      <c r="O16" s="2">
        <v>5001.4385752431417</v>
      </c>
    </row>
    <row r="17" spans="1:15" x14ac:dyDescent="0.25">
      <c r="A17" t="s">
        <v>1265</v>
      </c>
      <c r="B17" t="s">
        <v>1266</v>
      </c>
      <c r="C17" s="2">
        <v>7179.2464040000013</v>
      </c>
      <c r="D17" s="2">
        <v>6963.8690118800014</v>
      </c>
      <c r="E17" s="2">
        <v>6754.9529415236011</v>
      </c>
      <c r="F17" s="2">
        <v>6552.3043532778929</v>
      </c>
      <c r="G17" s="2">
        <v>6355.7352226795556</v>
      </c>
      <c r="H17" s="2">
        <v>6165.0631659991686</v>
      </c>
      <c r="I17" s="2">
        <v>5980.1112710191937</v>
      </c>
      <c r="J17" s="2">
        <v>5800.7079328886175</v>
      </c>
      <c r="K17" s="2">
        <v>5626.6866949019586</v>
      </c>
      <c r="L17" s="2">
        <v>5457.8860940548993</v>
      </c>
      <c r="M17" s="2">
        <v>5294.1495112332523</v>
      </c>
      <c r="N17" s="2">
        <v>5135.3250258962544</v>
      </c>
      <c r="O17" s="2">
        <v>4981.2652751193664</v>
      </c>
    </row>
    <row r="18" spans="1:15" x14ac:dyDescent="0.25">
      <c r="A18" t="s">
        <v>1267</v>
      </c>
      <c r="B18" t="s">
        <v>1268</v>
      </c>
      <c r="C18" s="2">
        <v>7097.2612479999998</v>
      </c>
      <c r="D18" s="2">
        <v>6884.3434105599999</v>
      </c>
      <c r="E18" s="2">
        <v>6677.8131082432001</v>
      </c>
      <c r="F18" s="2">
        <v>6477.4787149959038</v>
      </c>
      <c r="G18" s="2">
        <v>6283.1543535460269</v>
      </c>
      <c r="H18" s="2">
        <v>6094.6597229396457</v>
      </c>
      <c r="I18" s="2">
        <v>5911.8199312514562</v>
      </c>
      <c r="J18" s="2">
        <v>5734.4653333139122</v>
      </c>
      <c r="K18" s="2">
        <v>5562.4313733144945</v>
      </c>
      <c r="L18" s="2">
        <v>5395.55843211506</v>
      </c>
      <c r="M18" s="2">
        <v>5233.6916791516078</v>
      </c>
      <c r="N18" s="2">
        <v>5076.6809287770593</v>
      </c>
      <c r="O18" s="2">
        <v>4924.3805009137477</v>
      </c>
    </row>
    <row r="19" spans="1:15" x14ac:dyDescent="0.25">
      <c r="A19" t="s">
        <v>1269</v>
      </c>
      <c r="B19" t="s">
        <v>1270</v>
      </c>
      <c r="C19" s="2">
        <v>7004.5999979999997</v>
      </c>
      <c r="D19" s="2">
        <v>6794.4619980599991</v>
      </c>
      <c r="E19" s="2">
        <v>6590.6281381181989</v>
      </c>
      <c r="F19" s="2">
        <v>6392.9092939746524</v>
      </c>
      <c r="G19" s="2">
        <v>6201.1220151554126</v>
      </c>
      <c r="H19" s="2">
        <v>6015.0883547007497</v>
      </c>
      <c r="I19" s="2">
        <v>5834.6357040597268</v>
      </c>
      <c r="J19" s="2">
        <v>5659.5966329379344</v>
      </c>
      <c r="K19" s="2">
        <v>5489.8087339497961</v>
      </c>
      <c r="L19" s="2">
        <v>5325.1144719313024</v>
      </c>
      <c r="M19" s="2">
        <v>5165.361037773363</v>
      </c>
      <c r="N19" s="2">
        <v>5010.4002066401617</v>
      </c>
      <c r="O19" s="2">
        <v>4860.0882004409568</v>
      </c>
    </row>
    <row r="20" spans="1:15" x14ac:dyDescent="0.25">
      <c r="A20" t="s">
        <v>1271</v>
      </c>
      <c r="B20" t="s">
        <v>1272</v>
      </c>
      <c r="C20" s="2">
        <v>6964.7469320000009</v>
      </c>
      <c r="D20" s="2">
        <v>6755.8045240400006</v>
      </c>
      <c r="E20" s="2">
        <v>6553.1303883188002</v>
      </c>
      <c r="F20" s="2">
        <v>6356.5364766692364</v>
      </c>
      <c r="G20" s="2">
        <v>6165.8403823691588</v>
      </c>
      <c r="H20" s="2">
        <v>5980.8651708980842</v>
      </c>
      <c r="I20" s="2">
        <v>5801.4392157711418</v>
      </c>
      <c r="J20" s="2">
        <v>5627.3960392980071</v>
      </c>
      <c r="K20" s="2">
        <v>5458.5741581190669</v>
      </c>
      <c r="L20" s="2">
        <v>5294.816933375495</v>
      </c>
      <c r="M20" s="2">
        <v>5135.9724253742297</v>
      </c>
      <c r="N20" s="2">
        <v>4981.8932526130029</v>
      </c>
      <c r="O20" s="2">
        <v>4832.4364550346127</v>
      </c>
    </row>
    <row r="21" spans="1:15" x14ac:dyDescent="0.25">
      <c r="A21" t="s">
        <v>1273</v>
      </c>
      <c r="B21" t="s">
        <v>1274</v>
      </c>
      <c r="C21" s="2">
        <v>6960.3771160000006</v>
      </c>
      <c r="D21" s="2">
        <v>6751.56580252</v>
      </c>
      <c r="E21" s="2">
        <v>6549.0188284444002</v>
      </c>
      <c r="F21" s="2">
        <v>6352.5482635910685</v>
      </c>
      <c r="G21" s="2">
        <v>6161.971815683336</v>
      </c>
      <c r="H21" s="2">
        <v>5977.1126612128355</v>
      </c>
      <c r="I21" s="2">
        <v>5797.7992813764504</v>
      </c>
      <c r="J21" s="2">
        <v>5623.8653029351572</v>
      </c>
      <c r="K21" s="2">
        <v>5455.1493438471025</v>
      </c>
      <c r="L21" s="2">
        <v>5291.4948635316896</v>
      </c>
      <c r="M21" s="2">
        <v>5132.750017625739</v>
      </c>
      <c r="N21" s="2">
        <v>4978.7675170969669</v>
      </c>
      <c r="O21" s="2">
        <v>4829.4044915840577</v>
      </c>
    </row>
    <row r="22" spans="1:15" x14ac:dyDescent="0.25">
      <c r="A22" t="s">
        <v>1275</v>
      </c>
      <c r="B22" t="s">
        <v>1276</v>
      </c>
      <c r="C22" s="2">
        <v>6843.3302080000003</v>
      </c>
      <c r="D22" s="2">
        <v>6638.0303017599999</v>
      </c>
      <c r="E22" s="2">
        <v>6438.8893927071995</v>
      </c>
      <c r="F22" s="2">
        <v>6245.7227109259829</v>
      </c>
      <c r="G22" s="2">
        <v>6058.3510295982032</v>
      </c>
      <c r="H22" s="2">
        <v>5876.6004987102569</v>
      </c>
      <c r="I22" s="2">
        <v>5700.3024837489493</v>
      </c>
      <c r="J22" s="2">
        <v>5529.2934092364803</v>
      </c>
      <c r="K22" s="2">
        <v>5363.4146069593862</v>
      </c>
      <c r="L22" s="2">
        <v>5202.5121687506044</v>
      </c>
      <c r="M22" s="2">
        <v>5046.436803688086</v>
      </c>
      <c r="N22" s="2">
        <v>4895.0436995774435</v>
      </c>
      <c r="O22" s="2">
        <v>4748.1923885901197</v>
      </c>
    </row>
    <row r="23" spans="1:15" x14ac:dyDescent="0.25">
      <c r="A23" t="s">
        <v>1277</v>
      </c>
      <c r="B23" t="s">
        <v>1278</v>
      </c>
      <c r="C23" s="2">
        <v>6835.665320000001</v>
      </c>
      <c r="D23" s="2">
        <v>6630.5953604000006</v>
      </c>
      <c r="E23" s="2">
        <v>6431.6774995880005</v>
      </c>
      <c r="F23" s="2">
        <v>6238.7271746003607</v>
      </c>
      <c r="G23" s="2">
        <v>6051.5653593623501</v>
      </c>
      <c r="H23" s="2">
        <v>5870.0183985814792</v>
      </c>
      <c r="I23" s="2">
        <v>5693.9178466240346</v>
      </c>
      <c r="J23" s="2">
        <v>5523.1003112253138</v>
      </c>
      <c r="K23" s="2">
        <v>5357.4073018885547</v>
      </c>
      <c r="L23" s="2">
        <v>5196.6850828318975</v>
      </c>
      <c r="M23" s="2">
        <v>5040.7845303469403</v>
      </c>
      <c r="N23" s="2">
        <v>4889.5609944365324</v>
      </c>
      <c r="O23" s="2">
        <v>4742.8741646034359</v>
      </c>
    </row>
    <row r="24" spans="1:15" x14ac:dyDescent="0.25">
      <c r="A24" t="s">
        <v>1279</v>
      </c>
      <c r="B24" t="s">
        <v>1280</v>
      </c>
      <c r="C24" s="2">
        <v>6797.2963520000012</v>
      </c>
      <c r="D24" s="2">
        <v>6593.3774614400008</v>
      </c>
      <c r="E24" s="2">
        <v>6395.5761375968004</v>
      </c>
      <c r="F24" s="2">
        <v>6203.7088534688965</v>
      </c>
      <c r="G24" s="2">
        <v>6017.5975878648296</v>
      </c>
      <c r="H24" s="2">
        <v>5837.0696602288845</v>
      </c>
      <c r="I24" s="2">
        <v>5661.9575704220179</v>
      </c>
      <c r="J24" s="2">
        <v>5492.0988433093571</v>
      </c>
      <c r="K24" s="2">
        <v>5327.3358780100762</v>
      </c>
      <c r="L24" s="2">
        <v>5167.5158016697733</v>
      </c>
      <c r="M24" s="2">
        <v>5012.4903276196801</v>
      </c>
      <c r="N24" s="2">
        <v>4862.1156177910898</v>
      </c>
      <c r="O24" s="2">
        <v>4716.2521492573569</v>
      </c>
    </row>
    <row r="25" spans="1:15" x14ac:dyDescent="0.25">
      <c r="A25" t="s">
        <v>1281</v>
      </c>
      <c r="B25" t="s">
        <v>1282</v>
      </c>
      <c r="C25" s="2">
        <v>6792.7949760000001</v>
      </c>
      <c r="D25" s="2">
        <v>6589.01112672</v>
      </c>
      <c r="E25" s="2">
        <v>6391.3407929183995</v>
      </c>
      <c r="F25" s="2">
        <v>6199.6005691308474</v>
      </c>
      <c r="G25" s="2">
        <v>6013.6125520569221</v>
      </c>
      <c r="H25" s="2">
        <v>5833.2041754952143</v>
      </c>
      <c r="I25" s="2">
        <v>5658.2080502303579</v>
      </c>
      <c r="J25" s="2">
        <v>5488.4618087234467</v>
      </c>
      <c r="K25" s="2">
        <v>5323.8079544617431</v>
      </c>
      <c r="L25" s="2">
        <v>5164.0937158278903</v>
      </c>
      <c r="M25" s="2">
        <v>5009.1709043530536</v>
      </c>
      <c r="N25" s="2">
        <v>4858.8957772224621</v>
      </c>
      <c r="O25" s="2">
        <v>4713.1289039057883</v>
      </c>
    </row>
    <row r="26" spans="1:15" x14ac:dyDescent="0.25">
      <c r="A26" t="s">
        <v>1283</v>
      </c>
      <c r="B26" t="s">
        <v>1284</v>
      </c>
      <c r="C26" s="2">
        <v>6751.4861480000009</v>
      </c>
      <c r="D26" s="2">
        <v>6548.9415635600008</v>
      </c>
      <c r="E26" s="2">
        <v>6352.4733166532005</v>
      </c>
      <c r="F26" s="2">
        <v>6161.8991171536045</v>
      </c>
      <c r="G26" s="2">
        <v>5977.0421436389961</v>
      </c>
      <c r="H26" s="2">
        <v>5797.7308793298262</v>
      </c>
      <c r="I26" s="2">
        <v>5623.7989529499309</v>
      </c>
      <c r="J26" s="2">
        <v>5455.0849843614333</v>
      </c>
      <c r="K26" s="2">
        <v>5291.43243483059</v>
      </c>
      <c r="L26" s="2">
        <v>5132.6894617856724</v>
      </c>
      <c r="M26" s="2">
        <v>4978.7087779321018</v>
      </c>
      <c r="N26" s="2">
        <v>4829.3475145941384</v>
      </c>
      <c r="O26" s="2">
        <v>4684.4670891563137</v>
      </c>
    </row>
    <row r="27" spans="1:15" x14ac:dyDescent="0.25">
      <c r="A27" t="s">
        <v>1285</v>
      </c>
      <c r="B27" t="s">
        <v>1286</v>
      </c>
      <c r="C27" s="2">
        <v>6748.9055480000006</v>
      </c>
      <c r="D27" s="2">
        <v>6546.4383815600004</v>
      </c>
      <c r="E27" s="2">
        <v>6350.0452301132</v>
      </c>
      <c r="F27" s="2">
        <v>6159.5438732098037</v>
      </c>
      <c r="G27" s="2">
        <v>5974.7575570135095</v>
      </c>
      <c r="H27" s="2">
        <v>5795.5148303031037</v>
      </c>
      <c r="I27" s="2">
        <v>5621.6493853940101</v>
      </c>
      <c r="J27" s="2">
        <v>5452.9999038321894</v>
      </c>
      <c r="K27" s="2">
        <v>5289.4099067172237</v>
      </c>
      <c r="L27" s="2">
        <v>5130.7276095157067</v>
      </c>
      <c r="M27" s="2">
        <v>4976.805781230235</v>
      </c>
      <c r="N27" s="2">
        <v>4827.5016077933278</v>
      </c>
      <c r="O27" s="2">
        <v>4682.676559559528</v>
      </c>
    </row>
    <row r="28" spans="1:15" x14ac:dyDescent="0.25">
      <c r="A28" t="s">
        <v>1287</v>
      </c>
      <c r="B28" t="s">
        <v>1288</v>
      </c>
      <c r="C28" s="2">
        <v>6696.4687680000015</v>
      </c>
      <c r="D28" s="2">
        <v>6495.5747049600013</v>
      </c>
      <c r="E28" s="2">
        <v>6300.7074638112008</v>
      </c>
      <c r="F28" s="2">
        <v>6111.6862398968642</v>
      </c>
      <c r="G28" s="2">
        <v>5928.3356526999578</v>
      </c>
      <c r="H28" s="2">
        <v>5750.4855831189589</v>
      </c>
      <c r="I28" s="2">
        <v>5577.9710156253896</v>
      </c>
      <c r="J28" s="2">
        <v>5410.6318851566275</v>
      </c>
      <c r="K28" s="2">
        <v>5248.3129286019284</v>
      </c>
      <c r="L28" s="2">
        <v>5090.8635407438705</v>
      </c>
      <c r="M28" s="2">
        <v>4938.137634521554</v>
      </c>
      <c r="N28" s="2">
        <v>4789.993505485907</v>
      </c>
      <c r="O28" s="2">
        <v>4646.2937003213301</v>
      </c>
    </row>
    <row r="29" spans="1:15" x14ac:dyDescent="0.25">
      <c r="A29" t="s">
        <v>1289</v>
      </c>
      <c r="B29" t="s">
        <v>1290</v>
      </c>
      <c r="C29" s="2">
        <v>6682.7217600000013</v>
      </c>
      <c r="D29" s="2">
        <v>6482.2401072000011</v>
      </c>
      <c r="E29" s="2">
        <v>6287.7729039840005</v>
      </c>
      <c r="F29" s="2">
        <v>6099.1397168644808</v>
      </c>
      <c r="G29" s="2">
        <v>5916.1655253585459</v>
      </c>
      <c r="H29" s="2">
        <v>5738.6805595977894</v>
      </c>
      <c r="I29" s="2">
        <v>5566.5201428098553</v>
      </c>
      <c r="J29" s="2">
        <v>5399.5245385255594</v>
      </c>
      <c r="K29" s="2">
        <v>5237.5388023697924</v>
      </c>
      <c r="L29" s="2">
        <v>5080.4126382986988</v>
      </c>
      <c r="M29" s="2">
        <v>4928.0002591497378</v>
      </c>
      <c r="N29" s="2">
        <v>4780.1602513752459</v>
      </c>
      <c r="O29" s="2">
        <v>4636.7554438339885</v>
      </c>
    </row>
    <row r="30" spans="1:15" x14ac:dyDescent="0.25">
      <c r="A30" t="s">
        <v>1291</v>
      </c>
      <c r="B30" t="s">
        <v>1292</v>
      </c>
      <c r="C30" s="2">
        <v>6661.4576160000006</v>
      </c>
      <c r="D30" s="2">
        <v>6461.6138875200004</v>
      </c>
      <c r="E30" s="2">
        <v>6267.7654708944001</v>
      </c>
      <c r="F30" s="2">
        <v>6079.7325067675683</v>
      </c>
      <c r="G30" s="2">
        <v>5897.3405315645414</v>
      </c>
      <c r="H30" s="2">
        <v>5720.4203156176054</v>
      </c>
      <c r="I30" s="2">
        <v>5548.8077061490767</v>
      </c>
      <c r="J30" s="2">
        <v>5382.343474964604</v>
      </c>
      <c r="K30" s="2">
        <v>5220.8731707156658</v>
      </c>
      <c r="L30" s="2">
        <v>5064.2469755941956</v>
      </c>
      <c r="M30" s="2">
        <v>4912.3195663263696</v>
      </c>
      <c r="N30" s="2">
        <v>4764.9499793365785</v>
      </c>
      <c r="O30" s="2">
        <v>4622.0014799564806</v>
      </c>
    </row>
    <row r="31" spans="1:15" x14ac:dyDescent="0.25">
      <c r="A31" t="s">
        <v>1293</v>
      </c>
      <c r="B31" t="s">
        <v>1294</v>
      </c>
      <c r="C31" s="2">
        <v>6637.6027520000016</v>
      </c>
      <c r="D31" s="2">
        <v>6438.474669440001</v>
      </c>
      <c r="E31" s="2">
        <v>6245.3204293568006</v>
      </c>
      <c r="F31" s="2">
        <v>6057.9608164760966</v>
      </c>
      <c r="G31" s="2">
        <v>5876.2219919818135</v>
      </c>
      <c r="H31" s="2">
        <v>5699.9353322223587</v>
      </c>
      <c r="I31" s="2">
        <v>5528.9372722556882</v>
      </c>
      <c r="J31" s="2">
        <v>5363.0691540880171</v>
      </c>
      <c r="K31" s="2">
        <v>5202.1770794653767</v>
      </c>
      <c r="L31" s="2">
        <v>5046.1117670814156</v>
      </c>
      <c r="M31" s="2">
        <v>4894.7284140689726</v>
      </c>
      <c r="N31" s="2">
        <v>4747.8865616469029</v>
      </c>
      <c r="O31" s="2">
        <v>4605.4499647974953</v>
      </c>
    </row>
    <row r="32" spans="1:15" x14ac:dyDescent="0.25">
      <c r="A32" t="s">
        <v>1295</v>
      </c>
      <c r="B32" t="s">
        <v>1296</v>
      </c>
      <c r="C32" s="2">
        <v>6484.4992960000009</v>
      </c>
      <c r="D32" s="2">
        <v>6289.9643171200005</v>
      </c>
      <c r="E32" s="2">
        <v>6101.2653876064005</v>
      </c>
      <c r="F32" s="2">
        <v>5918.227425978208</v>
      </c>
      <c r="G32" s="2">
        <v>5740.6806031988617</v>
      </c>
      <c r="H32" s="2">
        <v>5568.4601851028956</v>
      </c>
      <c r="I32" s="2">
        <v>5401.4063795498087</v>
      </c>
      <c r="J32" s="2">
        <v>5239.3641881633139</v>
      </c>
      <c r="K32" s="2">
        <v>5082.1832625184143</v>
      </c>
      <c r="L32" s="2">
        <v>4929.7177646428618</v>
      </c>
      <c r="M32" s="2">
        <v>4781.826231703576</v>
      </c>
      <c r="N32" s="2">
        <v>4638.371444752469</v>
      </c>
      <c r="O32" s="2">
        <v>4499.220301409895</v>
      </c>
    </row>
    <row r="33" spans="1:15" x14ac:dyDescent="0.25">
      <c r="A33" t="s">
        <v>1297</v>
      </c>
      <c r="B33" t="s">
        <v>1298</v>
      </c>
      <c r="C33" s="2">
        <v>6355.0523520000006</v>
      </c>
      <c r="D33" s="2">
        <v>6164.4007814400002</v>
      </c>
      <c r="E33" s="2">
        <v>5979.4687579968004</v>
      </c>
      <c r="F33" s="2">
        <v>5800.0846952568963</v>
      </c>
      <c r="G33" s="2">
        <v>5626.0821543991897</v>
      </c>
      <c r="H33" s="2">
        <v>5457.2996897672137</v>
      </c>
      <c r="I33" s="2">
        <v>5293.5806990741976</v>
      </c>
      <c r="J33" s="2">
        <v>5134.7732781019713</v>
      </c>
      <c r="K33" s="2">
        <v>4980.7300797589123</v>
      </c>
      <c r="L33" s="2">
        <v>4831.3081773661452</v>
      </c>
      <c r="M33" s="2">
        <v>4686.3689320451604</v>
      </c>
      <c r="N33" s="2">
        <v>4545.7778640838051</v>
      </c>
      <c r="O33" s="2">
        <v>4409.4045281612907</v>
      </c>
    </row>
    <row r="34" spans="1:15" x14ac:dyDescent="0.25">
      <c r="A34" t="s">
        <v>1299</v>
      </c>
      <c r="B34" t="s">
        <v>1300</v>
      </c>
      <c r="C34" s="2">
        <v>6329.671392000002</v>
      </c>
      <c r="D34" s="2">
        <v>6139.781250240002</v>
      </c>
      <c r="E34" s="2">
        <v>5955.5878127328015</v>
      </c>
      <c r="F34" s="2">
        <v>5776.920178350817</v>
      </c>
      <c r="G34" s="2">
        <v>5603.6125730002923</v>
      </c>
      <c r="H34" s="2">
        <v>5435.5041958102838</v>
      </c>
      <c r="I34" s="2">
        <v>5272.4390699359756</v>
      </c>
      <c r="J34" s="2">
        <v>5114.2658978378959</v>
      </c>
      <c r="K34" s="2">
        <v>4960.8379209027589</v>
      </c>
      <c r="L34" s="2">
        <v>4812.0127832756762</v>
      </c>
      <c r="M34" s="2">
        <v>4667.6523997774057</v>
      </c>
      <c r="N34" s="2">
        <v>4527.6228277840837</v>
      </c>
      <c r="O34" s="2">
        <v>4391.7941429505609</v>
      </c>
    </row>
    <row r="35" spans="1:15" x14ac:dyDescent="0.25">
      <c r="A35" t="s">
        <v>1301</v>
      </c>
      <c r="B35" t="s">
        <v>1302</v>
      </c>
      <c r="C35" s="2">
        <v>6272.9482860000007</v>
      </c>
      <c r="D35" s="2">
        <v>6084.7598374200006</v>
      </c>
      <c r="E35" s="2">
        <v>5902.2170422974004</v>
      </c>
      <c r="F35" s="2">
        <v>5725.1505310284783</v>
      </c>
      <c r="G35" s="2">
        <v>5553.3960150976236</v>
      </c>
      <c r="H35" s="2">
        <v>5386.7941346446951</v>
      </c>
      <c r="I35" s="2">
        <v>5225.1903106053542</v>
      </c>
      <c r="J35" s="2">
        <v>5068.4346012871938</v>
      </c>
      <c r="K35" s="2">
        <v>4916.3815632485775</v>
      </c>
      <c r="L35" s="2">
        <v>4768.89011635112</v>
      </c>
      <c r="M35" s="2">
        <v>4625.8234128605864</v>
      </c>
      <c r="N35" s="2">
        <v>4487.048710474769</v>
      </c>
      <c r="O35" s="2">
        <v>4352.4372491605254</v>
      </c>
    </row>
    <row r="36" spans="1:15" x14ac:dyDescent="0.25">
      <c r="A36" t="s">
        <v>1303</v>
      </c>
      <c r="B36" t="s">
        <v>1304</v>
      </c>
      <c r="C36" s="2">
        <v>6209.6158080000014</v>
      </c>
      <c r="D36" s="2">
        <v>6023.3273337600012</v>
      </c>
      <c r="E36" s="2">
        <v>5842.6275137472012</v>
      </c>
      <c r="F36" s="2">
        <v>5667.348688334785</v>
      </c>
      <c r="G36" s="2">
        <v>5497.3282276847413</v>
      </c>
      <c r="H36" s="2">
        <v>5332.4083808541991</v>
      </c>
      <c r="I36" s="2">
        <v>5172.4361294285727</v>
      </c>
      <c r="J36" s="2">
        <v>5017.2630455457156</v>
      </c>
      <c r="K36" s="2">
        <v>4866.7451541793444</v>
      </c>
      <c r="L36" s="2">
        <v>4720.7427995539638</v>
      </c>
      <c r="M36" s="2">
        <v>4579.1205155673451</v>
      </c>
      <c r="N36" s="2">
        <v>4441.7469001003246</v>
      </c>
      <c r="O36" s="2">
        <v>4308.4944930973152</v>
      </c>
    </row>
    <row r="37" spans="1:15" x14ac:dyDescent="0.25">
      <c r="A37" t="s">
        <v>1305</v>
      </c>
      <c r="B37" t="s">
        <v>1306</v>
      </c>
      <c r="C37" s="2">
        <v>6202.1512960000009</v>
      </c>
      <c r="D37" s="2">
        <v>6016.0867571200006</v>
      </c>
      <c r="E37" s="2">
        <v>5835.6041544064001</v>
      </c>
      <c r="F37" s="2">
        <v>5660.5360297742081</v>
      </c>
      <c r="G37" s="2">
        <v>5490.719948880982</v>
      </c>
      <c r="H37" s="2">
        <v>5325.9983504145521</v>
      </c>
      <c r="I37" s="2">
        <v>5166.2183999021154</v>
      </c>
      <c r="J37" s="2">
        <v>5011.2318479050518</v>
      </c>
      <c r="K37" s="2">
        <v>4860.8948924678998</v>
      </c>
      <c r="L37" s="2">
        <v>4715.0680456938626</v>
      </c>
      <c r="M37" s="2">
        <v>4573.6160043230466</v>
      </c>
      <c r="N37" s="2">
        <v>4436.4075241933551</v>
      </c>
      <c r="O37" s="2">
        <v>4303.3152984675544</v>
      </c>
    </row>
    <row r="38" spans="1:15" x14ac:dyDescent="0.25">
      <c r="A38" t="s">
        <v>1307</v>
      </c>
      <c r="B38" t="s">
        <v>1308</v>
      </c>
      <c r="C38" s="2">
        <v>6179.2294959999999</v>
      </c>
      <c r="D38" s="2">
        <v>5993.8526111199999</v>
      </c>
      <c r="E38" s="2">
        <v>5814.0370327863993</v>
      </c>
      <c r="F38" s="2">
        <v>5639.615921802807</v>
      </c>
      <c r="G38" s="2">
        <v>5470.4274441487223</v>
      </c>
      <c r="H38" s="2">
        <v>5306.3146208242606</v>
      </c>
      <c r="I38" s="2">
        <v>5147.1251821995329</v>
      </c>
      <c r="J38" s="2">
        <v>4992.7114267335464</v>
      </c>
      <c r="K38" s="2">
        <v>4842.9300839315401</v>
      </c>
      <c r="L38" s="2">
        <v>4697.6421814135938</v>
      </c>
      <c r="M38" s="2">
        <v>4556.7129159711858</v>
      </c>
      <c r="N38" s="2">
        <v>4420.0115284920503</v>
      </c>
      <c r="O38" s="2">
        <v>4287.4111826372882</v>
      </c>
    </row>
    <row r="39" spans="1:15" x14ac:dyDescent="0.25">
      <c r="A39" t="s">
        <v>1309</v>
      </c>
      <c r="B39" t="s">
        <v>1310</v>
      </c>
      <c r="C39" s="2">
        <v>6175.8317060000008</v>
      </c>
      <c r="D39" s="2">
        <v>5990.5567548200006</v>
      </c>
      <c r="E39" s="2">
        <v>5810.8400521754002</v>
      </c>
      <c r="F39" s="2">
        <v>5636.5148506101377</v>
      </c>
      <c r="G39" s="2">
        <v>5467.4194050918331</v>
      </c>
      <c r="H39" s="2">
        <v>5303.3968229390784</v>
      </c>
      <c r="I39" s="2">
        <v>5144.2949182509055</v>
      </c>
      <c r="J39" s="2">
        <v>4989.9660707033781</v>
      </c>
      <c r="K39" s="2">
        <v>4840.2670885822763</v>
      </c>
      <c r="L39" s="2">
        <v>4695.059075924808</v>
      </c>
      <c r="M39" s="2">
        <v>4554.2073036470638</v>
      </c>
      <c r="N39" s="2">
        <v>4417.5810845376518</v>
      </c>
      <c r="O39" s="2">
        <v>4285.0536520015221</v>
      </c>
    </row>
    <row r="40" spans="1:15" x14ac:dyDescent="0.25">
      <c r="A40" t="s">
        <v>1311</v>
      </c>
      <c r="B40" t="s">
        <v>1312</v>
      </c>
      <c r="C40" s="2">
        <v>6171.5241280000018</v>
      </c>
      <c r="D40" s="2">
        <v>5986.378404160002</v>
      </c>
      <c r="E40" s="2">
        <v>5806.7870520352017</v>
      </c>
      <c r="F40" s="2">
        <v>5632.5834404741454</v>
      </c>
      <c r="G40" s="2">
        <v>5463.6059372599211</v>
      </c>
      <c r="H40" s="2">
        <v>5299.6977591421237</v>
      </c>
      <c r="I40" s="2">
        <v>5140.7068263678602</v>
      </c>
      <c r="J40" s="2">
        <v>4986.4856215768241</v>
      </c>
      <c r="K40" s="2">
        <v>4836.891052929519</v>
      </c>
      <c r="L40" s="2">
        <v>4691.7843213416336</v>
      </c>
      <c r="M40" s="2">
        <v>4551.0307917013843</v>
      </c>
      <c r="N40" s="2">
        <v>4414.4998679503424</v>
      </c>
      <c r="O40" s="2">
        <v>4282.0648719118317</v>
      </c>
    </row>
    <row r="41" spans="1:15" x14ac:dyDescent="0.25">
      <c r="A41" t="s">
        <v>1313</v>
      </c>
      <c r="B41" t="s">
        <v>1314</v>
      </c>
      <c r="C41" s="2">
        <v>6171.5241280000018</v>
      </c>
      <c r="D41" s="2">
        <v>5986.378404160002</v>
      </c>
      <c r="E41" s="2">
        <v>5806.7870520352017</v>
      </c>
      <c r="F41" s="2">
        <v>5632.5834404741454</v>
      </c>
      <c r="G41" s="2">
        <v>5463.6059372599211</v>
      </c>
      <c r="H41" s="2">
        <v>5299.6977591421237</v>
      </c>
      <c r="I41" s="2">
        <v>5140.7068263678602</v>
      </c>
      <c r="J41" s="2">
        <v>4986.4856215768241</v>
      </c>
      <c r="K41" s="2">
        <v>4836.891052929519</v>
      </c>
      <c r="L41" s="2">
        <v>4691.7843213416336</v>
      </c>
      <c r="M41" s="2">
        <v>4551.0307917013843</v>
      </c>
      <c r="N41" s="2">
        <v>4414.4998679503424</v>
      </c>
      <c r="O41" s="2">
        <v>4282.0648719118317</v>
      </c>
    </row>
    <row r="42" spans="1:15" x14ac:dyDescent="0.25">
      <c r="A42" t="s">
        <v>1315</v>
      </c>
      <c r="B42" t="s">
        <v>1316</v>
      </c>
      <c r="C42" s="2">
        <v>6171.5241280000018</v>
      </c>
      <c r="D42" s="2">
        <v>5986.378404160002</v>
      </c>
      <c r="E42" s="2">
        <v>5806.7870520352017</v>
      </c>
      <c r="F42" s="2">
        <v>5632.5834404741454</v>
      </c>
      <c r="G42" s="2">
        <v>5463.6059372599211</v>
      </c>
      <c r="H42" s="2">
        <v>5299.6977591421237</v>
      </c>
      <c r="I42" s="2">
        <v>5140.7068263678602</v>
      </c>
      <c r="J42" s="2">
        <v>4986.4856215768241</v>
      </c>
      <c r="K42" s="2">
        <v>4836.891052929519</v>
      </c>
      <c r="L42" s="2">
        <v>4691.7843213416336</v>
      </c>
      <c r="M42" s="2">
        <v>4551.0307917013843</v>
      </c>
      <c r="N42" s="2">
        <v>4414.4998679503424</v>
      </c>
      <c r="O42" s="2">
        <v>4282.0648719118317</v>
      </c>
    </row>
    <row r="43" spans="1:15" x14ac:dyDescent="0.25">
      <c r="A43" t="s">
        <v>1317</v>
      </c>
      <c r="B43" t="s">
        <v>1318</v>
      </c>
      <c r="C43" s="2">
        <v>6171.5241280000018</v>
      </c>
      <c r="D43" s="2">
        <v>5986.378404160002</v>
      </c>
      <c r="E43" s="2">
        <v>5806.7870520352017</v>
      </c>
      <c r="F43" s="2">
        <v>5632.5834404741454</v>
      </c>
      <c r="G43" s="2">
        <v>5463.6059372599211</v>
      </c>
      <c r="H43" s="2">
        <v>5299.6977591421237</v>
      </c>
      <c r="I43" s="2">
        <v>5140.7068263678602</v>
      </c>
      <c r="J43" s="2">
        <v>4986.4856215768241</v>
      </c>
      <c r="K43" s="2">
        <v>4836.891052929519</v>
      </c>
      <c r="L43" s="2">
        <v>4691.7843213416336</v>
      </c>
      <c r="M43" s="2">
        <v>4551.0307917013843</v>
      </c>
      <c r="N43" s="2">
        <v>4414.4998679503424</v>
      </c>
      <c r="O43" s="2">
        <v>4282.0648719118317</v>
      </c>
    </row>
    <row r="44" spans="1:15" x14ac:dyDescent="0.25">
      <c r="A44" t="s">
        <v>1319</v>
      </c>
      <c r="B44" t="s">
        <v>1320</v>
      </c>
      <c r="C44" s="2">
        <v>6118.203872000001</v>
      </c>
      <c r="D44" s="2">
        <v>5934.6577558400004</v>
      </c>
      <c r="E44" s="2">
        <v>5756.6180231648004</v>
      </c>
      <c r="F44" s="2">
        <v>5583.9194824698561</v>
      </c>
      <c r="G44" s="2">
        <v>5416.40189799576</v>
      </c>
      <c r="H44" s="2">
        <v>5253.9098410558872</v>
      </c>
      <c r="I44" s="2">
        <v>5096.2925458242107</v>
      </c>
      <c r="J44" s="2">
        <v>4943.4037694494846</v>
      </c>
      <c r="K44" s="2">
        <v>4795.1016563659996</v>
      </c>
      <c r="L44" s="2">
        <v>4651.2486066750198</v>
      </c>
      <c r="M44" s="2">
        <v>4511.7111484747693</v>
      </c>
      <c r="N44" s="2">
        <v>4376.3598140205258</v>
      </c>
      <c r="O44" s="2">
        <v>4245.0690195999096</v>
      </c>
    </row>
    <row r="45" spans="1:15" x14ac:dyDescent="0.25">
      <c r="A45" t="s">
        <v>1321</v>
      </c>
      <c r="B45" t="s">
        <v>1322</v>
      </c>
      <c r="C45" s="2">
        <v>6030.3460800000012</v>
      </c>
      <c r="D45" s="2">
        <v>5849.4356976000008</v>
      </c>
      <c r="E45" s="2">
        <v>5673.9526266720004</v>
      </c>
      <c r="F45" s="2">
        <v>5503.7340478718406</v>
      </c>
      <c r="G45" s="2">
        <v>5338.6220264356853</v>
      </c>
      <c r="H45" s="2">
        <v>5178.4633656426149</v>
      </c>
      <c r="I45" s="2">
        <v>5023.1094646733363</v>
      </c>
      <c r="J45" s="2">
        <v>4872.4161807331357</v>
      </c>
      <c r="K45" s="2">
        <v>4726.2436953111419</v>
      </c>
      <c r="L45" s="2">
        <v>4584.4563844518079</v>
      </c>
      <c r="M45" s="2">
        <v>4446.9226929182532</v>
      </c>
      <c r="N45" s="2">
        <v>4313.5150121307051</v>
      </c>
      <c r="O45" s="2">
        <v>4184.1095617667843</v>
      </c>
    </row>
    <row r="46" spans="1:15" x14ac:dyDescent="0.25">
      <c r="A46" t="s">
        <v>1323</v>
      </c>
      <c r="B46" t="s">
        <v>1324</v>
      </c>
      <c r="C46" s="2">
        <v>6015.0947340000012</v>
      </c>
      <c r="D46" s="2">
        <v>5834.6418919800008</v>
      </c>
      <c r="E46" s="2">
        <v>5659.6026352206009</v>
      </c>
      <c r="F46" s="2">
        <v>5489.8145561639831</v>
      </c>
      <c r="G46" s="2">
        <v>5325.1201194790638</v>
      </c>
      <c r="H46" s="2">
        <v>5165.3665158946915</v>
      </c>
      <c r="I46" s="2">
        <v>5010.4055204178503</v>
      </c>
      <c r="J46" s="2">
        <v>4860.0933548053144</v>
      </c>
      <c r="K46" s="2">
        <v>4714.2905541611544</v>
      </c>
      <c r="L46" s="2">
        <v>4572.8618375363194</v>
      </c>
      <c r="M46" s="2">
        <v>4435.6759824102301</v>
      </c>
      <c r="N46" s="2">
        <v>4302.6057029379226</v>
      </c>
      <c r="O46" s="2">
        <v>4173.5275318497852</v>
      </c>
    </row>
    <row r="47" spans="1:15" x14ac:dyDescent="0.25">
      <c r="A47" t="s">
        <v>1325</v>
      </c>
      <c r="B47" t="s">
        <v>1326</v>
      </c>
      <c r="C47" s="2">
        <v>6007.4586880000015</v>
      </c>
      <c r="D47" s="2">
        <v>5827.2349273600012</v>
      </c>
      <c r="E47" s="2">
        <v>5652.4178795392008</v>
      </c>
      <c r="F47" s="2">
        <v>5482.8453431530243</v>
      </c>
      <c r="G47" s="2">
        <v>5318.3599828584338</v>
      </c>
      <c r="H47" s="2">
        <v>5158.8091833726803</v>
      </c>
      <c r="I47" s="2">
        <v>5004.0449078715001</v>
      </c>
      <c r="J47" s="2">
        <v>4853.923560635355</v>
      </c>
      <c r="K47" s="2">
        <v>4708.3058538162941</v>
      </c>
      <c r="L47" s="2">
        <v>4567.056678201805</v>
      </c>
      <c r="M47" s="2">
        <v>4430.0449778557504</v>
      </c>
      <c r="N47" s="2">
        <v>4297.143628520078</v>
      </c>
      <c r="O47" s="2">
        <v>4168.229319664476</v>
      </c>
    </row>
    <row r="48" spans="1:15" x14ac:dyDescent="0.25">
      <c r="A48" t="s">
        <v>1327</v>
      </c>
      <c r="B48" t="s">
        <v>1328</v>
      </c>
      <c r="C48" s="2">
        <v>6007.4586880000015</v>
      </c>
      <c r="D48" s="2">
        <v>5827.2349273600012</v>
      </c>
      <c r="E48" s="2">
        <v>5652.4178795392008</v>
      </c>
      <c r="F48" s="2">
        <v>5482.8453431530243</v>
      </c>
      <c r="G48" s="2">
        <v>5318.3599828584338</v>
      </c>
      <c r="H48" s="2">
        <v>5158.8091833726803</v>
      </c>
      <c r="I48" s="2">
        <v>5004.0449078715001</v>
      </c>
      <c r="J48" s="2">
        <v>4853.923560635355</v>
      </c>
      <c r="K48" s="2">
        <v>4708.3058538162941</v>
      </c>
      <c r="L48" s="2">
        <v>4567.056678201805</v>
      </c>
      <c r="M48" s="2">
        <v>4430.0449778557504</v>
      </c>
      <c r="N48" s="2">
        <v>4297.143628520078</v>
      </c>
      <c r="O48" s="2">
        <v>4168.229319664476</v>
      </c>
    </row>
    <row r="49" spans="1:15" x14ac:dyDescent="0.25">
      <c r="A49" t="s">
        <v>1329</v>
      </c>
      <c r="B49" t="s">
        <v>1330</v>
      </c>
      <c r="C49" s="2">
        <v>6007.4586880000015</v>
      </c>
      <c r="D49" s="2">
        <v>5827.2349273600012</v>
      </c>
      <c r="E49" s="2">
        <v>5652.4178795392008</v>
      </c>
      <c r="F49" s="2">
        <v>5482.8453431530243</v>
      </c>
      <c r="G49" s="2">
        <v>5318.3599828584338</v>
      </c>
      <c r="H49" s="2">
        <v>5158.8091833726803</v>
      </c>
      <c r="I49" s="2">
        <v>5004.0449078715001</v>
      </c>
      <c r="J49" s="2">
        <v>4853.923560635355</v>
      </c>
      <c r="K49" s="2">
        <v>4708.3058538162941</v>
      </c>
      <c r="L49" s="2">
        <v>4567.056678201805</v>
      </c>
      <c r="M49" s="2">
        <v>4430.0449778557504</v>
      </c>
      <c r="N49" s="2">
        <v>4297.143628520078</v>
      </c>
      <c r="O49" s="2">
        <v>4168.229319664476</v>
      </c>
    </row>
    <row r="50" spans="1:15" x14ac:dyDescent="0.25">
      <c r="A50" t="s">
        <v>1331</v>
      </c>
      <c r="B50" t="s">
        <v>1332</v>
      </c>
      <c r="C50" s="2">
        <v>6007.4586880000015</v>
      </c>
      <c r="D50" s="2">
        <v>5827.2349273600012</v>
      </c>
      <c r="E50" s="2">
        <v>5652.4178795392008</v>
      </c>
      <c r="F50" s="2">
        <v>5482.8453431530243</v>
      </c>
      <c r="G50" s="2">
        <v>5318.3599828584338</v>
      </c>
      <c r="H50" s="2">
        <v>5158.8091833726803</v>
      </c>
      <c r="I50" s="2">
        <v>5004.0449078715001</v>
      </c>
      <c r="J50" s="2">
        <v>4853.923560635355</v>
      </c>
      <c r="K50" s="2">
        <v>4708.3058538162941</v>
      </c>
      <c r="L50" s="2">
        <v>4567.056678201805</v>
      </c>
      <c r="M50" s="2">
        <v>4430.0449778557504</v>
      </c>
      <c r="N50" s="2">
        <v>4297.143628520078</v>
      </c>
      <c r="O50" s="2">
        <v>4168.229319664476</v>
      </c>
    </row>
    <row r="51" spans="1:15" x14ac:dyDescent="0.25">
      <c r="A51" t="s">
        <v>1333</v>
      </c>
      <c r="B51" t="s">
        <v>1334</v>
      </c>
      <c r="C51" s="2">
        <v>5963.6269440000005</v>
      </c>
      <c r="D51" s="2">
        <v>5784.7181356800002</v>
      </c>
      <c r="E51" s="2">
        <v>5611.1765916096001</v>
      </c>
      <c r="F51" s="2">
        <v>5442.8412938613119</v>
      </c>
      <c r="G51" s="2">
        <v>5279.556055045472</v>
      </c>
      <c r="H51" s="2">
        <v>5121.1693733941074</v>
      </c>
      <c r="I51" s="2">
        <v>4967.5342921922838</v>
      </c>
      <c r="J51" s="2">
        <v>4818.5082634265154</v>
      </c>
      <c r="K51" s="2">
        <v>4673.9530155237198</v>
      </c>
      <c r="L51" s="2">
        <v>4533.7344250580081</v>
      </c>
      <c r="M51" s="2">
        <v>4397.7223923062675</v>
      </c>
      <c r="N51" s="2">
        <v>4265.7907205370793</v>
      </c>
      <c r="O51" s="2">
        <v>4137.8169989209664</v>
      </c>
    </row>
    <row r="52" spans="1:15" x14ac:dyDescent="0.25">
      <c r="A52" t="s">
        <v>1335</v>
      </c>
      <c r="B52" t="s">
        <v>1336</v>
      </c>
      <c r="C52" s="2">
        <v>5963.6269440000005</v>
      </c>
      <c r="D52" s="2">
        <v>5784.7181356800002</v>
      </c>
      <c r="E52" s="2">
        <v>5611.1765916096001</v>
      </c>
      <c r="F52" s="2">
        <v>5442.8412938613119</v>
      </c>
      <c r="G52" s="2">
        <v>5279.556055045472</v>
      </c>
      <c r="H52" s="2">
        <v>5121.1693733941074</v>
      </c>
      <c r="I52" s="2">
        <v>4967.5342921922838</v>
      </c>
      <c r="J52" s="2">
        <v>4818.5082634265154</v>
      </c>
      <c r="K52" s="2">
        <v>4673.9530155237198</v>
      </c>
      <c r="L52" s="2">
        <v>4533.7344250580081</v>
      </c>
      <c r="M52" s="2">
        <v>4397.7223923062675</v>
      </c>
      <c r="N52" s="2">
        <v>4265.7907205370793</v>
      </c>
      <c r="O52" s="2">
        <v>4137.8169989209664</v>
      </c>
    </row>
    <row r="53" spans="1:15" x14ac:dyDescent="0.25">
      <c r="A53" t="s">
        <v>1337</v>
      </c>
      <c r="B53" t="s">
        <v>1338</v>
      </c>
      <c r="C53" s="2">
        <v>5963.6269440000005</v>
      </c>
      <c r="D53" s="2">
        <v>5784.7181356800002</v>
      </c>
      <c r="E53" s="2">
        <v>5611.1765916096001</v>
      </c>
      <c r="F53" s="2">
        <v>5442.8412938613119</v>
      </c>
      <c r="G53" s="2">
        <v>5279.556055045472</v>
      </c>
      <c r="H53" s="2">
        <v>5121.1693733941074</v>
      </c>
      <c r="I53" s="2">
        <v>4967.5342921922838</v>
      </c>
      <c r="J53" s="2">
        <v>4818.5082634265154</v>
      </c>
      <c r="K53" s="2">
        <v>4673.9530155237198</v>
      </c>
      <c r="L53" s="2">
        <v>4533.7344250580081</v>
      </c>
      <c r="M53" s="2">
        <v>4397.7223923062675</v>
      </c>
      <c r="N53" s="2">
        <v>4265.7907205370793</v>
      </c>
      <c r="O53" s="2">
        <v>4137.8169989209664</v>
      </c>
    </row>
    <row r="54" spans="1:15" x14ac:dyDescent="0.25">
      <c r="A54" t="s">
        <v>1339</v>
      </c>
      <c r="B54" t="s">
        <v>1340</v>
      </c>
      <c r="C54" s="2">
        <v>5963.6269440000005</v>
      </c>
      <c r="D54" s="2">
        <v>5784.7181356800002</v>
      </c>
      <c r="E54" s="2">
        <v>5611.1765916096001</v>
      </c>
      <c r="F54" s="2">
        <v>5442.8412938613119</v>
      </c>
      <c r="G54" s="2">
        <v>5279.556055045472</v>
      </c>
      <c r="H54" s="2">
        <v>5121.1693733941074</v>
      </c>
      <c r="I54" s="2">
        <v>4967.5342921922838</v>
      </c>
      <c r="J54" s="2">
        <v>4818.5082634265154</v>
      </c>
      <c r="K54" s="2">
        <v>4673.9530155237198</v>
      </c>
      <c r="L54" s="2">
        <v>4533.7344250580081</v>
      </c>
      <c r="M54" s="2">
        <v>4397.7223923062675</v>
      </c>
      <c r="N54" s="2">
        <v>4265.7907205370793</v>
      </c>
      <c r="O54" s="2">
        <v>4137.8169989209664</v>
      </c>
    </row>
    <row r="55" spans="1:15" x14ac:dyDescent="0.25">
      <c r="A55" t="s">
        <v>1341</v>
      </c>
      <c r="B55" t="s">
        <v>1342</v>
      </c>
      <c r="C55" s="2">
        <v>5959.0688960000016</v>
      </c>
      <c r="D55" s="2">
        <v>5780.2968291200013</v>
      </c>
      <c r="E55" s="2">
        <v>5606.8879242464009</v>
      </c>
      <c r="F55" s="2">
        <v>5438.6812865190086</v>
      </c>
      <c r="G55" s="2">
        <v>5275.5208479234379</v>
      </c>
      <c r="H55" s="2">
        <v>5117.2552224857345</v>
      </c>
      <c r="I55" s="2">
        <v>4963.7375658111623</v>
      </c>
      <c r="J55" s="2">
        <v>4814.8254388368277</v>
      </c>
      <c r="K55" s="2">
        <v>4670.3806756717231</v>
      </c>
      <c r="L55" s="2">
        <v>4530.2692554015712</v>
      </c>
      <c r="M55" s="2">
        <v>4394.3611777395236</v>
      </c>
      <c r="N55" s="2">
        <v>4262.5303424073381</v>
      </c>
      <c r="O55" s="2">
        <v>4134.6544321351175</v>
      </c>
    </row>
    <row r="56" spans="1:15" x14ac:dyDescent="0.25">
      <c r="A56" t="s">
        <v>1343</v>
      </c>
      <c r="B56" t="s">
        <v>1344</v>
      </c>
      <c r="C56" s="2">
        <v>5896.017248000001</v>
      </c>
      <c r="D56" s="2">
        <v>5719.1367305600006</v>
      </c>
      <c r="E56" s="2">
        <v>5547.5626286432007</v>
      </c>
      <c r="F56" s="2">
        <v>5381.1357497839044</v>
      </c>
      <c r="G56" s="2">
        <v>5219.7016772903871</v>
      </c>
      <c r="H56" s="2">
        <v>5063.1106269716756</v>
      </c>
      <c r="I56" s="2">
        <v>4911.2173081625251</v>
      </c>
      <c r="J56" s="2">
        <v>4763.8807889176496</v>
      </c>
      <c r="K56" s="2">
        <v>4620.96436525012</v>
      </c>
      <c r="L56" s="2">
        <v>4482.3354342926159</v>
      </c>
      <c r="M56" s="2">
        <v>4347.865371263837</v>
      </c>
      <c r="N56" s="2">
        <v>4217.429410125922</v>
      </c>
      <c r="O56" s="2">
        <v>4090.9065278221442</v>
      </c>
    </row>
    <row r="57" spans="1:15" x14ac:dyDescent="0.25">
      <c r="A57" t="s">
        <v>1345</v>
      </c>
      <c r="B57" t="s">
        <v>1346</v>
      </c>
      <c r="C57" s="2">
        <v>5886.5854080000008</v>
      </c>
      <c r="D57" s="2">
        <v>5709.9878457600007</v>
      </c>
      <c r="E57" s="2">
        <v>5538.6882103872003</v>
      </c>
      <c r="F57" s="2">
        <v>5372.5275640755845</v>
      </c>
      <c r="G57" s="2">
        <v>5211.3517371533171</v>
      </c>
      <c r="H57" s="2">
        <v>5055.0111850387175</v>
      </c>
      <c r="I57" s="2">
        <v>4903.3608494875562</v>
      </c>
      <c r="J57" s="2">
        <v>4756.2600240029296</v>
      </c>
      <c r="K57" s="2">
        <v>4613.5722232828421</v>
      </c>
      <c r="L57" s="2">
        <v>4475.1650565843565</v>
      </c>
      <c r="M57" s="2">
        <v>4340.910104886826</v>
      </c>
      <c r="N57" s="2">
        <v>4210.6828017402213</v>
      </c>
      <c r="O57" s="2">
        <v>4084.3623176880146</v>
      </c>
    </row>
    <row r="58" spans="1:15" x14ac:dyDescent="0.25">
      <c r="A58" t="s">
        <v>1347</v>
      </c>
      <c r="B58" t="s">
        <v>1348</v>
      </c>
      <c r="C58" s="2">
        <v>5856.6464000000014</v>
      </c>
      <c r="D58" s="2">
        <v>5680.947008000001</v>
      </c>
      <c r="E58" s="2">
        <v>5510.5185977600004</v>
      </c>
      <c r="F58" s="2">
        <v>5345.2030398272</v>
      </c>
      <c r="G58" s="2">
        <v>5184.8469486323838</v>
      </c>
      <c r="H58" s="2">
        <v>5029.3015401734119</v>
      </c>
      <c r="I58" s="2">
        <v>4878.422493968209</v>
      </c>
      <c r="J58" s="2">
        <v>4732.0698191491629</v>
      </c>
      <c r="K58" s="2">
        <v>4590.1077245746883</v>
      </c>
      <c r="L58" s="2">
        <v>4452.4044928374478</v>
      </c>
      <c r="M58" s="2">
        <v>4318.8323580523247</v>
      </c>
      <c r="N58" s="2">
        <v>4189.2673873107551</v>
      </c>
      <c r="O58" s="2">
        <v>4063.5893656914322</v>
      </c>
    </row>
    <row r="59" spans="1:15" x14ac:dyDescent="0.25">
      <c r="A59" t="s">
        <v>1349</v>
      </c>
      <c r="B59" t="s">
        <v>1350</v>
      </c>
      <c r="C59" s="2">
        <v>5850.9427680000008</v>
      </c>
      <c r="D59" s="2">
        <v>5675.4144849600007</v>
      </c>
      <c r="E59" s="2">
        <v>5505.1520504112004</v>
      </c>
      <c r="F59" s="2">
        <v>5339.9974888988645</v>
      </c>
      <c r="G59" s="2">
        <v>5179.7975642318988</v>
      </c>
      <c r="H59" s="2">
        <v>5024.4036373049421</v>
      </c>
      <c r="I59" s="2">
        <v>4873.6715281857932</v>
      </c>
      <c r="J59" s="2">
        <v>4727.4613823402196</v>
      </c>
      <c r="K59" s="2">
        <v>4585.6375408700133</v>
      </c>
      <c r="L59" s="2">
        <v>4448.0684146439125</v>
      </c>
      <c r="M59" s="2">
        <v>4314.6263622045954</v>
      </c>
      <c r="N59" s="2">
        <v>4185.187571338457</v>
      </c>
      <c r="O59" s="2">
        <v>4059.6319441983032</v>
      </c>
    </row>
    <row r="60" spans="1:15" x14ac:dyDescent="0.25">
      <c r="A60" t="s">
        <v>1351</v>
      </c>
      <c r="B60" t="s">
        <v>1352</v>
      </c>
      <c r="C60" s="2">
        <v>5844.2504120000003</v>
      </c>
      <c r="D60" s="2">
        <v>5668.9228996399997</v>
      </c>
      <c r="E60" s="2">
        <v>5498.8552126507993</v>
      </c>
      <c r="F60" s="2">
        <v>5333.8895562712751</v>
      </c>
      <c r="G60" s="2">
        <v>5173.8728695831369</v>
      </c>
      <c r="H60" s="2">
        <v>5018.6566834956429</v>
      </c>
      <c r="I60" s="2">
        <v>4868.0969829907735</v>
      </c>
      <c r="J60" s="2">
        <v>4722.05407350105</v>
      </c>
      <c r="K60" s="2">
        <v>4580.3924512960184</v>
      </c>
      <c r="L60" s="2">
        <v>4442.9806777571375</v>
      </c>
      <c r="M60" s="2">
        <v>4309.6912574244234</v>
      </c>
      <c r="N60" s="2">
        <v>4180.4005197016904</v>
      </c>
      <c r="O60" s="2">
        <v>4054.9885041106395</v>
      </c>
    </row>
    <row r="61" spans="1:15" x14ac:dyDescent="0.25">
      <c r="A61" t="s">
        <v>1353</v>
      </c>
      <c r="B61" t="s">
        <v>1354</v>
      </c>
      <c r="C61" s="2">
        <v>5795.8985700000012</v>
      </c>
      <c r="D61" s="2">
        <v>5622.0216129000009</v>
      </c>
      <c r="E61" s="2">
        <v>5453.3609645130009</v>
      </c>
      <c r="F61" s="2">
        <v>5289.7601355776105</v>
      </c>
      <c r="G61" s="2">
        <v>5131.0673315102822</v>
      </c>
      <c r="H61" s="2">
        <v>4977.1353115649736</v>
      </c>
      <c r="I61" s="2">
        <v>4827.8212522180238</v>
      </c>
      <c r="J61" s="2">
        <v>4682.9866146514833</v>
      </c>
      <c r="K61" s="2">
        <v>4542.4970162119389</v>
      </c>
      <c r="L61" s="2">
        <v>4406.2221057255811</v>
      </c>
      <c r="M61" s="2">
        <v>4274.0354425538135</v>
      </c>
      <c r="N61" s="2">
        <v>4145.8143792771989</v>
      </c>
      <c r="O61" s="2">
        <v>4021.439947898883</v>
      </c>
    </row>
    <row r="62" spans="1:15" x14ac:dyDescent="0.25">
      <c r="A62" t="s">
        <v>1355</v>
      </c>
      <c r="B62" t="s">
        <v>1356</v>
      </c>
      <c r="C62" s="2">
        <v>5795.8985700000012</v>
      </c>
      <c r="D62" s="2">
        <v>5622.0216129000009</v>
      </c>
      <c r="E62" s="2">
        <v>5453.3609645130009</v>
      </c>
      <c r="F62" s="2">
        <v>5289.7601355776105</v>
      </c>
      <c r="G62" s="2">
        <v>5131.0673315102822</v>
      </c>
      <c r="H62" s="2">
        <v>4977.1353115649736</v>
      </c>
      <c r="I62" s="2">
        <v>4827.8212522180238</v>
      </c>
      <c r="J62" s="2">
        <v>4682.9866146514833</v>
      </c>
      <c r="K62" s="2">
        <v>4542.4970162119389</v>
      </c>
      <c r="L62" s="2">
        <v>4406.2221057255811</v>
      </c>
      <c r="M62" s="2">
        <v>4274.0354425538135</v>
      </c>
      <c r="N62" s="2">
        <v>4145.8143792771989</v>
      </c>
      <c r="O62" s="2">
        <v>4021.439947898883</v>
      </c>
    </row>
    <row r="63" spans="1:15" x14ac:dyDescent="0.25">
      <c r="A63" t="s">
        <v>1357</v>
      </c>
      <c r="B63" t="s">
        <v>1358</v>
      </c>
      <c r="C63" s="2">
        <v>5795.8985700000012</v>
      </c>
      <c r="D63" s="2">
        <v>5622.0216129000009</v>
      </c>
      <c r="E63" s="2">
        <v>5453.3609645130009</v>
      </c>
      <c r="F63" s="2">
        <v>5289.7601355776105</v>
      </c>
      <c r="G63" s="2">
        <v>5131.0673315102822</v>
      </c>
      <c r="H63" s="2">
        <v>4977.1353115649736</v>
      </c>
      <c r="I63" s="2">
        <v>4827.8212522180238</v>
      </c>
      <c r="J63" s="2">
        <v>4682.9866146514833</v>
      </c>
      <c r="K63" s="2">
        <v>4542.4970162119389</v>
      </c>
      <c r="L63" s="2">
        <v>4406.2221057255811</v>
      </c>
      <c r="M63" s="2">
        <v>4274.0354425538135</v>
      </c>
      <c r="N63" s="2">
        <v>4145.8143792771989</v>
      </c>
      <c r="O63" s="2">
        <v>4021.439947898883</v>
      </c>
    </row>
    <row r="64" spans="1:15" x14ac:dyDescent="0.25">
      <c r="A64" t="s">
        <v>1359</v>
      </c>
      <c r="B64" t="s">
        <v>1360</v>
      </c>
      <c r="C64" s="2">
        <v>5795.8985700000012</v>
      </c>
      <c r="D64" s="2">
        <v>5622.0216129000009</v>
      </c>
      <c r="E64" s="2">
        <v>5453.3609645130009</v>
      </c>
      <c r="F64" s="2">
        <v>5289.7601355776105</v>
      </c>
      <c r="G64" s="2">
        <v>5131.0673315102822</v>
      </c>
      <c r="H64" s="2">
        <v>4977.1353115649736</v>
      </c>
      <c r="I64" s="2">
        <v>4827.8212522180238</v>
      </c>
      <c r="J64" s="2">
        <v>4682.9866146514833</v>
      </c>
      <c r="K64" s="2">
        <v>4542.4970162119389</v>
      </c>
      <c r="L64" s="2">
        <v>4406.2221057255811</v>
      </c>
      <c r="M64" s="2">
        <v>4274.0354425538135</v>
      </c>
      <c r="N64" s="2">
        <v>4145.8143792771989</v>
      </c>
      <c r="O64" s="2">
        <v>4021.439947898883</v>
      </c>
    </row>
    <row r="65" spans="1:15" x14ac:dyDescent="0.25">
      <c r="A65" t="s">
        <v>1361</v>
      </c>
      <c r="B65" t="s">
        <v>1362</v>
      </c>
      <c r="C65" s="2">
        <v>5785.6849600000014</v>
      </c>
      <c r="D65" s="2">
        <v>5612.1144112000011</v>
      </c>
      <c r="E65" s="2">
        <v>5443.7509788640009</v>
      </c>
      <c r="F65" s="2">
        <v>5280.4384494980804</v>
      </c>
      <c r="G65" s="2">
        <v>5122.0252960131374</v>
      </c>
      <c r="H65" s="2">
        <v>4968.364537132743</v>
      </c>
      <c r="I65" s="2">
        <v>4819.3136010187609</v>
      </c>
      <c r="J65" s="2">
        <v>4674.7341929881977</v>
      </c>
      <c r="K65" s="2">
        <v>4534.4921671985512</v>
      </c>
      <c r="L65" s="2">
        <v>4398.4574021825947</v>
      </c>
      <c r="M65" s="2">
        <v>4266.5036801171163</v>
      </c>
      <c r="N65" s="2">
        <v>4138.5085697136028</v>
      </c>
      <c r="O65" s="2">
        <v>4014.3533126221946</v>
      </c>
    </row>
    <row r="66" spans="1:15" x14ac:dyDescent="0.25">
      <c r="A66" t="s">
        <v>1363</v>
      </c>
      <c r="B66" t="s">
        <v>1364</v>
      </c>
      <c r="C66" s="2">
        <v>5745.6178560000017</v>
      </c>
      <c r="D66" s="2">
        <v>5573.2493203200011</v>
      </c>
      <c r="E66" s="2">
        <v>5406.0518407104009</v>
      </c>
      <c r="F66" s="2">
        <v>5243.8702854890889</v>
      </c>
      <c r="G66" s="2">
        <v>5086.5541769244164</v>
      </c>
      <c r="H66" s="2">
        <v>4933.9575516166842</v>
      </c>
      <c r="I66" s="2">
        <v>4785.9388250681832</v>
      </c>
      <c r="J66" s="2">
        <v>4642.3606603161379</v>
      </c>
      <c r="K66" s="2">
        <v>4503.0898405066537</v>
      </c>
      <c r="L66" s="2">
        <v>4367.9971452914542</v>
      </c>
      <c r="M66" s="2">
        <v>4236.9572309327104</v>
      </c>
      <c r="N66" s="2">
        <v>4109.8485140047287</v>
      </c>
      <c r="O66" s="2">
        <v>3986.5530585845868</v>
      </c>
    </row>
    <row r="67" spans="1:15" x14ac:dyDescent="0.25">
      <c r="A67" t="s">
        <v>1365</v>
      </c>
      <c r="B67" t="s">
        <v>1366</v>
      </c>
      <c r="C67" s="2">
        <v>5736.5098560000006</v>
      </c>
      <c r="D67" s="2">
        <v>5564.4145603200004</v>
      </c>
      <c r="E67" s="2">
        <v>5397.4821235104</v>
      </c>
      <c r="F67" s="2">
        <v>5235.5576598050875</v>
      </c>
      <c r="G67" s="2">
        <v>5078.4909300109348</v>
      </c>
      <c r="H67" s="2">
        <v>4926.136202110607</v>
      </c>
      <c r="I67" s="2">
        <v>4778.3521160472883</v>
      </c>
      <c r="J67" s="2">
        <v>4635.0015525658691</v>
      </c>
      <c r="K67" s="2">
        <v>4495.9515059888927</v>
      </c>
      <c r="L67" s="2">
        <v>4361.0729608092261</v>
      </c>
      <c r="M67" s="2">
        <v>4230.2407719849489</v>
      </c>
      <c r="N67" s="2">
        <v>4103.3335488254006</v>
      </c>
      <c r="O67" s="2">
        <v>3980.2335423606387</v>
      </c>
    </row>
    <row r="68" spans="1:15" x14ac:dyDescent="0.25">
      <c r="A68" t="s">
        <v>1367</v>
      </c>
      <c r="B68" t="s">
        <v>1368</v>
      </c>
      <c r="C68" s="2">
        <v>5724.6654080000008</v>
      </c>
      <c r="D68" s="2">
        <v>5552.9254457600009</v>
      </c>
      <c r="E68" s="2">
        <v>5386.3376823872004</v>
      </c>
      <c r="F68" s="2">
        <v>5224.7475519155842</v>
      </c>
      <c r="G68" s="2">
        <v>5068.0051253581169</v>
      </c>
      <c r="H68" s="2">
        <v>4915.9649715973728</v>
      </c>
      <c r="I68" s="2">
        <v>4768.4860224494514</v>
      </c>
      <c r="J68" s="2">
        <v>4625.4314417759679</v>
      </c>
      <c r="K68" s="2">
        <v>4486.6684985226884</v>
      </c>
      <c r="L68" s="2">
        <v>4352.0684435670073</v>
      </c>
      <c r="M68" s="2">
        <v>4221.5063902599968</v>
      </c>
      <c r="N68" s="2">
        <v>4094.8611985521966</v>
      </c>
      <c r="O68" s="2">
        <v>3972.0153625956304</v>
      </c>
    </row>
    <row r="69" spans="1:15" x14ac:dyDescent="0.25">
      <c r="A69" t="s">
        <v>1369</v>
      </c>
      <c r="B69" t="s">
        <v>1370</v>
      </c>
      <c r="C69" s="2">
        <v>5711.3151040000012</v>
      </c>
      <c r="D69" s="2">
        <v>5539.975650880001</v>
      </c>
      <c r="E69" s="2">
        <v>5373.7763813536012</v>
      </c>
      <c r="F69" s="2">
        <v>5212.5630899129928</v>
      </c>
      <c r="G69" s="2">
        <v>5056.186197215603</v>
      </c>
      <c r="H69" s="2">
        <v>4904.500611299135</v>
      </c>
      <c r="I69" s="2">
        <v>4757.3655929601609</v>
      </c>
      <c r="J69" s="2">
        <v>4614.644625171356</v>
      </c>
      <c r="K69" s="2">
        <v>4476.2052864162151</v>
      </c>
      <c r="L69" s="2">
        <v>4341.9191278237286</v>
      </c>
      <c r="M69" s="2">
        <v>4211.6615539890163</v>
      </c>
      <c r="N69" s="2">
        <v>4085.3117073693456</v>
      </c>
      <c r="O69" s="2">
        <v>3962.7523561482653</v>
      </c>
    </row>
    <row r="70" spans="1:15" x14ac:dyDescent="0.25">
      <c r="A70" t="s">
        <v>1371</v>
      </c>
      <c r="B70" t="s">
        <v>1372</v>
      </c>
      <c r="C70" s="2">
        <v>5703.1300480000009</v>
      </c>
      <c r="D70" s="2">
        <v>5532.0361465600008</v>
      </c>
      <c r="E70" s="2">
        <v>5366.0750621632005</v>
      </c>
      <c r="F70" s="2">
        <v>5205.0928102983044</v>
      </c>
      <c r="G70" s="2">
        <v>5048.9400259893555</v>
      </c>
      <c r="H70" s="2">
        <v>4897.4718252096745</v>
      </c>
      <c r="I70" s="2">
        <v>4750.5476704533839</v>
      </c>
      <c r="J70" s="2">
        <v>4608.031240339782</v>
      </c>
      <c r="K70" s="2">
        <v>4469.7903031295882</v>
      </c>
      <c r="L70" s="2">
        <v>4335.6965940357004</v>
      </c>
      <c r="M70" s="2">
        <v>4205.625696214629</v>
      </c>
      <c r="N70" s="2">
        <v>4079.4569253281902</v>
      </c>
      <c r="O70" s="2">
        <v>3957.0732175683443</v>
      </c>
    </row>
    <row r="71" spans="1:15" x14ac:dyDescent="0.25">
      <c r="A71" t="s">
        <v>1373</v>
      </c>
      <c r="B71" t="s">
        <v>1374</v>
      </c>
      <c r="C71" s="2">
        <v>5684.3736400000007</v>
      </c>
      <c r="D71" s="2">
        <v>5513.8424308000003</v>
      </c>
      <c r="E71" s="2">
        <v>5348.4271578759999</v>
      </c>
      <c r="F71" s="2">
        <v>5187.9743431397201</v>
      </c>
      <c r="G71" s="2">
        <v>5032.3351128455288</v>
      </c>
      <c r="H71" s="2">
        <v>4881.3650594601631</v>
      </c>
      <c r="I71" s="2">
        <v>4734.9241076763583</v>
      </c>
      <c r="J71" s="2">
        <v>4592.8763844460673</v>
      </c>
      <c r="K71" s="2">
        <v>4455.0900929126856</v>
      </c>
      <c r="L71" s="2">
        <v>4321.4373901253048</v>
      </c>
      <c r="M71" s="2">
        <v>4191.7942684215459</v>
      </c>
      <c r="N71" s="2">
        <v>4066.0404403688995</v>
      </c>
      <c r="O71" s="2">
        <v>3944.0592271578325</v>
      </c>
    </row>
    <row r="72" spans="1:15" x14ac:dyDescent="0.25">
      <c r="A72" t="s">
        <v>1375</v>
      </c>
      <c r="B72" t="s">
        <v>1376</v>
      </c>
      <c r="C72" s="2">
        <v>5656.2967120000012</v>
      </c>
      <c r="D72" s="2">
        <v>5486.6078106400009</v>
      </c>
      <c r="E72" s="2">
        <v>5322.009576320801</v>
      </c>
      <c r="F72" s="2">
        <v>5162.3492890311772</v>
      </c>
      <c r="G72" s="2">
        <v>5007.4788103602414</v>
      </c>
      <c r="H72" s="2">
        <v>4857.2544460494337</v>
      </c>
      <c r="I72" s="2">
        <v>4711.5368126679505</v>
      </c>
      <c r="J72" s="2">
        <v>4570.1907082879115</v>
      </c>
      <c r="K72" s="2">
        <v>4433.084987039274</v>
      </c>
      <c r="L72" s="2">
        <v>4300.0924374280958</v>
      </c>
      <c r="M72" s="2">
        <v>4171.0896643052529</v>
      </c>
      <c r="N72" s="2">
        <v>4045.9569743760953</v>
      </c>
      <c r="O72" s="2">
        <v>3924.5782651448126</v>
      </c>
    </row>
    <row r="73" spans="1:15" x14ac:dyDescent="0.25">
      <c r="A73" t="s">
        <v>1377</v>
      </c>
      <c r="B73" t="s">
        <v>1378</v>
      </c>
      <c r="C73" s="2">
        <v>5649.4753260000007</v>
      </c>
      <c r="D73" s="2">
        <v>5479.9910662200009</v>
      </c>
      <c r="E73" s="2">
        <v>5315.5913342334006</v>
      </c>
      <c r="F73" s="2">
        <v>5156.1235942063986</v>
      </c>
      <c r="G73" s="2">
        <v>5001.4398863802062</v>
      </c>
      <c r="H73" s="2">
        <v>4851.3966897887994</v>
      </c>
      <c r="I73" s="2">
        <v>4705.8547890951349</v>
      </c>
      <c r="J73" s="2">
        <v>4564.6791454222812</v>
      </c>
      <c r="K73" s="2">
        <v>4427.7387710596122</v>
      </c>
      <c r="L73" s="2">
        <v>4294.9066079278236</v>
      </c>
      <c r="M73" s="2">
        <v>4166.0594096899886</v>
      </c>
      <c r="N73" s="2">
        <v>4041.0776273992888</v>
      </c>
      <c r="O73" s="2">
        <v>3919.8452985773101</v>
      </c>
    </row>
    <row r="74" spans="1:15" x14ac:dyDescent="0.25">
      <c r="A74" t="s">
        <v>1379</v>
      </c>
      <c r="B74" t="s">
        <v>1380</v>
      </c>
      <c r="C74" s="2">
        <v>5637.6819840000016</v>
      </c>
      <c r="D74" s="2">
        <v>5468.5515244800017</v>
      </c>
      <c r="E74" s="2">
        <v>5304.4949787456017</v>
      </c>
      <c r="F74" s="2">
        <v>5145.3601293832335</v>
      </c>
      <c r="G74" s="2">
        <v>4990.9993255017362</v>
      </c>
      <c r="H74" s="2">
        <v>4841.269345736684</v>
      </c>
      <c r="I74" s="2">
        <v>4696.0312653645833</v>
      </c>
      <c r="J74" s="2">
        <v>4555.1503274036459</v>
      </c>
      <c r="K74" s="2">
        <v>4418.4958175815364</v>
      </c>
      <c r="L74" s="2">
        <v>4285.94094305409</v>
      </c>
      <c r="M74" s="2">
        <v>4157.3627147624675</v>
      </c>
      <c r="N74" s="2">
        <v>4032.6418333195934</v>
      </c>
      <c r="O74" s="2">
        <v>3911.6625783200057</v>
      </c>
    </row>
    <row r="75" spans="1:15" x14ac:dyDescent="0.25">
      <c r="A75" t="s">
        <v>1381</v>
      </c>
      <c r="B75" t="s">
        <v>1382</v>
      </c>
      <c r="C75" s="2">
        <v>5616.6890560000011</v>
      </c>
      <c r="D75" s="2">
        <v>5448.1883843200012</v>
      </c>
      <c r="E75" s="2">
        <v>5284.7427327904006</v>
      </c>
      <c r="F75" s="2">
        <v>5126.2004508066884</v>
      </c>
      <c r="G75" s="2">
        <v>4972.4144372824876</v>
      </c>
      <c r="H75" s="2">
        <v>4823.2420041640125</v>
      </c>
      <c r="I75" s="2">
        <v>4678.5447440390917</v>
      </c>
      <c r="J75" s="2">
        <v>4538.1884017179191</v>
      </c>
      <c r="K75" s="2">
        <v>4402.0427496663815</v>
      </c>
      <c r="L75" s="2">
        <v>4269.9814671763897</v>
      </c>
      <c r="M75" s="2">
        <v>4141.882023161098</v>
      </c>
      <c r="N75" s="2">
        <v>4017.6255624662649</v>
      </c>
      <c r="O75" s="2">
        <v>3897.096795592277</v>
      </c>
    </row>
    <row r="76" spans="1:15" x14ac:dyDescent="0.25">
      <c r="A76" t="s">
        <v>1383</v>
      </c>
      <c r="B76" t="s">
        <v>1384</v>
      </c>
      <c r="C76" s="2">
        <v>5605.4680000000008</v>
      </c>
      <c r="D76" s="2">
        <v>5437.3039600000002</v>
      </c>
      <c r="E76" s="2">
        <v>5274.1848411999999</v>
      </c>
      <c r="F76" s="2">
        <v>5115.9592959639995</v>
      </c>
      <c r="G76" s="2">
        <v>4962.4805170850796</v>
      </c>
      <c r="H76" s="2">
        <v>4813.6061015725272</v>
      </c>
      <c r="I76" s="2">
        <v>4669.1979185253513</v>
      </c>
      <c r="J76" s="2">
        <v>4529.1219809695904</v>
      </c>
      <c r="K76" s="2">
        <v>4393.2483215405027</v>
      </c>
      <c r="L76" s="2">
        <v>4261.450871894288</v>
      </c>
      <c r="M76" s="2">
        <v>4133.6073457374596</v>
      </c>
      <c r="N76" s="2">
        <v>4009.5991253653356</v>
      </c>
      <c r="O76" s="2">
        <v>3889.3111516043755</v>
      </c>
    </row>
    <row r="77" spans="1:15" x14ac:dyDescent="0.25">
      <c r="A77" t="s">
        <v>1385</v>
      </c>
      <c r="B77" t="s">
        <v>1386</v>
      </c>
      <c r="C77" s="2">
        <v>5602.6202320000002</v>
      </c>
      <c r="D77" s="2">
        <v>5434.5416250400003</v>
      </c>
      <c r="E77" s="2">
        <v>5271.5053762888001</v>
      </c>
      <c r="F77" s="2">
        <v>5113.3602150001361</v>
      </c>
      <c r="G77" s="2">
        <v>4959.9594085501321</v>
      </c>
      <c r="H77" s="2">
        <v>4811.1606262936284</v>
      </c>
      <c r="I77" s="2">
        <v>4666.8258075048197</v>
      </c>
      <c r="J77" s="2">
        <v>4526.8210332796752</v>
      </c>
      <c r="K77" s="2">
        <v>4391.0164022812851</v>
      </c>
      <c r="L77" s="2">
        <v>4259.2859102128468</v>
      </c>
      <c r="M77" s="2">
        <v>4131.5073329064617</v>
      </c>
      <c r="N77" s="2">
        <v>4007.5621129192677</v>
      </c>
      <c r="O77" s="2">
        <v>3887.3352495316894</v>
      </c>
    </row>
    <row r="78" spans="1:15" x14ac:dyDescent="0.25">
      <c r="A78" t="s">
        <v>1387</v>
      </c>
      <c r="B78" t="s">
        <v>1388</v>
      </c>
      <c r="C78" s="2">
        <v>5600.6331700000001</v>
      </c>
      <c r="D78" s="2">
        <v>5432.6141748999999</v>
      </c>
      <c r="E78" s="2">
        <v>5269.6357496529999</v>
      </c>
      <c r="F78" s="2">
        <v>5111.5466771634101</v>
      </c>
      <c r="G78" s="2">
        <v>4958.2002768485081</v>
      </c>
      <c r="H78" s="2">
        <v>4809.4542685430524</v>
      </c>
      <c r="I78" s="2">
        <v>4665.1706404867609</v>
      </c>
      <c r="J78" s="2">
        <v>4525.2155212721582</v>
      </c>
      <c r="K78" s="2">
        <v>4389.4590556339936</v>
      </c>
      <c r="L78" s="2">
        <v>4257.7752839649738</v>
      </c>
      <c r="M78" s="2">
        <v>4130.0420254460241</v>
      </c>
      <c r="N78" s="2">
        <v>4006.1407646826433</v>
      </c>
      <c r="O78" s="2">
        <v>3885.9565417421641</v>
      </c>
    </row>
    <row r="79" spans="1:15" x14ac:dyDescent="0.25">
      <c r="A79" t="s">
        <v>1389</v>
      </c>
      <c r="B79" t="s">
        <v>1390</v>
      </c>
      <c r="C79" s="2">
        <v>5600.4181200000003</v>
      </c>
      <c r="D79" s="2">
        <v>5432.4055764000004</v>
      </c>
      <c r="E79" s="2">
        <v>5269.433409108</v>
      </c>
      <c r="F79" s="2">
        <v>5111.3504068347602</v>
      </c>
      <c r="G79" s="2">
        <v>4958.0098946297176</v>
      </c>
      <c r="H79" s="2">
        <v>4809.2695977908261</v>
      </c>
      <c r="I79" s="2">
        <v>4664.9915098571009</v>
      </c>
      <c r="J79" s="2">
        <v>4525.0417645613879</v>
      </c>
      <c r="K79" s="2">
        <v>4389.2905116245465</v>
      </c>
      <c r="L79" s="2">
        <v>4257.6117962758099</v>
      </c>
      <c r="M79" s="2">
        <v>4129.8834423875351</v>
      </c>
      <c r="N79" s="2">
        <v>4005.9869391159091</v>
      </c>
      <c r="O79" s="2">
        <v>3885.8073309424317</v>
      </c>
    </row>
    <row r="80" spans="1:15" x14ac:dyDescent="0.25">
      <c r="A80" t="s">
        <v>1391</v>
      </c>
      <c r="B80" t="s">
        <v>1392</v>
      </c>
      <c r="C80" s="2">
        <v>5589.4379200000003</v>
      </c>
      <c r="D80" s="2">
        <v>5421.7547824000003</v>
      </c>
      <c r="E80" s="2">
        <v>5259.1021389280004</v>
      </c>
      <c r="F80" s="2">
        <v>5101.3290747601604</v>
      </c>
      <c r="G80" s="2">
        <v>4948.2892025173551</v>
      </c>
      <c r="H80" s="2">
        <v>4799.8405264418343</v>
      </c>
      <c r="I80" s="2">
        <v>4655.8453106485795</v>
      </c>
      <c r="J80" s="2">
        <v>4516.1699513291223</v>
      </c>
      <c r="K80" s="2">
        <v>4380.6848527892489</v>
      </c>
      <c r="L80" s="2">
        <v>4249.2643072055716</v>
      </c>
      <c r="M80" s="2">
        <v>4121.7863779894042</v>
      </c>
      <c r="N80" s="2">
        <v>3998.1327866497218</v>
      </c>
      <c r="O80" s="2">
        <v>3878.18880305023</v>
      </c>
    </row>
    <row r="81" spans="1:15" x14ac:dyDescent="0.25">
      <c r="A81" t="s">
        <v>1393</v>
      </c>
      <c r="B81" t="s">
        <v>1394</v>
      </c>
      <c r="C81" s="2">
        <v>5586.1509440000009</v>
      </c>
      <c r="D81" s="2">
        <v>5418.5664156800003</v>
      </c>
      <c r="E81" s="2">
        <v>5256.0094232095998</v>
      </c>
      <c r="F81" s="2">
        <v>5098.3291405133114</v>
      </c>
      <c r="G81" s="2">
        <v>4945.3792662979122</v>
      </c>
      <c r="H81" s="2">
        <v>4797.0178883089748</v>
      </c>
      <c r="I81" s="2">
        <v>4653.1073516597053</v>
      </c>
      <c r="J81" s="2">
        <v>4513.5141311099142</v>
      </c>
      <c r="K81" s="2">
        <v>4378.1087071766169</v>
      </c>
      <c r="L81" s="2">
        <v>4246.7654459613186</v>
      </c>
      <c r="M81" s="2">
        <v>4119.3624825824791</v>
      </c>
      <c r="N81" s="2">
        <v>3995.7816081050046</v>
      </c>
      <c r="O81" s="2">
        <v>3875.9081598618545</v>
      </c>
    </row>
    <row r="82" spans="1:15" x14ac:dyDescent="0.25">
      <c r="A82" t="s">
        <v>1395</v>
      </c>
      <c r="B82" t="s">
        <v>1396</v>
      </c>
      <c r="C82" s="2">
        <v>5577.8849280000013</v>
      </c>
      <c r="D82" s="2">
        <v>5410.5483801600012</v>
      </c>
      <c r="E82" s="2">
        <v>5248.2319287552009</v>
      </c>
      <c r="F82" s="2">
        <v>5090.7849708925451</v>
      </c>
      <c r="G82" s="2">
        <v>4938.0614217657685</v>
      </c>
      <c r="H82" s="2">
        <v>4789.919579112795</v>
      </c>
      <c r="I82" s="2">
        <v>4646.2219917394114</v>
      </c>
      <c r="J82" s="2">
        <v>4506.8353319872285</v>
      </c>
      <c r="K82" s="2">
        <v>4371.6302720276117</v>
      </c>
      <c r="L82" s="2">
        <v>4240.4813638667829</v>
      </c>
      <c r="M82" s="2">
        <v>4113.2669229507792</v>
      </c>
      <c r="N82" s="2">
        <v>3989.8689152622555</v>
      </c>
      <c r="O82" s="2">
        <v>3870.1728478043879</v>
      </c>
    </row>
    <row r="83" spans="1:15" x14ac:dyDescent="0.25">
      <c r="A83" t="s">
        <v>1397</v>
      </c>
      <c r="B83" t="s">
        <v>1398</v>
      </c>
      <c r="C83" s="2">
        <v>5577.0753280000017</v>
      </c>
      <c r="D83" s="2">
        <v>5409.7630681600012</v>
      </c>
      <c r="E83" s="2">
        <v>5247.470176115201</v>
      </c>
      <c r="F83" s="2">
        <v>5090.0460708317451</v>
      </c>
      <c r="G83" s="2">
        <v>4937.344688706793</v>
      </c>
      <c r="H83" s="2">
        <v>4789.2243480455891</v>
      </c>
      <c r="I83" s="2">
        <v>4645.5476176042212</v>
      </c>
      <c r="J83" s="2">
        <v>4506.1811890760946</v>
      </c>
      <c r="K83" s="2">
        <v>4370.9957534038112</v>
      </c>
      <c r="L83" s="2">
        <v>4239.8658808016971</v>
      </c>
      <c r="M83" s="2">
        <v>4112.6699043776462</v>
      </c>
      <c r="N83" s="2">
        <v>3989.2898072463167</v>
      </c>
      <c r="O83" s="2">
        <v>3869.6111130289273</v>
      </c>
    </row>
    <row r="84" spans="1:15" x14ac:dyDescent="0.25">
      <c r="A84" t="s">
        <v>1399</v>
      </c>
      <c r="B84" t="s">
        <v>1400</v>
      </c>
      <c r="C84" s="2">
        <v>5571.9799080000003</v>
      </c>
      <c r="D84" s="2">
        <v>5404.8205107599997</v>
      </c>
      <c r="E84" s="2">
        <v>5242.6758954371999</v>
      </c>
      <c r="F84" s="2">
        <v>5085.3956185740835</v>
      </c>
      <c r="G84" s="2">
        <v>4932.8337500168609</v>
      </c>
      <c r="H84" s="2">
        <v>4784.848737516355</v>
      </c>
      <c r="I84" s="2">
        <v>4641.3032753908637</v>
      </c>
      <c r="J84" s="2">
        <v>4502.0641771291375</v>
      </c>
      <c r="K84" s="2">
        <v>4367.0022518152637</v>
      </c>
      <c r="L84" s="2">
        <v>4235.9921842608055</v>
      </c>
      <c r="M84" s="2">
        <v>4108.9124187329817</v>
      </c>
      <c r="N84" s="2">
        <v>3985.6450461709919</v>
      </c>
      <c r="O84" s="2">
        <v>3866.0756947858622</v>
      </c>
    </row>
    <row r="85" spans="1:15" x14ac:dyDescent="0.25">
      <c r="A85" t="s">
        <v>1401</v>
      </c>
      <c r="B85" t="s">
        <v>1402</v>
      </c>
      <c r="C85" s="2">
        <v>5549.8646720000015</v>
      </c>
      <c r="D85" s="2">
        <v>5383.3687318400016</v>
      </c>
      <c r="E85" s="2">
        <v>5221.8676698848012</v>
      </c>
      <c r="F85" s="2">
        <v>5065.2116397882573</v>
      </c>
      <c r="G85" s="2">
        <v>4913.2552905946095</v>
      </c>
      <c r="H85" s="2">
        <v>4765.8576318767709</v>
      </c>
      <c r="I85" s="2">
        <v>4622.8819029204678</v>
      </c>
      <c r="J85" s="2">
        <v>4484.1954458328537</v>
      </c>
      <c r="K85" s="2">
        <v>4349.6695824578683</v>
      </c>
      <c r="L85" s="2">
        <v>4219.1794949841324</v>
      </c>
      <c r="M85" s="2">
        <v>4092.6041101346082</v>
      </c>
      <c r="N85" s="2">
        <v>3969.8259868305699</v>
      </c>
      <c r="O85" s="2">
        <v>3850.7312072256527</v>
      </c>
    </row>
    <row r="86" spans="1:15" x14ac:dyDescent="0.25">
      <c r="A86" t="s">
        <v>1403</v>
      </c>
      <c r="B86" t="s">
        <v>1404</v>
      </c>
      <c r="C86" s="2">
        <v>5545.7868180000005</v>
      </c>
      <c r="D86" s="2">
        <v>5379.4132134600004</v>
      </c>
      <c r="E86" s="2">
        <v>5218.0308170562002</v>
      </c>
      <c r="F86" s="2">
        <v>5061.4898925445141</v>
      </c>
      <c r="G86" s="2">
        <v>4909.6451957681784</v>
      </c>
      <c r="H86" s="2">
        <v>4762.3558398951327</v>
      </c>
      <c r="I86" s="2">
        <v>4619.4851646982788</v>
      </c>
      <c r="J86" s="2">
        <v>4480.9006097573301</v>
      </c>
      <c r="K86" s="2">
        <v>4346.4735914646099</v>
      </c>
      <c r="L86" s="2">
        <v>4216.0793837206711</v>
      </c>
      <c r="M86" s="2">
        <v>4089.597002209051</v>
      </c>
      <c r="N86" s="2">
        <v>3966.9090921427792</v>
      </c>
      <c r="O86" s="2">
        <v>3847.9018193784955</v>
      </c>
    </row>
    <row r="87" spans="1:15" x14ac:dyDescent="0.25">
      <c r="A87" t="s">
        <v>1405</v>
      </c>
      <c r="B87" t="s">
        <v>1406</v>
      </c>
      <c r="C87" s="2">
        <v>5528.717920000001</v>
      </c>
      <c r="D87" s="2">
        <v>5362.8563824000012</v>
      </c>
      <c r="E87" s="2">
        <v>5201.9706909280012</v>
      </c>
      <c r="F87" s="2">
        <v>5045.9115702001609</v>
      </c>
      <c r="G87" s="2">
        <v>4894.534223094156</v>
      </c>
      <c r="H87" s="2">
        <v>4747.6981964013312</v>
      </c>
      <c r="I87" s="2">
        <v>4605.2672505092914</v>
      </c>
      <c r="J87" s="2">
        <v>4467.1092329940129</v>
      </c>
      <c r="K87" s="2">
        <v>4333.095956004192</v>
      </c>
      <c r="L87" s="2">
        <v>4203.1030773240664</v>
      </c>
      <c r="M87" s="2">
        <v>4077.0099850043443</v>
      </c>
      <c r="N87" s="2">
        <v>3954.699685454214</v>
      </c>
      <c r="O87" s="2">
        <v>3836.0586948905875</v>
      </c>
    </row>
    <row r="88" spans="1:15" x14ac:dyDescent="0.25">
      <c r="A88" t="s">
        <v>1407</v>
      </c>
      <c r="B88" t="s">
        <v>1408</v>
      </c>
      <c r="C88" s="2">
        <v>5524.8885120000004</v>
      </c>
      <c r="D88" s="2">
        <v>5359.1418566400007</v>
      </c>
      <c r="E88" s="2">
        <v>5198.3676009408009</v>
      </c>
      <c r="F88" s="2">
        <v>5042.4165729125771</v>
      </c>
      <c r="G88" s="2">
        <v>4891.1440757251994</v>
      </c>
      <c r="H88" s="2">
        <v>4744.409753453443</v>
      </c>
      <c r="I88" s="2">
        <v>4602.0774608498396</v>
      </c>
      <c r="J88" s="2">
        <v>4464.0151370243439</v>
      </c>
      <c r="K88" s="2">
        <v>4330.0946829136137</v>
      </c>
      <c r="L88" s="2">
        <v>4200.1918424262049</v>
      </c>
      <c r="M88" s="2">
        <v>4074.1860871534186</v>
      </c>
      <c r="N88" s="2">
        <v>3951.9605045388162</v>
      </c>
      <c r="O88" s="2">
        <v>3833.4016894026518</v>
      </c>
    </row>
    <row r="89" spans="1:15" x14ac:dyDescent="0.25">
      <c r="A89" t="s">
        <v>1409</v>
      </c>
      <c r="B89" t="s">
        <v>1410</v>
      </c>
      <c r="C89" s="2">
        <v>5517.9335419999998</v>
      </c>
      <c r="D89" s="2">
        <v>5352.39553574</v>
      </c>
      <c r="E89" s="2">
        <v>5191.8236696677995</v>
      </c>
      <c r="F89" s="2">
        <v>5036.0689595777658</v>
      </c>
      <c r="G89" s="2">
        <v>4884.9868907904329</v>
      </c>
      <c r="H89" s="2">
        <v>4738.4372840667202</v>
      </c>
      <c r="I89" s="2">
        <v>4596.2841655447182</v>
      </c>
      <c r="J89" s="2">
        <v>4458.3956405783765</v>
      </c>
      <c r="K89" s="2">
        <v>4324.6437713610248</v>
      </c>
      <c r="L89" s="2">
        <v>4194.9044582201941</v>
      </c>
      <c r="M89" s="2">
        <v>4069.0573244735883</v>
      </c>
      <c r="N89" s="2">
        <v>3946.9856047393805</v>
      </c>
      <c r="O89" s="2">
        <v>3828.5760365971992</v>
      </c>
    </row>
    <row r="90" spans="1:15" x14ac:dyDescent="0.25">
      <c r="A90" t="s">
        <v>1411</v>
      </c>
      <c r="B90" t="s">
        <v>1412</v>
      </c>
      <c r="C90" s="2">
        <v>5491.1555160000007</v>
      </c>
      <c r="D90" s="2">
        <v>5326.4208505200004</v>
      </c>
      <c r="E90" s="2">
        <v>5166.6282250044005</v>
      </c>
      <c r="F90" s="2">
        <v>5011.629378254268</v>
      </c>
      <c r="G90" s="2">
        <v>4861.2804969066401</v>
      </c>
      <c r="H90" s="2">
        <v>4715.4420819994411</v>
      </c>
      <c r="I90" s="2">
        <v>4573.9788195394576</v>
      </c>
      <c r="J90" s="2">
        <v>4436.7594549532741</v>
      </c>
      <c r="K90" s="2">
        <v>4303.6566713046759</v>
      </c>
      <c r="L90" s="2">
        <v>4174.5469711655351</v>
      </c>
      <c r="M90" s="2">
        <v>4049.3105620305687</v>
      </c>
      <c r="N90" s="2">
        <v>3927.8312451696515</v>
      </c>
      <c r="O90" s="2">
        <v>3809.996307814562</v>
      </c>
    </row>
    <row r="91" spans="1:15" x14ac:dyDescent="0.25">
      <c r="A91" t="s">
        <v>1413</v>
      </c>
      <c r="B91" t="s">
        <v>1414</v>
      </c>
      <c r="C91" s="2">
        <v>5473.6332420000008</v>
      </c>
      <c r="D91" s="2">
        <v>5309.4242447400002</v>
      </c>
      <c r="E91" s="2">
        <v>5150.1415173978003</v>
      </c>
      <c r="F91" s="2">
        <v>4995.6372718758657</v>
      </c>
      <c r="G91" s="2">
        <v>4845.7681537195895</v>
      </c>
      <c r="H91" s="2">
        <v>4700.3951091080016</v>
      </c>
      <c r="I91" s="2">
        <v>4559.3832558347613</v>
      </c>
      <c r="J91" s="2">
        <v>4422.601758159718</v>
      </c>
      <c r="K91" s="2">
        <v>4289.9237054149262</v>
      </c>
      <c r="L91" s="2">
        <v>4161.2259942524779</v>
      </c>
      <c r="M91" s="2">
        <v>4036.3892144249035</v>
      </c>
      <c r="N91" s="2">
        <v>3915.2975379921563</v>
      </c>
      <c r="O91" s="2">
        <v>3797.8386118523918</v>
      </c>
    </row>
    <row r="92" spans="1:15" x14ac:dyDescent="0.25">
      <c r="A92" t="s">
        <v>1415</v>
      </c>
      <c r="B92" t="s">
        <v>1416</v>
      </c>
      <c r="C92" s="2">
        <v>5465.2533760000015</v>
      </c>
      <c r="D92" s="2">
        <v>5301.2957747200016</v>
      </c>
      <c r="E92" s="2">
        <v>5142.2569014784012</v>
      </c>
      <c r="F92" s="2">
        <v>4987.9891944340488</v>
      </c>
      <c r="G92" s="2">
        <v>4838.3495186010268</v>
      </c>
      <c r="H92" s="2">
        <v>4693.1990330429962</v>
      </c>
      <c r="I92" s="2">
        <v>4552.403062051706</v>
      </c>
      <c r="J92" s="2">
        <v>4415.8309701901544</v>
      </c>
      <c r="K92" s="2">
        <v>4283.3560410844493</v>
      </c>
      <c r="L92" s="2">
        <v>4154.8553598519156</v>
      </c>
      <c r="M92" s="2">
        <v>4030.2096990563582</v>
      </c>
      <c r="N92" s="2">
        <v>3909.3034080846674</v>
      </c>
      <c r="O92" s="2">
        <v>3792.0243058421274</v>
      </c>
    </row>
    <row r="93" spans="1:15" x14ac:dyDescent="0.25">
      <c r="A93" t="s">
        <v>1417</v>
      </c>
      <c r="B93" t="s">
        <v>1418</v>
      </c>
      <c r="C93" s="2">
        <v>5440.6015620000007</v>
      </c>
      <c r="D93" s="2">
        <v>5277.3835151400008</v>
      </c>
      <c r="E93" s="2">
        <v>5119.0620096858011</v>
      </c>
      <c r="F93" s="2">
        <v>4965.4901493952266</v>
      </c>
      <c r="G93" s="2">
        <v>4816.5254449133699</v>
      </c>
      <c r="H93" s="2">
        <v>4672.0296815659685</v>
      </c>
      <c r="I93" s="2">
        <v>4531.8687911189891</v>
      </c>
      <c r="J93" s="2">
        <v>4395.9127273854192</v>
      </c>
      <c r="K93" s="2">
        <v>4264.0353455638569</v>
      </c>
      <c r="L93" s="2">
        <v>4136.1142851969407</v>
      </c>
      <c r="M93" s="2">
        <v>4012.0308566410322</v>
      </c>
      <c r="N93" s="2">
        <v>3891.6699309418013</v>
      </c>
      <c r="O93" s="2">
        <v>3774.9198330135473</v>
      </c>
    </row>
    <row r="94" spans="1:15" x14ac:dyDescent="0.25">
      <c r="A94" t="s">
        <v>1419</v>
      </c>
      <c r="B94" t="s">
        <v>1420</v>
      </c>
      <c r="C94" s="2">
        <v>5426.4082620000008</v>
      </c>
      <c r="D94" s="2">
        <v>5263.6160141400005</v>
      </c>
      <c r="E94" s="2">
        <v>5105.7075337158003</v>
      </c>
      <c r="F94" s="2">
        <v>4952.5363077043257</v>
      </c>
      <c r="G94" s="2">
        <v>4803.9602184731957</v>
      </c>
      <c r="H94" s="2">
        <v>4659.8414119189993</v>
      </c>
      <c r="I94" s="2">
        <v>4520.0461695614295</v>
      </c>
      <c r="J94" s="2">
        <v>4384.4447844745864</v>
      </c>
      <c r="K94" s="2">
        <v>4252.9114409403483</v>
      </c>
      <c r="L94" s="2">
        <v>4125.3240977121377</v>
      </c>
      <c r="M94" s="2">
        <v>4001.5643747807735</v>
      </c>
      <c r="N94" s="2">
        <v>3881.5174435373501</v>
      </c>
      <c r="O94" s="2">
        <v>3765.0719202312293</v>
      </c>
    </row>
    <row r="95" spans="1:15" x14ac:dyDescent="0.25">
      <c r="A95" t="s">
        <v>1421</v>
      </c>
      <c r="B95" t="s">
        <v>1422</v>
      </c>
      <c r="C95" s="2">
        <v>5383.2489920000016</v>
      </c>
      <c r="D95" s="2">
        <v>5221.7515222400016</v>
      </c>
      <c r="E95" s="2">
        <v>5065.0989765728018</v>
      </c>
      <c r="F95" s="2">
        <v>4913.1460072756172</v>
      </c>
      <c r="G95" s="2">
        <v>4765.7516270573487</v>
      </c>
      <c r="H95" s="2">
        <v>4622.7790782456277</v>
      </c>
      <c r="I95" s="2">
        <v>4484.0957058982585</v>
      </c>
      <c r="J95" s="2">
        <v>4349.5728347213108</v>
      </c>
      <c r="K95" s="2">
        <v>4219.0856496796714</v>
      </c>
      <c r="L95" s="2">
        <v>4092.513080189281</v>
      </c>
      <c r="M95" s="2">
        <v>3969.7376877836023</v>
      </c>
      <c r="N95" s="2">
        <v>3850.6455571500942</v>
      </c>
      <c r="O95" s="2">
        <v>3735.1261904355911</v>
      </c>
    </row>
    <row r="96" spans="1:15" x14ac:dyDescent="0.25">
      <c r="A96" t="s">
        <v>1423</v>
      </c>
      <c r="B96" t="s">
        <v>1424</v>
      </c>
      <c r="C96" s="2">
        <v>5382.0047379999996</v>
      </c>
      <c r="D96" s="2">
        <v>5220.5445958599994</v>
      </c>
      <c r="E96" s="2">
        <v>5063.9282579841993</v>
      </c>
      <c r="F96" s="2">
        <v>4912.010410244673</v>
      </c>
      <c r="G96" s="2">
        <v>4764.6500979373332</v>
      </c>
      <c r="H96" s="2">
        <v>4621.7105949992128</v>
      </c>
      <c r="I96" s="2">
        <v>4483.0592771492366</v>
      </c>
      <c r="J96" s="2">
        <v>4348.5674988347591</v>
      </c>
      <c r="K96" s="2">
        <v>4218.1104738697159</v>
      </c>
      <c r="L96" s="2">
        <v>4091.5671596536245</v>
      </c>
      <c r="M96" s="2">
        <v>3968.8201448640157</v>
      </c>
      <c r="N96" s="2">
        <v>3849.7555405180951</v>
      </c>
      <c r="O96" s="2">
        <v>3734.2628743025521</v>
      </c>
    </row>
    <row r="97" spans="1:15" x14ac:dyDescent="0.25">
      <c r="A97" t="s">
        <v>1425</v>
      </c>
      <c r="B97" t="s">
        <v>1426</v>
      </c>
      <c r="C97" s="2">
        <v>5381.743136000001</v>
      </c>
      <c r="D97" s="2">
        <v>5220.2908419200012</v>
      </c>
      <c r="E97" s="2">
        <v>5063.6821166624013</v>
      </c>
      <c r="F97" s="2">
        <v>4911.7716531625292</v>
      </c>
      <c r="G97" s="2">
        <v>4764.4185035676528</v>
      </c>
      <c r="H97" s="2">
        <v>4621.4859484606231</v>
      </c>
      <c r="I97" s="2">
        <v>4482.841370006804</v>
      </c>
      <c r="J97" s="2">
        <v>4348.3561289066001</v>
      </c>
      <c r="K97" s="2">
        <v>4217.9054450394024</v>
      </c>
      <c r="L97" s="2">
        <v>4091.3682816882201</v>
      </c>
      <c r="M97" s="2">
        <v>3968.6272332375734</v>
      </c>
      <c r="N97" s="2">
        <v>3849.5684162404459</v>
      </c>
      <c r="O97" s="2">
        <v>3734.0813637532324</v>
      </c>
    </row>
    <row r="98" spans="1:15" x14ac:dyDescent="0.25">
      <c r="A98" t="s">
        <v>1427</v>
      </c>
      <c r="B98" t="s">
        <v>1428</v>
      </c>
      <c r="C98" s="2">
        <v>5380.2929400000003</v>
      </c>
      <c r="D98" s="2">
        <v>5218.8841517999999</v>
      </c>
      <c r="E98" s="2">
        <v>5062.3176272459996</v>
      </c>
      <c r="F98" s="2">
        <v>4910.4480984286192</v>
      </c>
      <c r="G98" s="2">
        <v>4763.1346554757602</v>
      </c>
      <c r="H98" s="2">
        <v>4620.2406158114873</v>
      </c>
      <c r="I98" s="2">
        <v>4481.6333973371429</v>
      </c>
      <c r="J98" s="2">
        <v>4347.1843954170281</v>
      </c>
      <c r="K98" s="2">
        <v>4216.7688635545173</v>
      </c>
      <c r="L98" s="2">
        <v>4090.2657976478818</v>
      </c>
      <c r="M98" s="2">
        <v>3967.557823718445</v>
      </c>
      <c r="N98" s="2">
        <v>3848.5310890068913</v>
      </c>
      <c r="O98" s="2">
        <v>3733.0751563366844</v>
      </c>
    </row>
    <row r="99" spans="1:15" x14ac:dyDescent="0.25">
      <c r="A99" t="s">
        <v>1429</v>
      </c>
      <c r="B99" t="s">
        <v>1430</v>
      </c>
      <c r="C99" s="2">
        <v>5353.4719040000009</v>
      </c>
      <c r="D99" s="2">
        <v>5192.8677468800006</v>
      </c>
      <c r="E99" s="2">
        <v>5037.0817144736002</v>
      </c>
      <c r="F99" s="2">
        <v>4885.969263039392</v>
      </c>
      <c r="G99" s="2">
        <v>4739.3901851482105</v>
      </c>
      <c r="H99" s="2">
        <v>4597.2084795937644</v>
      </c>
      <c r="I99" s="2">
        <v>4459.2922252059516</v>
      </c>
      <c r="J99" s="2">
        <v>4325.5134584497728</v>
      </c>
      <c r="K99" s="2">
        <v>4195.7480546962797</v>
      </c>
      <c r="L99" s="2">
        <v>4069.8756130553911</v>
      </c>
      <c r="M99" s="2">
        <v>3947.7793446637293</v>
      </c>
      <c r="N99" s="2">
        <v>3829.3459643238175</v>
      </c>
      <c r="O99" s="2">
        <v>3714.4655853941031</v>
      </c>
    </row>
    <row r="100" spans="1:15" x14ac:dyDescent="0.25">
      <c r="A100" t="s">
        <v>1431</v>
      </c>
      <c r="B100" t="s">
        <v>1432</v>
      </c>
      <c r="C100" s="2">
        <v>5332.4916260000009</v>
      </c>
      <c r="D100" s="2">
        <v>5172.5168772200004</v>
      </c>
      <c r="E100" s="2">
        <v>5017.3413709034003</v>
      </c>
      <c r="F100" s="2">
        <v>4866.8211297762982</v>
      </c>
      <c r="G100" s="2">
        <v>4720.8164958830093</v>
      </c>
      <c r="H100" s="2">
        <v>4579.1920010065187</v>
      </c>
      <c r="I100" s="2">
        <v>4441.8162409763227</v>
      </c>
      <c r="J100" s="2">
        <v>4308.5617537470325</v>
      </c>
      <c r="K100" s="2">
        <v>4179.3049011346211</v>
      </c>
      <c r="L100" s="2">
        <v>4053.9257541005823</v>
      </c>
      <c r="M100" s="2">
        <v>3932.3079814775647</v>
      </c>
      <c r="N100" s="2">
        <v>3814.3387420332378</v>
      </c>
      <c r="O100" s="2">
        <v>3699.9085797722405</v>
      </c>
    </row>
    <row r="101" spans="1:15" x14ac:dyDescent="0.25">
      <c r="A101" t="s">
        <v>1433</v>
      </c>
      <c r="B101" t="s">
        <v>1434</v>
      </c>
      <c r="C101" s="2">
        <v>5321.1445760000015</v>
      </c>
      <c r="D101" s="2">
        <v>5161.5102387200013</v>
      </c>
      <c r="E101" s="2">
        <v>5006.6649315584009</v>
      </c>
      <c r="F101" s="2">
        <v>4856.4649836116487</v>
      </c>
      <c r="G101" s="2">
        <v>4710.7710341032989</v>
      </c>
      <c r="H101" s="2">
        <v>4569.4479030801995</v>
      </c>
      <c r="I101" s="2">
        <v>4432.3644659877937</v>
      </c>
      <c r="J101" s="2">
        <v>4299.39353200816</v>
      </c>
      <c r="K101" s="2">
        <v>4170.4117260479152</v>
      </c>
      <c r="L101" s="2">
        <v>4045.2993742664776</v>
      </c>
      <c r="M101" s="2">
        <v>3923.9403930384833</v>
      </c>
      <c r="N101" s="2">
        <v>3806.2221812473285</v>
      </c>
      <c r="O101" s="2">
        <v>3692.0355158099087</v>
      </c>
    </row>
    <row r="102" spans="1:15" x14ac:dyDescent="0.25">
      <c r="A102" t="s">
        <v>1435</v>
      </c>
      <c r="B102" t="s">
        <v>1436</v>
      </c>
      <c r="C102" s="2">
        <v>5314.6940880000002</v>
      </c>
      <c r="D102" s="2">
        <v>5155.2532653600001</v>
      </c>
      <c r="E102" s="2">
        <v>5000.5956673991996</v>
      </c>
      <c r="F102" s="2">
        <v>4850.5777973772238</v>
      </c>
      <c r="G102" s="2">
        <v>4705.0604634559068</v>
      </c>
      <c r="H102" s="2">
        <v>4563.9086495522297</v>
      </c>
      <c r="I102" s="2">
        <v>4426.9913900656629</v>
      </c>
      <c r="J102" s="2">
        <v>4294.1816483636931</v>
      </c>
      <c r="K102" s="2">
        <v>4165.356198912782</v>
      </c>
      <c r="L102" s="2">
        <v>4040.3955129453984</v>
      </c>
      <c r="M102" s="2">
        <v>3919.1836475570362</v>
      </c>
      <c r="N102" s="2">
        <v>3801.6081381303252</v>
      </c>
      <c r="O102" s="2">
        <v>3687.5598939864153</v>
      </c>
    </row>
    <row r="103" spans="1:15" x14ac:dyDescent="0.25">
      <c r="A103" t="s">
        <v>1437</v>
      </c>
      <c r="B103" t="s">
        <v>1438</v>
      </c>
      <c r="C103" s="2">
        <v>5288.5784160000003</v>
      </c>
      <c r="D103" s="2">
        <v>5129.9210635199997</v>
      </c>
      <c r="E103" s="2">
        <v>4976.0234316143997</v>
      </c>
      <c r="F103" s="2">
        <v>4826.7427286659677</v>
      </c>
      <c r="G103" s="2">
        <v>4681.9404468059884</v>
      </c>
      <c r="H103" s="2">
        <v>4541.482233401809</v>
      </c>
      <c r="I103" s="2">
        <v>4405.2377663997549</v>
      </c>
      <c r="J103" s="2">
        <v>4273.0806334077624</v>
      </c>
      <c r="K103" s="2">
        <v>4144.8882144055297</v>
      </c>
      <c r="L103" s="2">
        <v>4020.5415679733637</v>
      </c>
      <c r="M103" s="2">
        <v>3899.9253209341628</v>
      </c>
      <c r="N103" s="2">
        <v>3782.9275613061377</v>
      </c>
      <c r="O103" s="2">
        <v>3669.4397344669533</v>
      </c>
    </row>
    <row r="104" spans="1:15" x14ac:dyDescent="0.25">
      <c r="A104" t="s">
        <v>1439</v>
      </c>
      <c r="B104" t="s">
        <v>1440</v>
      </c>
      <c r="C104" s="2">
        <v>5285.5591139999997</v>
      </c>
      <c r="D104" s="2">
        <v>5126.9923405799991</v>
      </c>
      <c r="E104" s="2">
        <v>4973.1825703625991</v>
      </c>
      <c r="F104" s="2">
        <v>4823.9870932517206</v>
      </c>
      <c r="G104" s="2">
        <v>4679.2674804541684</v>
      </c>
      <c r="H104" s="2">
        <v>4538.8894560405433</v>
      </c>
      <c r="I104" s="2">
        <v>4402.7227723593269</v>
      </c>
      <c r="J104" s="2">
        <v>4270.6410891885471</v>
      </c>
      <c r="K104" s="2">
        <v>4142.5218565128907</v>
      </c>
      <c r="L104" s="2">
        <v>4018.2462008175039</v>
      </c>
      <c r="M104" s="2">
        <v>3897.6988147929787</v>
      </c>
      <c r="N104" s="2">
        <v>3780.7678503491893</v>
      </c>
      <c r="O104" s="2">
        <v>3667.3448148387133</v>
      </c>
    </row>
    <row r="105" spans="1:15" x14ac:dyDescent="0.25">
      <c r="A105" t="s">
        <v>1441</v>
      </c>
      <c r="B105" t="s">
        <v>1442</v>
      </c>
      <c r="C105" s="2">
        <v>5270.0927179999999</v>
      </c>
      <c r="D105" s="2">
        <v>5111.9899364599996</v>
      </c>
      <c r="E105" s="2">
        <v>4958.6302383661996</v>
      </c>
      <c r="F105" s="2">
        <v>4809.8713312152131</v>
      </c>
      <c r="G105" s="2">
        <v>4665.5751912787564</v>
      </c>
      <c r="H105" s="2">
        <v>4525.6079355403936</v>
      </c>
      <c r="I105" s="2">
        <v>4389.8396974741818</v>
      </c>
      <c r="J105" s="2">
        <v>4258.1445065499565</v>
      </c>
      <c r="K105" s="2">
        <v>4130.4001713534581</v>
      </c>
      <c r="L105" s="2">
        <v>4006.4881662128541</v>
      </c>
      <c r="M105" s="2">
        <v>3886.2935212264683</v>
      </c>
      <c r="N105" s="2">
        <v>3769.7047155896744</v>
      </c>
      <c r="O105" s="2">
        <v>3656.6135741219841</v>
      </c>
    </row>
    <row r="106" spans="1:15" x14ac:dyDescent="0.25">
      <c r="A106" t="s">
        <v>1443</v>
      </c>
      <c r="B106" t="s">
        <v>1444</v>
      </c>
      <c r="C106" s="2">
        <v>5270.0927179999999</v>
      </c>
      <c r="D106" s="2">
        <v>5111.9899364599996</v>
      </c>
      <c r="E106" s="2">
        <v>4958.6302383661996</v>
      </c>
      <c r="F106" s="2">
        <v>4809.8713312152131</v>
      </c>
      <c r="G106" s="2">
        <v>4665.5751912787564</v>
      </c>
      <c r="H106" s="2">
        <v>4525.6079355403936</v>
      </c>
      <c r="I106" s="2">
        <v>4389.8396974741818</v>
      </c>
      <c r="J106" s="2">
        <v>4258.1445065499565</v>
      </c>
      <c r="K106" s="2">
        <v>4130.4001713534581</v>
      </c>
      <c r="L106" s="2">
        <v>4006.4881662128541</v>
      </c>
      <c r="M106" s="2">
        <v>3886.2935212264683</v>
      </c>
      <c r="N106" s="2">
        <v>3769.7047155896744</v>
      </c>
      <c r="O106" s="2">
        <v>3656.6135741219841</v>
      </c>
    </row>
    <row r="107" spans="1:15" x14ac:dyDescent="0.25">
      <c r="A107" t="s">
        <v>1445</v>
      </c>
      <c r="B107" t="s">
        <v>1446</v>
      </c>
      <c r="C107" s="2">
        <v>5270.0927179999999</v>
      </c>
      <c r="D107" s="2">
        <v>5111.9899364599996</v>
      </c>
      <c r="E107" s="2">
        <v>4958.6302383661996</v>
      </c>
      <c r="F107" s="2">
        <v>4809.8713312152131</v>
      </c>
      <c r="G107" s="2">
        <v>4665.5751912787564</v>
      </c>
      <c r="H107" s="2">
        <v>4525.6079355403936</v>
      </c>
      <c r="I107" s="2">
        <v>4389.8396974741818</v>
      </c>
      <c r="J107" s="2">
        <v>4258.1445065499565</v>
      </c>
      <c r="K107" s="2">
        <v>4130.4001713534581</v>
      </c>
      <c r="L107" s="2">
        <v>4006.4881662128541</v>
      </c>
      <c r="M107" s="2">
        <v>3886.2935212264683</v>
      </c>
      <c r="N107" s="2">
        <v>3769.7047155896744</v>
      </c>
      <c r="O107" s="2">
        <v>3656.6135741219841</v>
      </c>
    </row>
    <row r="108" spans="1:15" x14ac:dyDescent="0.25">
      <c r="A108" t="s">
        <v>1447</v>
      </c>
      <c r="B108" t="s">
        <v>1448</v>
      </c>
      <c r="C108" s="2">
        <v>5270.0927179999999</v>
      </c>
      <c r="D108" s="2">
        <v>5111.9899364599996</v>
      </c>
      <c r="E108" s="2">
        <v>4958.6302383661996</v>
      </c>
      <c r="F108" s="2">
        <v>4809.8713312152131</v>
      </c>
      <c r="G108" s="2">
        <v>4665.5751912787564</v>
      </c>
      <c r="H108" s="2">
        <v>4525.6079355403936</v>
      </c>
      <c r="I108" s="2">
        <v>4389.8396974741818</v>
      </c>
      <c r="J108" s="2">
        <v>4258.1445065499565</v>
      </c>
      <c r="K108" s="2">
        <v>4130.4001713534581</v>
      </c>
      <c r="L108" s="2">
        <v>4006.4881662128541</v>
      </c>
      <c r="M108" s="2">
        <v>3886.2935212264683</v>
      </c>
      <c r="N108" s="2">
        <v>3769.7047155896744</v>
      </c>
      <c r="O108" s="2">
        <v>3656.6135741219841</v>
      </c>
    </row>
    <row r="109" spans="1:15" x14ac:dyDescent="0.25">
      <c r="A109" t="s">
        <v>1449</v>
      </c>
      <c r="B109" t="s">
        <v>1450</v>
      </c>
      <c r="C109" s="2">
        <v>5230.6312960000014</v>
      </c>
      <c r="D109" s="2">
        <v>5073.7123571200009</v>
      </c>
      <c r="E109" s="2">
        <v>4921.5009864064004</v>
      </c>
      <c r="F109" s="2">
        <v>4773.8559568142082</v>
      </c>
      <c r="G109" s="2">
        <v>4630.6402781097822</v>
      </c>
      <c r="H109" s="2">
        <v>4491.7210697664887</v>
      </c>
      <c r="I109" s="2">
        <v>4356.9694376734942</v>
      </c>
      <c r="J109" s="2">
        <v>4226.2603545432894</v>
      </c>
      <c r="K109" s="2">
        <v>4099.4725439069907</v>
      </c>
      <c r="L109" s="2">
        <v>3976.4883675897809</v>
      </c>
      <c r="M109" s="2">
        <v>3857.1937165620875</v>
      </c>
      <c r="N109" s="2">
        <v>3741.4779050652246</v>
      </c>
      <c r="O109" s="2">
        <v>3629.233567913268</v>
      </c>
    </row>
    <row r="110" spans="1:15" x14ac:dyDescent="0.25">
      <c r="A110" t="s">
        <v>1451</v>
      </c>
      <c r="B110" t="s">
        <v>1452</v>
      </c>
      <c r="C110" s="2">
        <v>5227.5548160000008</v>
      </c>
      <c r="D110" s="2">
        <v>5070.7281715200006</v>
      </c>
      <c r="E110" s="2">
        <v>4918.6063263744009</v>
      </c>
      <c r="F110" s="2">
        <v>4771.0481365831683</v>
      </c>
      <c r="G110" s="2">
        <v>4627.9166924856736</v>
      </c>
      <c r="H110" s="2">
        <v>4489.0791917111037</v>
      </c>
      <c r="I110" s="2">
        <v>4354.40681595977</v>
      </c>
      <c r="J110" s="2">
        <v>4223.774611480977</v>
      </c>
      <c r="K110" s="2">
        <v>4097.0613731365474</v>
      </c>
      <c r="L110" s="2">
        <v>3974.1495319424507</v>
      </c>
      <c r="M110" s="2">
        <v>3854.9250459841769</v>
      </c>
      <c r="N110" s="2">
        <v>3739.2772946046516</v>
      </c>
      <c r="O110" s="2">
        <v>3627.098975766512</v>
      </c>
    </row>
    <row r="111" spans="1:15" x14ac:dyDescent="0.25">
      <c r="A111" t="s">
        <v>1453</v>
      </c>
      <c r="B111" t="s">
        <v>1454</v>
      </c>
      <c r="C111" s="2">
        <v>5200.967552000001</v>
      </c>
      <c r="D111" s="2">
        <v>5044.9385254400004</v>
      </c>
      <c r="E111" s="2">
        <v>4893.5903696768</v>
      </c>
      <c r="F111" s="2">
        <v>4746.7826585864959</v>
      </c>
      <c r="G111" s="2">
        <v>4604.3791788289009</v>
      </c>
      <c r="H111" s="2">
        <v>4466.2478034640335</v>
      </c>
      <c r="I111" s="2">
        <v>4332.2603693601122</v>
      </c>
      <c r="J111" s="2">
        <v>4202.2925582793087</v>
      </c>
      <c r="K111" s="2">
        <v>4076.2237815309295</v>
      </c>
      <c r="L111" s="2">
        <v>3953.9370680850016</v>
      </c>
      <c r="M111" s="2">
        <v>3835.3189560424512</v>
      </c>
      <c r="N111" s="2">
        <v>3720.2593873611777</v>
      </c>
      <c r="O111" s="2">
        <v>3608.6516057403423</v>
      </c>
    </row>
    <row r="112" spans="1:15" x14ac:dyDescent="0.25">
      <c r="A112" t="s">
        <v>1455</v>
      </c>
      <c r="B112" t="s">
        <v>1456</v>
      </c>
      <c r="C112" s="2">
        <v>5176.8642420000015</v>
      </c>
      <c r="D112" s="2">
        <v>5021.5583147400012</v>
      </c>
      <c r="E112" s="2">
        <v>4870.9115652978007</v>
      </c>
      <c r="F112" s="2">
        <v>4724.7842183388666</v>
      </c>
      <c r="G112" s="2">
        <v>4583.0406917887003</v>
      </c>
      <c r="H112" s="2">
        <v>4445.5494710350395</v>
      </c>
      <c r="I112" s="2">
        <v>4312.1829869039884</v>
      </c>
      <c r="J112" s="2">
        <v>4182.8174972968691</v>
      </c>
      <c r="K112" s="2">
        <v>4057.332972377963</v>
      </c>
      <c r="L112" s="2">
        <v>3935.612983206624</v>
      </c>
      <c r="M112" s="2">
        <v>3817.544593710425</v>
      </c>
      <c r="N112" s="2">
        <v>3703.0182558991123</v>
      </c>
      <c r="O112" s="2">
        <v>3591.9277082221388</v>
      </c>
    </row>
    <row r="113" spans="1:15" x14ac:dyDescent="0.25">
      <c r="A113" t="s">
        <v>1457</v>
      </c>
      <c r="B113" t="s">
        <v>1458</v>
      </c>
      <c r="C113" s="2">
        <v>5158.1548920000005</v>
      </c>
      <c r="D113" s="2">
        <v>5003.4102452400002</v>
      </c>
      <c r="E113" s="2">
        <v>4853.3079378827997</v>
      </c>
      <c r="F113" s="2">
        <v>4707.7086997463157</v>
      </c>
      <c r="G113" s="2">
        <v>4566.4774387539264</v>
      </c>
      <c r="H113" s="2">
        <v>4429.4831155913089</v>
      </c>
      <c r="I113" s="2">
        <v>4296.5986221235698</v>
      </c>
      <c r="J113" s="2">
        <v>4167.7006634598629</v>
      </c>
      <c r="K113" s="2">
        <v>4042.6696435560671</v>
      </c>
      <c r="L113" s="2">
        <v>3921.3895542493851</v>
      </c>
      <c r="M113" s="2">
        <v>3803.7478676219034</v>
      </c>
      <c r="N113" s="2">
        <v>3689.6354315932463</v>
      </c>
      <c r="O113" s="2">
        <v>3578.9463686454487</v>
      </c>
    </row>
    <row r="114" spans="1:15" x14ac:dyDescent="0.25">
      <c r="A114" t="s">
        <v>1459</v>
      </c>
      <c r="B114" t="s">
        <v>1460</v>
      </c>
      <c r="C114" s="2">
        <v>5153.9864640000005</v>
      </c>
      <c r="D114" s="2">
        <v>4999.3668700800008</v>
      </c>
      <c r="E114" s="2">
        <v>4849.3858639776008</v>
      </c>
      <c r="F114" s="2">
        <v>4703.9042880582729</v>
      </c>
      <c r="G114" s="2">
        <v>4562.7871594165244</v>
      </c>
      <c r="H114" s="2">
        <v>4425.9035446340285</v>
      </c>
      <c r="I114" s="2">
        <v>4293.1264382950076</v>
      </c>
      <c r="J114" s="2">
        <v>4164.3326451461571</v>
      </c>
      <c r="K114" s="2">
        <v>4039.4026657917725</v>
      </c>
      <c r="L114" s="2">
        <v>3918.2205858180191</v>
      </c>
      <c r="M114" s="2">
        <v>3800.6739682434786</v>
      </c>
      <c r="N114" s="2">
        <v>3686.653749196174</v>
      </c>
      <c r="O114" s="2">
        <v>3576.0541367202886</v>
      </c>
    </row>
    <row r="115" spans="1:15" x14ac:dyDescent="0.25">
      <c r="A115" t="s">
        <v>1461</v>
      </c>
      <c r="B115" t="s">
        <v>1462</v>
      </c>
      <c r="C115" s="2">
        <v>5153.5492800000011</v>
      </c>
      <c r="D115" s="2">
        <v>4998.9428016000011</v>
      </c>
      <c r="E115" s="2">
        <v>4848.9745175520011</v>
      </c>
      <c r="F115" s="2">
        <v>4703.5052820254414</v>
      </c>
      <c r="G115" s="2">
        <v>4562.4001235646783</v>
      </c>
      <c r="H115" s="2">
        <v>4425.5281198577377</v>
      </c>
      <c r="I115" s="2">
        <v>4292.7622762620058</v>
      </c>
      <c r="J115" s="2">
        <v>4163.9794079741459</v>
      </c>
      <c r="K115" s="2">
        <v>4039.0600257349215</v>
      </c>
      <c r="L115" s="2">
        <v>3917.8882249628737</v>
      </c>
      <c r="M115" s="2">
        <v>3800.3515782139875</v>
      </c>
      <c r="N115" s="2">
        <v>3686.341030867568</v>
      </c>
      <c r="O115" s="2">
        <v>3575.7507999415407</v>
      </c>
    </row>
    <row r="116" spans="1:15" x14ac:dyDescent="0.25">
      <c r="A116" t="s">
        <v>1463</v>
      </c>
      <c r="B116" t="s">
        <v>1464</v>
      </c>
      <c r="C116" s="2">
        <v>5151.1528639999997</v>
      </c>
      <c r="D116" s="2">
        <v>4996.61827808</v>
      </c>
      <c r="E116" s="2">
        <v>4846.7197297375997</v>
      </c>
      <c r="F116" s="2">
        <v>4701.3181378454719</v>
      </c>
      <c r="G116" s="2">
        <v>4560.278593710108</v>
      </c>
      <c r="H116" s="2">
        <v>4423.4702358988043</v>
      </c>
      <c r="I116" s="2">
        <v>4290.7661288218396</v>
      </c>
      <c r="J116" s="2">
        <v>4162.0431449571843</v>
      </c>
      <c r="K116" s="2">
        <v>4037.1818506084687</v>
      </c>
      <c r="L116" s="2">
        <v>3916.0663950902144</v>
      </c>
      <c r="M116" s="2">
        <v>3798.584403237508</v>
      </c>
      <c r="N116" s="2">
        <v>3684.6268711403827</v>
      </c>
      <c r="O116" s="2">
        <v>3574.0880650061713</v>
      </c>
    </row>
    <row r="117" spans="1:15" x14ac:dyDescent="0.25">
      <c r="A117" t="s">
        <v>1465</v>
      </c>
      <c r="B117" t="s">
        <v>1466</v>
      </c>
      <c r="C117" s="2">
        <v>5115.9878880000006</v>
      </c>
      <c r="D117" s="2">
        <v>4962.50825136</v>
      </c>
      <c r="E117" s="2">
        <v>4813.6330038192</v>
      </c>
      <c r="F117" s="2">
        <v>4669.2240137046238</v>
      </c>
      <c r="G117" s="2">
        <v>4529.1472932934848</v>
      </c>
      <c r="H117" s="2">
        <v>4393.2728744946799</v>
      </c>
      <c r="I117" s="2">
        <v>4261.4746882598392</v>
      </c>
      <c r="J117" s="2">
        <v>4133.630447612044</v>
      </c>
      <c r="K117" s="2">
        <v>4009.6215341836828</v>
      </c>
      <c r="L117" s="2">
        <v>3889.3328881581724</v>
      </c>
      <c r="M117" s="2">
        <v>3772.652901513427</v>
      </c>
      <c r="N117" s="2">
        <v>3659.473314468024</v>
      </c>
      <c r="O117" s="2">
        <v>3549.6891150339834</v>
      </c>
    </row>
    <row r="118" spans="1:15" x14ac:dyDescent="0.25">
      <c r="A118" t="s">
        <v>1467</v>
      </c>
      <c r="B118" t="s">
        <v>1468</v>
      </c>
      <c r="C118" s="2">
        <v>5107.4344640000008</v>
      </c>
      <c r="D118" s="2">
        <v>4954.2114300800004</v>
      </c>
      <c r="E118" s="2">
        <v>4805.5850871776001</v>
      </c>
      <c r="F118" s="2">
        <v>4661.4175345622716</v>
      </c>
      <c r="G118" s="2">
        <v>4521.5750085254031</v>
      </c>
      <c r="H118" s="2">
        <v>4385.9277582696404</v>
      </c>
      <c r="I118" s="2">
        <v>4254.3499255215511</v>
      </c>
      <c r="J118" s="2">
        <v>4126.7194277559047</v>
      </c>
      <c r="K118" s="2">
        <v>4002.9178449232272</v>
      </c>
      <c r="L118" s="2">
        <v>3882.8303095755305</v>
      </c>
      <c r="M118" s="2">
        <v>3766.3454002882645</v>
      </c>
      <c r="N118" s="2">
        <v>3653.3550382796166</v>
      </c>
      <c r="O118" s="2">
        <v>3543.7543871312278</v>
      </c>
    </row>
    <row r="119" spans="1:15" x14ac:dyDescent="0.25">
      <c r="A119" t="s">
        <v>1469</v>
      </c>
      <c r="B119" t="s">
        <v>1470</v>
      </c>
      <c r="C119" s="2">
        <v>5099.6542080000008</v>
      </c>
      <c r="D119" s="2">
        <v>4946.6645817600011</v>
      </c>
      <c r="E119" s="2">
        <v>4798.2646443072008</v>
      </c>
      <c r="F119" s="2">
        <v>4654.316704977985</v>
      </c>
      <c r="G119" s="2">
        <v>4514.6872038286456</v>
      </c>
      <c r="H119" s="2">
        <v>4379.2465877137865</v>
      </c>
      <c r="I119" s="2">
        <v>4247.8691900823733</v>
      </c>
      <c r="J119" s="2">
        <v>4120.4331143799018</v>
      </c>
      <c r="K119" s="2">
        <v>3996.8201209485046</v>
      </c>
      <c r="L119" s="2">
        <v>3876.9155173200493</v>
      </c>
      <c r="M119" s="2">
        <v>3760.6080518004478</v>
      </c>
      <c r="N119" s="2">
        <v>3647.7898102464342</v>
      </c>
      <c r="O119" s="2">
        <v>3538.356115939041</v>
      </c>
    </row>
    <row r="120" spans="1:15" x14ac:dyDescent="0.25">
      <c r="A120" t="s">
        <v>1471</v>
      </c>
      <c r="B120" t="s">
        <v>1472</v>
      </c>
      <c r="C120" s="2">
        <v>5085.0247360000012</v>
      </c>
      <c r="D120" s="2">
        <v>4932.4739939200008</v>
      </c>
      <c r="E120" s="2">
        <v>4784.4997741024008</v>
      </c>
      <c r="F120" s="2">
        <v>4640.9647808793288</v>
      </c>
      <c r="G120" s="2">
        <v>4501.7358374529485</v>
      </c>
      <c r="H120" s="2">
        <v>4366.6837623293595</v>
      </c>
      <c r="I120" s="2">
        <v>4235.6832494594782</v>
      </c>
      <c r="J120" s="2">
        <v>4108.6127519756938</v>
      </c>
      <c r="K120" s="2">
        <v>3985.3543694164227</v>
      </c>
      <c r="L120" s="2">
        <v>3865.7937383339299</v>
      </c>
      <c r="M120" s="2">
        <v>3749.8199261839118</v>
      </c>
      <c r="N120" s="2">
        <v>3637.3253283983945</v>
      </c>
      <c r="O120" s="2">
        <v>3528.2055685464425</v>
      </c>
    </row>
    <row r="121" spans="1:15" x14ac:dyDescent="0.25">
      <c r="A121" t="s">
        <v>1473</v>
      </c>
      <c r="B121" t="s">
        <v>1474</v>
      </c>
      <c r="C121" s="2">
        <v>5077.0380319999995</v>
      </c>
      <c r="D121" s="2">
        <v>4924.7268910399989</v>
      </c>
      <c r="E121" s="2">
        <v>4776.9850843087988</v>
      </c>
      <c r="F121" s="2">
        <v>4633.675531779535</v>
      </c>
      <c r="G121" s="2">
        <v>4494.6652658261492</v>
      </c>
      <c r="H121" s="2">
        <v>4359.8253078513644</v>
      </c>
      <c r="I121" s="2">
        <v>4229.0305486158231</v>
      </c>
      <c r="J121" s="2">
        <v>4102.1596321573479</v>
      </c>
      <c r="K121" s="2">
        <v>3979.0948431926272</v>
      </c>
      <c r="L121" s="2">
        <v>3859.7219978968483</v>
      </c>
      <c r="M121" s="2">
        <v>3743.9303379599428</v>
      </c>
      <c r="N121" s="2">
        <v>3631.6124278211446</v>
      </c>
      <c r="O121" s="2">
        <v>3522.6640549865101</v>
      </c>
    </row>
    <row r="122" spans="1:15" x14ac:dyDescent="0.25">
      <c r="A122" t="s">
        <v>1475</v>
      </c>
      <c r="B122" t="s">
        <v>1476</v>
      </c>
      <c r="C122" s="2">
        <v>5076.1515200000013</v>
      </c>
      <c r="D122" s="2">
        <v>4923.8669744000008</v>
      </c>
      <c r="E122" s="2">
        <v>4776.1509651680008</v>
      </c>
      <c r="F122" s="2">
        <v>4632.8664362129603</v>
      </c>
      <c r="G122" s="2">
        <v>4493.8804431265717</v>
      </c>
      <c r="H122" s="2">
        <v>4359.0640298327744</v>
      </c>
      <c r="I122" s="2">
        <v>4228.2921089377915</v>
      </c>
      <c r="J122" s="2">
        <v>4101.4433456696579</v>
      </c>
      <c r="K122" s="2">
        <v>3978.4000452995679</v>
      </c>
      <c r="L122" s="2">
        <v>3859.0480439405806</v>
      </c>
      <c r="M122" s="2">
        <v>3743.276602622363</v>
      </c>
      <c r="N122" s="2">
        <v>3630.978304543692</v>
      </c>
      <c r="O122" s="2">
        <v>3522.0489554073811</v>
      </c>
    </row>
    <row r="123" spans="1:15" x14ac:dyDescent="0.25">
      <c r="A123" t="s">
        <v>1477</v>
      </c>
      <c r="B123" t="s">
        <v>1478</v>
      </c>
      <c r="C123" s="2">
        <v>5076.1515200000013</v>
      </c>
      <c r="D123" s="2">
        <v>4923.8669744000008</v>
      </c>
      <c r="E123" s="2">
        <v>4776.1509651680008</v>
      </c>
      <c r="F123" s="2">
        <v>4632.8664362129603</v>
      </c>
      <c r="G123" s="2">
        <v>4493.8804431265717</v>
      </c>
      <c r="H123" s="2">
        <v>4359.0640298327744</v>
      </c>
      <c r="I123" s="2">
        <v>4228.2921089377915</v>
      </c>
      <c r="J123" s="2">
        <v>4101.4433456696579</v>
      </c>
      <c r="K123" s="2">
        <v>3978.4000452995679</v>
      </c>
      <c r="L123" s="2">
        <v>3859.0480439405806</v>
      </c>
      <c r="M123" s="2">
        <v>3743.276602622363</v>
      </c>
      <c r="N123" s="2">
        <v>3630.978304543692</v>
      </c>
      <c r="O123" s="2">
        <v>3522.0489554073811</v>
      </c>
    </row>
    <row r="124" spans="1:15" x14ac:dyDescent="0.25">
      <c r="A124" t="s">
        <v>1479</v>
      </c>
      <c r="B124" t="s">
        <v>1480</v>
      </c>
      <c r="C124" s="2">
        <v>5076.1515200000013</v>
      </c>
      <c r="D124" s="2">
        <v>4923.8669744000008</v>
      </c>
      <c r="E124" s="2">
        <v>4776.1509651680008</v>
      </c>
      <c r="F124" s="2">
        <v>4632.8664362129603</v>
      </c>
      <c r="G124" s="2">
        <v>4493.8804431265717</v>
      </c>
      <c r="H124" s="2">
        <v>4359.0640298327744</v>
      </c>
      <c r="I124" s="2">
        <v>4228.2921089377915</v>
      </c>
      <c r="J124" s="2">
        <v>4101.4433456696579</v>
      </c>
      <c r="K124" s="2">
        <v>3978.4000452995679</v>
      </c>
      <c r="L124" s="2">
        <v>3859.0480439405806</v>
      </c>
      <c r="M124" s="2">
        <v>3743.276602622363</v>
      </c>
      <c r="N124" s="2">
        <v>3630.978304543692</v>
      </c>
      <c r="O124" s="2">
        <v>3522.0489554073811</v>
      </c>
    </row>
    <row r="125" spans="1:15" x14ac:dyDescent="0.25">
      <c r="A125" t="s">
        <v>1481</v>
      </c>
      <c r="B125" t="s">
        <v>1482</v>
      </c>
      <c r="C125" s="2">
        <v>5076.1515200000013</v>
      </c>
      <c r="D125" s="2">
        <v>4923.8669744000008</v>
      </c>
      <c r="E125" s="2">
        <v>4776.1509651680008</v>
      </c>
      <c r="F125" s="2">
        <v>4632.8664362129603</v>
      </c>
      <c r="G125" s="2">
        <v>4493.8804431265717</v>
      </c>
      <c r="H125" s="2">
        <v>4359.0640298327744</v>
      </c>
      <c r="I125" s="2">
        <v>4228.2921089377915</v>
      </c>
      <c r="J125" s="2">
        <v>4101.4433456696579</v>
      </c>
      <c r="K125" s="2">
        <v>3978.4000452995679</v>
      </c>
      <c r="L125" s="2">
        <v>3859.0480439405806</v>
      </c>
      <c r="M125" s="2">
        <v>3743.276602622363</v>
      </c>
      <c r="N125" s="2">
        <v>3630.978304543692</v>
      </c>
      <c r="O125" s="2">
        <v>3522.0489554073811</v>
      </c>
    </row>
    <row r="126" spans="1:15" x14ac:dyDescent="0.25">
      <c r="A126" t="s">
        <v>1483</v>
      </c>
      <c r="B126" t="s">
        <v>1484</v>
      </c>
      <c r="C126" s="2">
        <v>5069.2618240000011</v>
      </c>
      <c r="D126" s="2">
        <v>4917.1839692800013</v>
      </c>
      <c r="E126" s="2">
        <v>4769.6684502016014</v>
      </c>
      <c r="F126" s="2">
        <v>4626.5783966955532</v>
      </c>
      <c r="G126" s="2">
        <v>4487.7810447946867</v>
      </c>
      <c r="H126" s="2">
        <v>4353.1476134508457</v>
      </c>
      <c r="I126" s="2">
        <v>4222.5531850473199</v>
      </c>
      <c r="J126" s="2">
        <v>4095.8765894959001</v>
      </c>
      <c r="K126" s="2">
        <v>3973.0002918110231</v>
      </c>
      <c r="L126" s="2">
        <v>3853.8102830566922</v>
      </c>
      <c r="M126" s="2">
        <v>3738.1959745649915</v>
      </c>
      <c r="N126" s="2">
        <v>3626.0500953280416</v>
      </c>
      <c r="O126" s="2">
        <v>3517.2685924682</v>
      </c>
    </row>
    <row r="127" spans="1:15" x14ac:dyDescent="0.25">
      <c r="A127" t="s">
        <v>1485</v>
      </c>
      <c r="B127" t="s">
        <v>1486</v>
      </c>
      <c r="C127" s="2">
        <v>5063.9670400000014</v>
      </c>
      <c r="D127" s="2">
        <v>4912.0480288000008</v>
      </c>
      <c r="E127" s="2">
        <v>4764.6865879360003</v>
      </c>
      <c r="F127" s="2">
        <v>4621.7459902979199</v>
      </c>
      <c r="G127" s="2">
        <v>4483.0936105889823</v>
      </c>
      <c r="H127" s="2">
        <v>4348.6008022713131</v>
      </c>
      <c r="I127" s="2">
        <v>4218.1427782031733</v>
      </c>
      <c r="J127" s="2">
        <v>4091.5984948570781</v>
      </c>
      <c r="K127" s="2">
        <v>3968.8505400113659</v>
      </c>
      <c r="L127" s="2">
        <v>3849.785023811025</v>
      </c>
      <c r="M127" s="2">
        <v>3734.2914730966941</v>
      </c>
      <c r="N127" s="2">
        <v>3622.2627289037932</v>
      </c>
      <c r="O127" s="2">
        <v>3513.5948470366793</v>
      </c>
    </row>
    <row r="128" spans="1:15" x14ac:dyDescent="0.25">
      <c r="A128" t="s">
        <v>1487</v>
      </c>
      <c r="B128" t="s">
        <v>1488</v>
      </c>
      <c r="C128" s="2">
        <v>5048.9008899999999</v>
      </c>
      <c r="D128" s="2">
        <v>4897.4338632999998</v>
      </c>
      <c r="E128" s="2">
        <v>4750.5108474009994</v>
      </c>
      <c r="F128" s="2">
        <v>4607.995521978969</v>
      </c>
      <c r="G128" s="2">
        <v>4469.7556563195994</v>
      </c>
      <c r="H128" s="2">
        <v>4335.6629866300109</v>
      </c>
      <c r="I128" s="2">
        <v>4205.5930970311101</v>
      </c>
      <c r="J128" s="2">
        <v>4079.4253041201769</v>
      </c>
      <c r="K128" s="2">
        <v>3957.0425449965715</v>
      </c>
      <c r="L128" s="2">
        <v>3838.3312686466743</v>
      </c>
      <c r="M128" s="2">
        <v>3723.1813305872738</v>
      </c>
      <c r="N128" s="2">
        <v>3611.4858906696554</v>
      </c>
      <c r="O128" s="2">
        <v>3503.1413139495658</v>
      </c>
    </row>
    <row r="129" spans="1:15" x14ac:dyDescent="0.25">
      <c r="A129" t="s">
        <v>1489</v>
      </c>
      <c r="B129" t="s">
        <v>1490</v>
      </c>
      <c r="C129" s="2">
        <v>5041.7440260000003</v>
      </c>
      <c r="D129" s="2">
        <v>4890.4917052199999</v>
      </c>
      <c r="E129" s="2">
        <v>4743.7769540633999</v>
      </c>
      <c r="F129" s="2">
        <v>4601.4636454414976</v>
      </c>
      <c r="G129" s="2">
        <v>4463.4197360782528</v>
      </c>
      <c r="H129" s="2">
        <v>4329.5171439959049</v>
      </c>
      <c r="I129" s="2">
        <v>4199.6316296760278</v>
      </c>
      <c r="J129" s="2">
        <v>4073.642680785747</v>
      </c>
      <c r="K129" s="2">
        <v>3951.4334003621743</v>
      </c>
      <c r="L129" s="2">
        <v>3832.8903983513092</v>
      </c>
      <c r="M129" s="2">
        <v>3717.9036864007699</v>
      </c>
      <c r="N129" s="2">
        <v>3606.3665758087468</v>
      </c>
      <c r="O129" s="2">
        <v>3498.1755785344844</v>
      </c>
    </row>
    <row r="130" spans="1:15" x14ac:dyDescent="0.25">
      <c r="A130" t="s">
        <v>1491</v>
      </c>
      <c r="B130" t="s">
        <v>1492</v>
      </c>
      <c r="C130" s="2">
        <v>5035.0724160000009</v>
      </c>
      <c r="D130" s="2">
        <v>4884.0202435200008</v>
      </c>
      <c r="E130" s="2">
        <v>4737.4996362144002</v>
      </c>
      <c r="F130" s="2">
        <v>4595.3746471279683</v>
      </c>
      <c r="G130" s="2">
        <v>4457.5134077141292</v>
      </c>
      <c r="H130" s="2">
        <v>4323.7880054827056</v>
      </c>
      <c r="I130" s="2">
        <v>4194.0743653182244</v>
      </c>
      <c r="J130" s="2">
        <v>4068.2521343586777</v>
      </c>
      <c r="K130" s="2">
        <v>3946.2045703279173</v>
      </c>
      <c r="L130" s="2">
        <v>3827.8184332180795</v>
      </c>
      <c r="M130" s="2">
        <v>3712.9838802215368</v>
      </c>
      <c r="N130" s="2">
        <v>3601.5943638148906</v>
      </c>
      <c r="O130" s="2">
        <v>3493.5465329004437</v>
      </c>
    </row>
    <row r="131" spans="1:15" x14ac:dyDescent="0.25">
      <c r="A131" t="s">
        <v>1493</v>
      </c>
      <c r="B131" t="s">
        <v>1494</v>
      </c>
      <c r="C131" s="2">
        <v>5028.6280000000006</v>
      </c>
      <c r="D131" s="2">
        <v>4877.7691600000007</v>
      </c>
      <c r="E131" s="2">
        <v>4731.4360852000009</v>
      </c>
      <c r="F131" s="2">
        <v>4589.4930026440006</v>
      </c>
      <c r="G131" s="2">
        <v>4451.8082125646806</v>
      </c>
      <c r="H131" s="2">
        <v>4318.2539661877399</v>
      </c>
      <c r="I131" s="2">
        <v>4188.7063472021073</v>
      </c>
      <c r="J131" s="2">
        <v>4063.0451567860441</v>
      </c>
      <c r="K131" s="2">
        <v>3941.1538020824628</v>
      </c>
      <c r="L131" s="2">
        <v>3822.9191880199887</v>
      </c>
      <c r="M131" s="2">
        <v>3708.2316123793889</v>
      </c>
      <c r="N131" s="2">
        <v>3596.9846640080073</v>
      </c>
      <c r="O131" s="2">
        <v>3489.0751240877671</v>
      </c>
    </row>
    <row r="132" spans="1:15" x14ac:dyDescent="0.25">
      <c r="A132" t="s">
        <v>1495</v>
      </c>
      <c r="B132" t="s">
        <v>1496</v>
      </c>
      <c r="C132" s="2">
        <v>5024.7014399999998</v>
      </c>
      <c r="D132" s="2">
        <v>4873.9603968000001</v>
      </c>
      <c r="E132" s="2">
        <v>4727.7415848959999</v>
      </c>
      <c r="F132" s="2">
        <v>4585.9093373491196</v>
      </c>
      <c r="G132" s="2">
        <v>4448.3320572286457</v>
      </c>
      <c r="H132" s="2">
        <v>4314.8820955117862</v>
      </c>
      <c r="I132" s="2">
        <v>4185.4356326464322</v>
      </c>
      <c r="J132" s="2">
        <v>4059.8725636670392</v>
      </c>
      <c r="K132" s="2">
        <v>3938.0763867570281</v>
      </c>
      <c r="L132" s="2">
        <v>3819.9340951543172</v>
      </c>
      <c r="M132" s="2">
        <v>3705.3360722996877</v>
      </c>
      <c r="N132" s="2">
        <v>3594.1759901306968</v>
      </c>
      <c r="O132" s="2">
        <v>3486.350710426776</v>
      </c>
    </row>
    <row r="133" spans="1:15" x14ac:dyDescent="0.25">
      <c r="A133" t="s">
        <v>1497</v>
      </c>
      <c r="B133" t="s">
        <v>1498</v>
      </c>
      <c r="C133" s="2">
        <v>5005.1496000000006</v>
      </c>
      <c r="D133" s="2">
        <v>4854.9951120000005</v>
      </c>
      <c r="E133" s="2">
        <v>4709.3452586400008</v>
      </c>
      <c r="F133" s="2">
        <v>4568.0649008808005</v>
      </c>
      <c r="G133" s="2">
        <v>4431.0229538543763</v>
      </c>
      <c r="H133" s="2">
        <v>4298.0922652387453</v>
      </c>
      <c r="I133" s="2">
        <v>4169.1494972815826</v>
      </c>
      <c r="J133" s="2">
        <v>4044.0750123631351</v>
      </c>
      <c r="K133" s="2">
        <v>3922.7527619922407</v>
      </c>
      <c r="L133" s="2">
        <v>3805.0701791324732</v>
      </c>
      <c r="M133" s="2">
        <v>3690.9180737584988</v>
      </c>
      <c r="N133" s="2">
        <v>3580.1905315457439</v>
      </c>
      <c r="O133" s="2">
        <v>3472.7848155993715</v>
      </c>
    </row>
    <row r="134" spans="1:15" x14ac:dyDescent="0.25">
      <c r="A134" t="s">
        <v>1499</v>
      </c>
      <c r="B134" t="s">
        <v>1500</v>
      </c>
      <c r="C134" s="2">
        <v>4992.0745600000018</v>
      </c>
      <c r="D134" s="2">
        <v>4842.3123232000016</v>
      </c>
      <c r="E134" s="2">
        <v>4697.0429535040012</v>
      </c>
      <c r="F134" s="2">
        <v>4556.1316648988814</v>
      </c>
      <c r="G134" s="2">
        <v>4419.4477149519143</v>
      </c>
      <c r="H134" s="2">
        <v>4286.864283503357</v>
      </c>
      <c r="I134" s="2">
        <v>4158.2583549982564</v>
      </c>
      <c r="J134" s="2">
        <v>4033.5106043483088</v>
      </c>
      <c r="K134" s="2">
        <v>3912.5052862178595</v>
      </c>
      <c r="L134" s="2">
        <v>3795.1301276313238</v>
      </c>
      <c r="M134" s="2">
        <v>3681.2762238023838</v>
      </c>
      <c r="N134" s="2">
        <v>3570.8379370883122</v>
      </c>
      <c r="O134" s="2">
        <v>3463.7127989756627</v>
      </c>
    </row>
    <row r="135" spans="1:15" x14ac:dyDescent="0.25">
      <c r="A135" t="s">
        <v>1501</v>
      </c>
      <c r="B135" t="s">
        <v>1502</v>
      </c>
      <c r="C135" s="2">
        <v>4975.9230400000015</v>
      </c>
      <c r="D135" s="2">
        <v>4826.6453488000016</v>
      </c>
      <c r="E135" s="2">
        <v>4681.845988336001</v>
      </c>
      <c r="F135" s="2">
        <v>4541.3906086859206</v>
      </c>
      <c r="G135" s="2">
        <v>4405.1488904253429</v>
      </c>
      <c r="H135" s="2">
        <v>4272.9944237125828</v>
      </c>
      <c r="I135" s="2">
        <v>4144.8045910012052</v>
      </c>
      <c r="J135" s="2">
        <v>4020.4604532711687</v>
      </c>
      <c r="K135" s="2">
        <v>3899.8466396730337</v>
      </c>
      <c r="L135" s="2">
        <v>3782.8512404828425</v>
      </c>
      <c r="M135" s="2">
        <v>3669.3657032683573</v>
      </c>
      <c r="N135" s="2">
        <v>3559.2847321703066</v>
      </c>
      <c r="O135" s="2">
        <v>3452.5061902051975</v>
      </c>
    </row>
    <row r="136" spans="1:15" x14ac:dyDescent="0.25">
      <c r="A136" t="s">
        <v>1503</v>
      </c>
      <c r="B136" t="s">
        <v>1504</v>
      </c>
      <c r="C136" s="2">
        <v>4968.0506919999998</v>
      </c>
      <c r="D136" s="2">
        <v>4819.0091712399999</v>
      </c>
      <c r="E136" s="2">
        <v>4674.4388961027998</v>
      </c>
      <c r="F136" s="2">
        <v>4534.205729219716</v>
      </c>
      <c r="G136" s="2">
        <v>4398.1795573431245</v>
      </c>
      <c r="H136" s="2">
        <v>4266.2341706228308</v>
      </c>
      <c r="I136" s="2">
        <v>4138.2471455041459</v>
      </c>
      <c r="J136" s="2">
        <v>4014.0997311390215</v>
      </c>
      <c r="K136" s="2">
        <v>3893.6767392048509</v>
      </c>
      <c r="L136" s="2">
        <v>3776.8664370287051</v>
      </c>
      <c r="M136" s="2">
        <v>3663.5604439178437</v>
      </c>
      <c r="N136" s="2">
        <v>3553.6536306003081</v>
      </c>
      <c r="O136" s="2">
        <v>3447.044021682299</v>
      </c>
    </row>
    <row r="137" spans="1:15" x14ac:dyDescent="0.25">
      <c r="A137" t="s">
        <v>1505</v>
      </c>
      <c r="B137" t="s">
        <v>1506</v>
      </c>
      <c r="C137" s="2">
        <v>4959.1481280000007</v>
      </c>
      <c r="D137" s="2">
        <v>4810.3736841600003</v>
      </c>
      <c r="E137" s="2">
        <v>4666.0624736352001</v>
      </c>
      <c r="F137" s="2">
        <v>4526.0805994261436</v>
      </c>
      <c r="G137" s="2">
        <v>4390.2981814433588</v>
      </c>
      <c r="H137" s="2">
        <v>4258.589236000058</v>
      </c>
      <c r="I137" s="2">
        <v>4130.8315589200565</v>
      </c>
      <c r="J137" s="2">
        <v>4006.9066121524547</v>
      </c>
      <c r="K137" s="2">
        <v>3886.699413787881</v>
      </c>
      <c r="L137" s="2">
        <v>3770.0984313742442</v>
      </c>
      <c r="M137" s="2">
        <v>3656.9954784330166</v>
      </c>
      <c r="N137" s="2">
        <v>3547.2856140800259</v>
      </c>
      <c r="O137" s="2">
        <v>3440.8670456576251</v>
      </c>
    </row>
    <row r="138" spans="1:15" x14ac:dyDescent="0.25">
      <c r="A138" t="s">
        <v>1507</v>
      </c>
      <c r="B138" t="s">
        <v>1508</v>
      </c>
      <c r="C138" s="2">
        <v>4910.1430400000008</v>
      </c>
      <c r="D138" s="2">
        <v>4762.8387488000008</v>
      </c>
      <c r="E138" s="2">
        <v>4619.9535863360006</v>
      </c>
      <c r="F138" s="2">
        <v>4481.3549787459206</v>
      </c>
      <c r="G138" s="2">
        <v>4346.9143293835432</v>
      </c>
      <c r="H138" s="2">
        <v>4216.5068995020365</v>
      </c>
      <c r="I138" s="2">
        <v>4090.0116925169755</v>
      </c>
      <c r="J138" s="2">
        <v>3967.3113417414661</v>
      </c>
      <c r="K138" s="2">
        <v>3848.292001489222</v>
      </c>
      <c r="L138" s="2">
        <v>3732.8432414445451</v>
      </c>
      <c r="M138" s="2">
        <v>3620.8579442012087</v>
      </c>
      <c r="N138" s="2">
        <v>3512.2322058751724</v>
      </c>
      <c r="O138" s="2">
        <v>3406.8652396989173</v>
      </c>
    </row>
    <row r="139" spans="1:15" x14ac:dyDescent="0.25">
      <c r="A139" t="s">
        <v>1509</v>
      </c>
      <c r="B139" t="s">
        <v>1510</v>
      </c>
      <c r="C139" s="2">
        <v>4896.5822400000006</v>
      </c>
      <c r="D139" s="2">
        <v>4749.6847728000002</v>
      </c>
      <c r="E139" s="2">
        <v>4607.1942296160005</v>
      </c>
      <c r="F139" s="2">
        <v>4468.97840272752</v>
      </c>
      <c r="G139" s="2">
        <v>4334.9090506456942</v>
      </c>
      <c r="H139" s="2">
        <v>4204.8617791263232</v>
      </c>
      <c r="I139" s="2">
        <v>4078.7159257525332</v>
      </c>
      <c r="J139" s="2">
        <v>3956.3544479799571</v>
      </c>
      <c r="K139" s="2">
        <v>3837.6638145405582</v>
      </c>
      <c r="L139" s="2">
        <v>3722.5339001043412</v>
      </c>
      <c r="M139" s="2">
        <v>3610.857883101211</v>
      </c>
      <c r="N139" s="2">
        <v>3502.5321466081746</v>
      </c>
      <c r="O139" s="2">
        <v>3397.4561822099295</v>
      </c>
    </row>
    <row r="140" spans="1:15" x14ac:dyDescent="0.25">
      <c r="A140" t="s">
        <v>1511</v>
      </c>
      <c r="B140" t="s">
        <v>1512</v>
      </c>
      <c r="C140" s="2">
        <v>4896.5822400000006</v>
      </c>
      <c r="D140" s="2">
        <v>4749.6847728000002</v>
      </c>
      <c r="E140" s="2">
        <v>4607.1942296160005</v>
      </c>
      <c r="F140" s="2">
        <v>4468.97840272752</v>
      </c>
      <c r="G140" s="2">
        <v>4334.9090506456942</v>
      </c>
      <c r="H140" s="2">
        <v>4204.8617791263232</v>
      </c>
      <c r="I140" s="2">
        <v>4078.7159257525332</v>
      </c>
      <c r="J140" s="2">
        <v>3956.3544479799571</v>
      </c>
      <c r="K140" s="2">
        <v>3837.6638145405582</v>
      </c>
      <c r="L140" s="2">
        <v>3722.5339001043412</v>
      </c>
      <c r="M140" s="2">
        <v>3610.857883101211</v>
      </c>
      <c r="N140" s="2">
        <v>3502.5321466081746</v>
      </c>
      <c r="O140" s="2">
        <v>3397.4561822099295</v>
      </c>
    </row>
    <row r="141" spans="1:15" x14ac:dyDescent="0.25">
      <c r="A141" t="s">
        <v>1513</v>
      </c>
      <c r="B141" t="s">
        <v>1514</v>
      </c>
      <c r="C141" s="2">
        <v>4896.5822400000006</v>
      </c>
      <c r="D141" s="2">
        <v>4749.6847728000002</v>
      </c>
      <c r="E141" s="2">
        <v>4607.1942296160005</v>
      </c>
      <c r="F141" s="2">
        <v>4468.97840272752</v>
      </c>
      <c r="G141" s="2">
        <v>4334.9090506456942</v>
      </c>
      <c r="H141" s="2">
        <v>4204.8617791263232</v>
      </c>
      <c r="I141" s="2">
        <v>4078.7159257525332</v>
      </c>
      <c r="J141" s="2">
        <v>3956.3544479799571</v>
      </c>
      <c r="K141" s="2">
        <v>3837.6638145405582</v>
      </c>
      <c r="L141" s="2">
        <v>3722.5339001043412</v>
      </c>
      <c r="M141" s="2">
        <v>3610.857883101211</v>
      </c>
      <c r="N141" s="2">
        <v>3502.5321466081746</v>
      </c>
      <c r="O141" s="2">
        <v>3397.4561822099295</v>
      </c>
    </row>
    <row r="142" spans="1:15" x14ac:dyDescent="0.25">
      <c r="A142" t="s">
        <v>1515</v>
      </c>
      <c r="B142" t="s">
        <v>1516</v>
      </c>
      <c r="C142" s="2">
        <v>4896.5822400000006</v>
      </c>
      <c r="D142" s="2">
        <v>4749.6847728000002</v>
      </c>
      <c r="E142" s="2">
        <v>4607.1942296160005</v>
      </c>
      <c r="F142" s="2">
        <v>4468.97840272752</v>
      </c>
      <c r="G142" s="2">
        <v>4334.9090506456942</v>
      </c>
      <c r="H142" s="2">
        <v>4204.8617791263232</v>
      </c>
      <c r="I142" s="2">
        <v>4078.7159257525332</v>
      </c>
      <c r="J142" s="2">
        <v>3956.3544479799571</v>
      </c>
      <c r="K142" s="2">
        <v>3837.6638145405582</v>
      </c>
      <c r="L142" s="2">
        <v>3722.5339001043412</v>
      </c>
      <c r="M142" s="2">
        <v>3610.857883101211</v>
      </c>
      <c r="N142" s="2">
        <v>3502.5321466081746</v>
      </c>
      <c r="O142" s="2">
        <v>3397.4561822099295</v>
      </c>
    </row>
    <row r="143" spans="1:15" x14ac:dyDescent="0.25">
      <c r="A143" t="s">
        <v>1517</v>
      </c>
      <c r="B143" t="s">
        <v>1518</v>
      </c>
      <c r="C143" s="2">
        <v>4895.7726400000001</v>
      </c>
      <c r="D143" s="2">
        <v>4748.8994608000003</v>
      </c>
      <c r="E143" s="2">
        <v>4606.4324769760005</v>
      </c>
      <c r="F143" s="2">
        <v>4468.23950266672</v>
      </c>
      <c r="G143" s="2">
        <v>4334.1923175867187</v>
      </c>
      <c r="H143" s="2">
        <v>4204.1665480591173</v>
      </c>
      <c r="I143" s="2">
        <v>4078.0415516173439</v>
      </c>
      <c r="J143" s="2">
        <v>3955.7003050688236</v>
      </c>
      <c r="K143" s="2">
        <v>3837.0292959167587</v>
      </c>
      <c r="L143" s="2">
        <v>3721.9184170392559</v>
      </c>
      <c r="M143" s="2">
        <v>3610.2608645280779</v>
      </c>
      <c r="N143" s="2">
        <v>3501.9530385922353</v>
      </c>
      <c r="O143" s="2">
        <v>3396.894447434468</v>
      </c>
    </row>
    <row r="144" spans="1:15" x14ac:dyDescent="0.25">
      <c r="A144" t="s">
        <v>1519</v>
      </c>
      <c r="B144" t="s">
        <v>1520</v>
      </c>
      <c r="C144" s="2">
        <v>4853.2767360000007</v>
      </c>
      <c r="D144" s="2">
        <v>4707.6784339200003</v>
      </c>
      <c r="E144" s="2">
        <v>4566.4480809023999</v>
      </c>
      <c r="F144" s="2">
        <v>4429.4546384753276</v>
      </c>
      <c r="G144" s="2">
        <v>4296.5709993210676</v>
      </c>
      <c r="H144" s="2">
        <v>4167.6738693414354</v>
      </c>
      <c r="I144" s="2">
        <v>4042.6436532611924</v>
      </c>
      <c r="J144" s="2">
        <v>3921.3643436633565</v>
      </c>
      <c r="K144" s="2">
        <v>3803.7234133534557</v>
      </c>
      <c r="L144" s="2">
        <v>3689.6117109528518</v>
      </c>
      <c r="M144" s="2">
        <v>3578.9233596242661</v>
      </c>
      <c r="N144" s="2">
        <v>3471.555658835538</v>
      </c>
      <c r="O144" s="2">
        <v>3367.4089890704718</v>
      </c>
    </row>
    <row r="145" spans="1:15" x14ac:dyDescent="0.25">
      <c r="A145" t="s">
        <v>1521</v>
      </c>
      <c r="B145" t="s">
        <v>1522</v>
      </c>
      <c r="C145" s="2">
        <v>4853.2767360000007</v>
      </c>
      <c r="D145" s="2">
        <v>4707.6784339200003</v>
      </c>
      <c r="E145" s="2">
        <v>4566.4480809023999</v>
      </c>
      <c r="F145" s="2">
        <v>4429.4546384753276</v>
      </c>
      <c r="G145" s="2">
        <v>4296.5709993210676</v>
      </c>
      <c r="H145" s="2">
        <v>4167.6738693414354</v>
      </c>
      <c r="I145" s="2">
        <v>4042.6436532611924</v>
      </c>
      <c r="J145" s="2">
        <v>3921.3643436633565</v>
      </c>
      <c r="K145" s="2">
        <v>3803.7234133534557</v>
      </c>
      <c r="L145" s="2">
        <v>3689.6117109528518</v>
      </c>
      <c r="M145" s="2">
        <v>3578.9233596242661</v>
      </c>
      <c r="N145" s="2">
        <v>3471.555658835538</v>
      </c>
      <c r="O145" s="2">
        <v>3367.4089890704718</v>
      </c>
    </row>
    <row r="146" spans="1:15" x14ac:dyDescent="0.25">
      <c r="A146" t="s">
        <v>1523</v>
      </c>
      <c r="B146" t="s">
        <v>1524</v>
      </c>
      <c r="C146" s="2">
        <v>4853.2767360000007</v>
      </c>
      <c r="D146" s="2">
        <v>4707.6784339200003</v>
      </c>
      <c r="E146" s="2">
        <v>4566.4480809023999</v>
      </c>
      <c r="F146" s="2">
        <v>4429.4546384753276</v>
      </c>
      <c r="G146" s="2">
        <v>4296.5709993210676</v>
      </c>
      <c r="H146" s="2">
        <v>4167.6738693414354</v>
      </c>
      <c r="I146" s="2">
        <v>4042.6436532611924</v>
      </c>
      <c r="J146" s="2">
        <v>3921.3643436633565</v>
      </c>
      <c r="K146" s="2">
        <v>3803.7234133534557</v>
      </c>
      <c r="L146" s="2">
        <v>3689.6117109528518</v>
      </c>
      <c r="M146" s="2">
        <v>3578.9233596242661</v>
      </c>
      <c r="N146" s="2">
        <v>3471.555658835538</v>
      </c>
      <c r="O146" s="2">
        <v>3367.4089890704718</v>
      </c>
    </row>
    <row r="147" spans="1:15" x14ac:dyDescent="0.25">
      <c r="A147" t="s">
        <v>1525</v>
      </c>
      <c r="B147" t="s">
        <v>1526</v>
      </c>
      <c r="C147" s="2">
        <v>4853.2767360000007</v>
      </c>
      <c r="D147" s="2">
        <v>4707.6784339200003</v>
      </c>
      <c r="E147" s="2">
        <v>4566.4480809023999</v>
      </c>
      <c r="F147" s="2">
        <v>4429.4546384753276</v>
      </c>
      <c r="G147" s="2">
        <v>4296.5709993210676</v>
      </c>
      <c r="H147" s="2">
        <v>4167.6738693414354</v>
      </c>
      <c r="I147" s="2">
        <v>4042.6436532611924</v>
      </c>
      <c r="J147" s="2">
        <v>3921.3643436633565</v>
      </c>
      <c r="K147" s="2">
        <v>3803.7234133534557</v>
      </c>
      <c r="L147" s="2">
        <v>3689.6117109528518</v>
      </c>
      <c r="M147" s="2">
        <v>3578.9233596242661</v>
      </c>
      <c r="N147" s="2">
        <v>3471.555658835538</v>
      </c>
      <c r="O147" s="2">
        <v>3367.4089890704718</v>
      </c>
    </row>
    <row r="148" spans="1:15" x14ac:dyDescent="0.25">
      <c r="A148" t="s">
        <v>1527</v>
      </c>
      <c r="B148" t="s">
        <v>1528</v>
      </c>
      <c r="C148" s="2">
        <v>4851.3741760000012</v>
      </c>
      <c r="D148" s="2">
        <v>4705.8329507200006</v>
      </c>
      <c r="E148" s="2">
        <v>4564.6579621984001</v>
      </c>
      <c r="F148" s="2">
        <v>4427.7182233324484</v>
      </c>
      <c r="G148" s="2">
        <v>4294.8866766324745</v>
      </c>
      <c r="H148" s="2">
        <v>4166.0400763335001</v>
      </c>
      <c r="I148" s="2">
        <v>4041.0588740434951</v>
      </c>
      <c r="J148" s="2">
        <v>3919.8271078221901</v>
      </c>
      <c r="K148" s="2">
        <v>3802.2322945875244</v>
      </c>
      <c r="L148" s="2">
        <v>3688.1653257498988</v>
      </c>
      <c r="M148" s="2">
        <v>3577.5203659774015</v>
      </c>
      <c r="N148" s="2">
        <v>3470.1947549980796</v>
      </c>
      <c r="O148" s="2">
        <v>3366.088912348137</v>
      </c>
    </row>
    <row r="149" spans="1:15" x14ac:dyDescent="0.25">
      <c r="A149" t="s">
        <v>1529</v>
      </c>
      <c r="B149" t="s">
        <v>1530</v>
      </c>
      <c r="C149" s="2">
        <v>4850.524096000001</v>
      </c>
      <c r="D149" s="2">
        <v>4705.0083731200011</v>
      </c>
      <c r="E149" s="2">
        <v>4563.8581219264006</v>
      </c>
      <c r="F149" s="2">
        <v>4426.9423782686081</v>
      </c>
      <c r="G149" s="2">
        <v>4294.13410692055</v>
      </c>
      <c r="H149" s="2">
        <v>4165.3100837129332</v>
      </c>
      <c r="I149" s="2">
        <v>4040.350781201545</v>
      </c>
      <c r="J149" s="2">
        <v>3919.1402577654985</v>
      </c>
      <c r="K149" s="2">
        <v>3801.5660500325334</v>
      </c>
      <c r="L149" s="2">
        <v>3687.5190685315574</v>
      </c>
      <c r="M149" s="2">
        <v>3576.8934964756104</v>
      </c>
      <c r="N149" s="2">
        <v>3469.5866915813422</v>
      </c>
      <c r="O149" s="2">
        <v>3365.4990908339018</v>
      </c>
    </row>
    <row r="150" spans="1:15" x14ac:dyDescent="0.25">
      <c r="A150" t="s">
        <v>1531</v>
      </c>
      <c r="B150" t="s">
        <v>1532</v>
      </c>
      <c r="C150" s="2">
        <v>4843.8206080000009</v>
      </c>
      <c r="D150" s="2">
        <v>4698.5059897600004</v>
      </c>
      <c r="E150" s="2">
        <v>4557.5508100672005</v>
      </c>
      <c r="F150" s="2">
        <v>4420.824285765184</v>
      </c>
      <c r="G150" s="2">
        <v>4288.199557192228</v>
      </c>
      <c r="H150" s="2">
        <v>4159.5535704764607</v>
      </c>
      <c r="I150" s="2">
        <v>4034.7669633621667</v>
      </c>
      <c r="J150" s="2">
        <v>3913.7239544613017</v>
      </c>
      <c r="K150" s="2">
        <v>3796.3122358274627</v>
      </c>
      <c r="L150" s="2">
        <v>3682.4228687526388</v>
      </c>
      <c r="M150" s="2">
        <v>3571.9501826900596</v>
      </c>
      <c r="N150" s="2">
        <v>3464.7916772093577</v>
      </c>
      <c r="O150" s="2">
        <v>3360.8479268930769</v>
      </c>
    </row>
    <row r="151" spans="1:15" x14ac:dyDescent="0.25">
      <c r="A151" t="s">
        <v>1533</v>
      </c>
      <c r="B151" t="s">
        <v>1534</v>
      </c>
      <c r="C151" s="2">
        <v>4830.988448000001</v>
      </c>
      <c r="D151" s="2">
        <v>4686.0587945600009</v>
      </c>
      <c r="E151" s="2">
        <v>4545.4770307232011</v>
      </c>
      <c r="F151" s="2">
        <v>4409.1127198015047</v>
      </c>
      <c r="G151" s="2">
        <v>4276.8393382074591</v>
      </c>
      <c r="H151" s="2">
        <v>4148.5341580612348</v>
      </c>
      <c r="I151" s="2">
        <v>4024.0781333193977</v>
      </c>
      <c r="J151" s="2">
        <v>3903.3557893198158</v>
      </c>
      <c r="K151" s="2">
        <v>3786.2551156402214</v>
      </c>
      <c r="L151" s="2">
        <v>3672.6674621710149</v>
      </c>
      <c r="M151" s="2">
        <v>3562.4874383058846</v>
      </c>
      <c r="N151" s="2">
        <v>3455.6128151567077</v>
      </c>
      <c r="O151" s="2">
        <v>3351.9444307020062</v>
      </c>
    </row>
    <row r="152" spans="1:15" x14ac:dyDescent="0.25">
      <c r="A152" t="s">
        <v>1535</v>
      </c>
      <c r="B152" t="s">
        <v>1536</v>
      </c>
      <c r="C152" s="2">
        <v>4815.6546240000007</v>
      </c>
      <c r="D152" s="2">
        <v>4671.1849852800005</v>
      </c>
      <c r="E152" s="2">
        <v>4531.0494357216003</v>
      </c>
      <c r="F152" s="2">
        <v>4395.1179526499518</v>
      </c>
      <c r="G152" s="2">
        <v>4263.2644140704533</v>
      </c>
      <c r="H152" s="2">
        <v>4135.3664816483397</v>
      </c>
      <c r="I152" s="2">
        <v>4011.3054871988893</v>
      </c>
      <c r="J152" s="2">
        <v>3890.9663225829227</v>
      </c>
      <c r="K152" s="2">
        <v>3774.2373329054349</v>
      </c>
      <c r="L152" s="2">
        <v>3661.0102129182719</v>
      </c>
      <c r="M152" s="2">
        <v>3551.1799065307237</v>
      </c>
      <c r="N152" s="2">
        <v>3444.644509334802</v>
      </c>
      <c r="O152" s="2">
        <v>3341.305174054758</v>
      </c>
    </row>
    <row r="153" spans="1:15" x14ac:dyDescent="0.25">
      <c r="A153" t="s">
        <v>1537</v>
      </c>
      <c r="B153" t="s">
        <v>1538</v>
      </c>
      <c r="C153" s="2">
        <v>4805.2320360000003</v>
      </c>
      <c r="D153" s="2">
        <v>4661.0750749200006</v>
      </c>
      <c r="E153" s="2">
        <v>4521.2428226724005</v>
      </c>
      <c r="F153" s="2">
        <v>4385.6055379922282</v>
      </c>
      <c r="G153" s="2">
        <v>4254.0373718524615</v>
      </c>
      <c r="H153" s="2">
        <v>4126.4162506968878</v>
      </c>
      <c r="I153" s="2">
        <v>4002.6237631759809</v>
      </c>
      <c r="J153" s="2">
        <v>3882.5450502807012</v>
      </c>
      <c r="K153" s="2">
        <v>3766.0686987722802</v>
      </c>
      <c r="L153" s="2">
        <v>3653.0866378091118</v>
      </c>
      <c r="M153" s="2">
        <v>3543.4940386748385</v>
      </c>
      <c r="N153" s="2">
        <v>3437.1892175145931</v>
      </c>
      <c r="O153" s="2">
        <v>3334.0735409891554</v>
      </c>
    </row>
    <row r="154" spans="1:15" x14ac:dyDescent="0.25">
      <c r="A154" t="s">
        <v>1539</v>
      </c>
      <c r="B154" t="s">
        <v>1540</v>
      </c>
      <c r="C154" s="2">
        <v>4777.9809000000005</v>
      </c>
      <c r="D154" s="2">
        <v>4634.6414730000006</v>
      </c>
      <c r="E154" s="2">
        <v>4495.6022288100003</v>
      </c>
      <c r="F154" s="2">
        <v>4360.7341619457002</v>
      </c>
      <c r="G154" s="2">
        <v>4229.912137087329</v>
      </c>
      <c r="H154" s="2">
        <v>4103.0147729747086</v>
      </c>
      <c r="I154" s="2">
        <v>3979.9243297854673</v>
      </c>
      <c r="J154" s="2">
        <v>3860.5265998919031</v>
      </c>
      <c r="K154" s="2">
        <v>3744.7108018951458</v>
      </c>
      <c r="L154" s="2">
        <v>3632.3694778382915</v>
      </c>
      <c r="M154" s="2">
        <v>3523.3983935031424</v>
      </c>
      <c r="N154" s="2">
        <v>3417.6964416980481</v>
      </c>
      <c r="O154" s="2">
        <v>3315.1655484471066</v>
      </c>
    </row>
    <row r="155" spans="1:15" x14ac:dyDescent="0.25">
      <c r="A155" t="s">
        <v>1541</v>
      </c>
      <c r="B155" t="s">
        <v>1542</v>
      </c>
      <c r="C155" s="2">
        <v>4762.1562560000011</v>
      </c>
      <c r="D155" s="2">
        <v>4619.2915683200008</v>
      </c>
      <c r="E155" s="2">
        <v>4480.712821270401</v>
      </c>
      <c r="F155" s="2">
        <v>4346.2914366322893</v>
      </c>
      <c r="G155" s="2">
        <v>4215.9026935333204</v>
      </c>
      <c r="H155" s="2">
        <v>4089.4256127273206</v>
      </c>
      <c r="I155" s="2">
        <v>3966.742844345501</v>
      </c>
      <c r="J155" s="2">
        <v>3847.7405590151357</v>
      </c>
      <c r="K155" s="2">
        <v>3732.3083422446816</v>
      </c>
      <c r="L155" s="2">
        <v>3620.339091977341</v>
      </c>
      <c r="M155" s="2">
        <v>3511.7289192180206</v>
      </c>
      <c r="N155" s="2">
        <v>3406.3770516414797</v>
      </c>
      <c r="O155" s="2">
        <v>3304.1857400922354</v>
      </c>
    </row>
    <row r="156" spans="1:15" x14ac:dyDescent="0.25">
      <c r="A156" t="s">
        <v>1543</v>
      </c>
      <c r="B156" t="s">
        <v>1544</v>
      </c>
      <c r="C156" s="2">
        <v>4755.0965440000009</v>
      </c>
      <c r="D156" s="2">
        <v>4612.443647680001</v>
      </c>
      <c r="E156" s="2">
        <v>4474.0703382496013</v>
      </c>
      <c r="F156" s="2">
        <v>4339.8482281021134</v>
      </c>
      <c r="G156" s="2">
        <v>4209.6527812590502</v>
      </c>
      <c r="H156" s="2">
        <v>4083.3631978212788</v>
      </c>
      <c r="I156" s="2">
        <v>3960.8623018866406</v>
      </c>
      <c r="J156" s="2">
        <v>3842.0364328300411</v>
      </c>
      <c r="K156" s="2">
        <v>3726.7753398451396</v>
      </c>
      <c r="L156" s="2">
        <v>3614.9720796497854</v>
      </c>
      <c r="M156" s="2">
        <v>3506.5229172602917</v>
      </c>
      <c r="N156" s="2">
        <v>3401.3272297424828</v>
      </c>
      <c r="O156" s="2">
        <v>3299.2874128502081</v>
      </c>
    </row>
    <row r="157" spans="1:15" x14ac:dyDescent="0.25">
      <c r="A157" t="s">
        <v>1545</v>
      </c>
      <c r="B157" t="s">
        <v>1546</v>
      </c>
      <c r="C157" s="2">
        <v>4754.5490520000003</v>
      </c>
      <c r="D157" s="2">
        <v>4611.9125804400001</v>
      </c>
      <c r="E157" s="2">
        <v>4473.5552030268</v>
      </c>
      <c r="F157" s="2">
        <v>4339.3485469359957</v>
      </c>
      <c r="G157" s="2">
        <v>4209.1680905279154</v>
      </c>
      <c r="H157" s="2">
        <v>4082.8930478120778</v>
      </c>
      <c r="I157" s="2">
        <v>3960.4062563777152</v>
      </c>
      <c r="J157" s="2">
        <v>3841.5940686863837</v>
      </c>
      <c r="K157" s="2">
        <v>3726.346246625792</v>
      </c>
      <c r="L157" s="2">
        <v>3614.5558592270181</v>
      </c>
      <c r="M157" s="2">
        <v>3506.1191834502074</v>
      </c>
      <c r="N157" s="2">
        <v>3400.9356079467011</v>
      </c>
      <c r="O157" s="2">
        <v>3298.9075397083002</v>
      </c>
    </row>
    <row r="158" spans="1:15" x14ac:dyDescent="0.25">
      <c r="A158" t="s">
        <v>1547</v>
      </c>
      <c r="B158" t="s">
        <v>1548</v>
      </c>
      <c r="C158" s="2">
        <v>4751.3238080000001</v>
      </c>
      <c r="D158" s="2">
        <v>4608.7840937600004</v>
      </c>
      <c r="E158" s="2">
        <v>4470.5205709472002</v>
      </c>
      <c r="F158" s="2">
        <v>4336.4049538187837</v>
      </c>
      <c r="G158" s="2">
        <v>4206.3128052042202</v>
      </c>
      <c r="H158" s="2">
        <v>4080.1234210480934</v>
      </c>
      <c r="I158" s="2">
        <v>3957.7197184166507</v>
      </c>
      <c r="J158" s="2">
        <v>3838.9881268641511</v>
      </c>
      <c r="K158" s="2">
        <v>3723.8184830582263</v>
      </c>
      <c r="L158" s="2">
        <v>3612.1039285664792</v>
      </c>
      <c r="M158" s="2">
        <v>3503.7408107094848</v>
      </c>
      <c r="N158" s="2">
        <v>3398.6285863882003</v>
      </c>
      <c r="O158" s="2">
        <v>3296.6697287965544</v>
      </c>
    </row>
    <row r="159" spans="1:15" x14ac:dyDescent="0.25">
      <c r="A159" t="s">
        <v>1549</v>
      </c>
      <c r="B159" t="s">
        <v>1550</v>
      </c>
      <c r="C159" s="2">
        <v>4748.1906560000007</v>
      </c>
      <c r="D159" s="2">
        <v>4605.7449363200003</v>
      </c>
      <c r="E159" s="2">
        <v>4467.5725882304005</v>
      </c>
      <c r="F159" s="2">
        <v>4333.5454105834888</v>
      </c>
      <c r="G159" s="2">
        <v>4203.5390482659841</v>
      </c>
      <c r="H159" s="2">
        <v>4077.4328768180044</v>
      </c>
      <c r="I159" s="2">
        <v>3955.1098905134641</v>
      </c>
      <c r="J159" s="2">
        <v>3836.4565937980601</v>
      </c>
      <c r="K159" s="2">
        <v>3721.362895984118</v>
      </c>
      <c r="L159" s="2">
        <v>3609.7220091045942</v>
      </c>
      <c r="M159" s="2">
        <v>3501.4303488314563</v>
      </c>
      <c r="N159" s="2">
        <v>3396.3874383665125</v>
      </c>
      <c r="O159" s="2">
        <v>3294.4958152155168</v>
      </c>
    </row>
    <row r="160" spans="1:15" x14ac:dyDescent="0.25">
      <c r="A160" t="s">
        <v>1551</v>
      </c>
      <c r="B160" t="s">
        <v>1552</v>
      </c>
      <c r="C160" s="2">
        <v>4726.5409400000008</v>
      </c>
      <c r="D160" s="2">
        <v>4584.7447118000009</v>
      </c>
      <c r="E160" s="2">
        <v>4447.2023704460007</v>
      </c>
      <c r="F160" s="2">
        <v>4313.7862993326207</v>
      </c>
      <c r="G160" s="2">
        <v>4184.3727103526417</v>
      </c>
      <c r="H160" s="2">
        <v>4058.8415290420621</v>
      </c>
      <c r="I160" s="2">
        <v>3937.0762831708003</v>
      </c>
      <c r="J160" s="2">
        <v>3818.9639946756761</v>
      </c>
      <c r="K160" s="2">
        <v>3704.3950748354055</v>
      </c>
      <c r="L160" s="2">
        <v>3593.263222590343</v>
      </c>
      <c r="M160" s="2">
        <v>3485.4653259126326</v>
      </c>
      <c r="N160" s="2">
        <v>3380.9013661352533</v>
      </c>
      <c r="O160" s="2">
        <v>3279.4743251511954</v>
      </c>
    </row>
    <row r="161" spans="1:15" x14ac:dyDescent="0.25">
      <c r="A161" t="s">
        <v>1553</v>
      </c>
      <c r="B161" t="s">
        <v>1554</v>
      </c>
      <c r="C161" s="2">
        <v>4726.0561920000009</v>
      </c>
      <c r="D161" s="2">
        <v>4584.2745062400008</v>
      </c>
      <c r="E161" s="2">
        <v>4446.7462710528007</v>
      </c>
      <c r="F161" s="2">
        <v>4313.3438829212164</v>
      </c>
      <c r="G161" s="2">
        <v>4183.9435664335797</v>
      </c>
      <c r="H161" s="2">
        <v>4058.4252594405721</v>
      </c>
      <c r="I161" s="2">
        <v>3936.6725016573546</v>
      </c>
      <c r="J161" s="2">
        <v>3818.5723266076338</v>
      </c>
      <c r="K161" s="2">
        <v>3704.0151568094047</v>
      </c>
      <c r="L161" s="2">
        <v>3592.8947021051226</v>
      </c>
      <c r="M161" s="2">
        <v>3485.107861041969</v>
      </c>
      <c r="N161" s="2">
        <v>3380.5546252107097</v>
      </c>
      <c r="O161" s="2">
        <v>3279.1379864543883</v>
      </c>
    </row>
    <row r="162" spans="1:15" x14ac:dyDescent="0.25">
      <c r="A162" t="s">
        <v>1555</v>
      </c>
      <c r="B162" t="s">
        <v>1556</v>
      </c>
      <c r="C162" s="2">
        <v>4711.9934400000002</v>
      </c>
      <c r="D162" s="2">
        <v>4570.6336368000002</v>
      </c>
      <c r="E162" s="2">
        <v>4433.5146276960004</v>
      </c>
      <c r="F162" s="2">
        <v>4300.5091888651204</v>
      </c>
      <c r="G162" s="2">
        <v>4171.4939131991669</v>
      </c>
      <c r="H162" s="2">
        <v>4046.3490958031916</v>
      </c>
      <c r="I162" s="2">
        <v>3924.9586229290958</v>
      </c>
      <c r="J162" s="2">
        <v>3807.2098642412229</v>
      </c>
      <c r="K162" s="2">
        <v>3692.9935683139861</v>
      </c>
      <c r="L162" s="2">
        <v>3582.2037612645663</v>
      </c>
      <c r="M162" s="2">
        <v>3474.7376484266292</v>
      </c>
      <c r="N162" s="2">
        <v>3370.4955189738303</v>
      </c>
      <c r="O162" s="2">
        <v>3269.3806534046153</v>
      </c>
    </row>
    <row r="163" spans="1:15" x14ac:dyDescent="0.25">
      <c r="A163" t="s">
        <v>1557</v>
      </c>
      <c r="B163" t="s">
        <v>1558</v>
      </c>
      <c r="C163" s="2">
        <v>4711.5476540000009</v>
      </c>
      <c r="D163" s="2">
        <v>4570.2012243800009</v>
      </c>
      <c r="E163" s="2">
        <v>4433.0951876486006</v>
      </c>
      <c r="F163" s="2">
        <v>4300.1023320191425</v>
      </c>
      <c r="G163" s="2">
        <v>4171.0992620585685</v>
      </c>
      <c r="H163" s="2">
        <v>4045.9662841968111</v>
      </c>
      <c r="I163" s="2">
        <v>3924.5872956709068</v>
      </c>
      <c r="J163" s="2">
        <v>3806.8496768007794</v>
      </c>
      <c r="K163" s="2">
        <v>3692.644186496756</v>
      </c>
      <c r="L163" s="2">
        <v>3581.8648609018533</v>
      </c>
      <c r="M163" s="2">
        <v>3474.4089150747977</v>
      </c>
      <c r="N163" s="2">
        <v>3370.1766476225539</v>
      </c>
      <c r="O163" s="2">
        <v>3269.0713481938774</v>
      </c>
    </row>
    <row r="164" spans="1:15" x14ac:dyDescent="0.25">
      <c r="A164" t="s">
        <v>1559</v>
      </c>
      <c r="B164" t="s">
        <v>1560</v>
      </c>
      <c r="C164" s="2">
        <v>4700.4252680000009</v>
      </c>
      <c r="D164" s="2">
        <v>4559.4125099600005</v>
      </c>
      <c r="E164" s="2">
        <v>4422.6301346612008</v>
      </c>
      <c r="F164" s="2">
        <v>4289.9512306213646</v>
      </c>
      <c r="G164" s="2">
        <v>4161.2526937027233</v>
      </c>
      <c r="H164" s="2">
        <v>4036.4151128916415</v>
      </c>
      <c r="I164" s="2">
        <v>3915.3226595048923</v>
      </c>
      <c r="J164" s="2">
        <v>3797.8629797197455</v>
      </c>
      <c r="K164" s="2">
        <v>3683.9270903281531</v>
      </c>
      <c r="L164" s="2">
        <v>3573.4092776183084</v>
      </c>
      <c r="M164" s="2">
        <v>3466.2069992897591</v>
      </c>
      <c r="N164" s="2">
        <v>3362.2207893110663</v>
      </c>
      <c r="O164" s="2">
        <v>3261.3541656317343</v>
      </c>
    </row>
    <row r="165" spans="1:15" x14ac:dyDescent="0.25">
      <c r="A165" t="s">
        <v>1561</v>
      </c>
      <c r="B165" t="s">
        <v>1562</v>
      </c>
      <c r="C165" s="2">
        <v>4697.5177920000006</v>
      </c>
      <c r="D165" s="2">
        <v>4556.5922582400008</v>
      </c>
      <c r="E165" s="2">
        <v>4419.8944904928003</v>
      </c>
      <c r="F165" s="2">
        <v>4287.2976557780157</v>
      </c>
      <c r="G165" s="2">
        <v>4158.6787261046748</v>
      </c>
      <c r="H165" s="2">
        <v>4033.9183643215342</v>
      </c>
      <c r="I165" s="2">
        <v>3912.9008133918883</v>
      </c>
      <c r="J165" s="2">
        <v>3795.5137889901316</v>
      </c>
      <c r="K165" s="2">
        <v>3681.6483753204275</v>
      </c>
      <c r="L165" s="2">
        <v>3571.1989240608145</v>
      </c>
      <c r="M165" s="2">
        <v>3464.0629563389898</v>
      </c>
      <c r="N165" s="2">
        <v>3360.1410676488199</v>
      </c>
      <c r="O165" s="2">
        <v>3259.336835619355</v>
      </c>
    </row>
    <row r="166" spans="1:15" x14ac:dyDescent="0.25">
      <c r="A166" t="s">
        <v>1563</v>
      </c>
      <c r="B166" t="s">
        <v>1564</v>
      </c>
      <c r="C166" s="2">
        <v>4694.687734000001</v>
      </c>
      <c r="D166" s="2">
        <v>4553.8471019800008</v>
      </c>
      <c r="E166" s="2">
        <v>4417.2316889206004</v>
      </c>
      <c r="F166" s="2">
        <v>4284.714738252982</v>
      </c>
      <c r="G166" s="2">
        <v>4156.1732961053922</v>
      </c>
      <c r="H166" s="2">
        <v>4031.4880972222304</v>
      </c>
      <c r="I166" s="2">
        <v>3910.5434543055635</v>
      </c>
      <c r="J166" s="2">
        <v>3793.2271506763964</v>
      </c>
      <c r="K166" s="2">
        <v>3679.4303361561042</v>
      </c>
      <c r="L166" s="2">
        <v>3569.0474260714209</v>
      </c>
      <c r="M166" s="2">
        <v>3461.9760032892782</v>
      </c>
      <c r="N166" s="2">
        <v>3358.1167231905997</v>
      </c>
      <c r="O166" s="2">
        <v>3257.3732214948818</v>
      </c>
    </row>
    <row r="167" spans="1:15" x14ac:dyDescent="0.25">
      <c r="A167" t="s">
        <v>1565</v>
      </c>
      <c r="B167" t="s">
        <v>1566</v>
      </c>
      <c r="C167" s="2">
        <v>4689.8751680000005</v>
      </c>
      <c r="D167" s="2">
        <v>4549.1789129600002</v>
      </c>
      <c r="E167" s="2">
        <v>4412.7035455712003</v>
      </c>
      <c r="F167" s="2">
        <v>4280.3224392040638</v>
      </c>
      <c r="G167" s="2">
        <v>4151.9127660279419</v>
      </c>
      <c r="H167" s="2">
        <v>4027.3553830471037</v>
      </c>
      <c r="I167" s="2">
        <v>3906.5347215556903</v>
      </c>
      <c r="J167" s="2">
        <v>3789.3386799090194</v>
      </c>
      <c r="K167" s="2">
        <v>3675.6585195117486</v>
      </c>
      <c r="L167" s="2">
        <v>3565.3887639263962</v>
      </c>
      <c r="M167" s="2">
        <v>3458.427101008604</v>
      </c>
      <c r="N167" s="2">
        <v>3354.674287978346</v>
      </c>
      <c r="O167" s="2">
        <v>3254.0340593389956</v>
      </c>
    </row>
    <row r="168" spans="1:15" x14ac:dyDescent="0.25">
      <c r="A168" t="s">
        <v>1567</v>
      </c>
      <c r="B168" t="s">
        <v>1568</v>
      </c>
      <c r="C168" s="2">
        <v>4679.8442240000004</v>
      </c>
      <c r="D168" s="2">
        <v>4539.44889728</v>
      </c>
      <c r="E168" s="2">
        <v>4403.2654303616</v>
      </c>
      <c r="F168" s="2">
        <v>4271.1674674507522</v>
      </c>
      <c r="G168" s="2">
        <v>4143.0324434272297</v>
      </c>
      <c r="H168" s="2">
        <v>4018.7414701244129</v>
      </c>
      <c r="I168" s="2">
        <v>3898.1792260206803</v>
      </c>
      <c r="J168" s="2">
        <v>3781.23384924006</v>
      </c>
      <c r="K168" s="2">
        <v>3667.7968337628581</v>
      </c>
      <c r="L168" s="2">
        <v>3557.7629287499722</v>
      </c>
      <c r="M168" s="2">
        <v>3451.0300408874728</v>
      </c>
      <c r="N168" s="2">
        <v>3347.4991396608484</v>
      </c>
      <c r="O168" s="2">
        <v>3247.0741654710228</v>
      </c>
    </row>
    <row r="169" spans="1:15" x14ac:dyDescent="0.25">
      <c r="A169" t="s">
        <v>1569</v>
      </c>
      <c r="B169" t="s">
        <v>1570</v>
      </c>
      <c r="C169" s="2">
        <v>4673.3026560000008</v>
      </c>
      <c r="D169" s="2">
        <v>4533.1035763200007</v>
      </c>
      <c r="E169" s="2">
        <v>4397.110469030401</v>
      </c>
      <c r="F169" s="2">
        <v>4265.1971549594891</v>
      </c>
      <c r="G169" s="2">
        <v>4137.2412403107046</v>
      </c>
      <c r="H169" s="2">
        <v>4013.1240031013836</v>
      </c>
      <c r="I169" s="2">
        <v>3892.7302830083418</v>
      </c>
      <c r="J169" s="2">
        <v>3775.9483745180914</v>
      </c>
      <c r="K169" s="2">
        <v>3662.6699232825486</v>
      </c>
      <c r="L169" s="2">
        <v>3552.7898255840719</v>
      </c>
      <c r="M169" s="2">
        <v>3446.2061308165498</v>
      </c>
      <c r="N169" s="2">
        <v>3342.8199468920534</v>
      </c>
      <c r="O169" s="2">
        <v>3242.5353484852917</v>
      </c>
    </row>
    <row r="170" spans="1:15" x14ac:dyDescent="0.25">
      <c r="A170" t="s">
        <v>1571</v>
      </c>
      <c r="B170" t="s">
        <v>1572</v>
      </c>
      <c r="C170" s="2">
        <v>4671.7892100000008</v>
      </c>
      <c r="D170" s="2">
        <v>4531.6355337000005</v>
      </c>
      <c r="E170" s="2">
        <v>4395.686467689</v>
      </c>
      <c r="F170" s="2">
        <v>4263.81587365833</v>
      </c>
      <c r="G170" s="2">
        <v>4135.9013974485797</v>
      </c>
      <c r="H170" s="2">
        <v>4011.824355525122</v>
      </c>
      <c r="I170" s="2">
        <v>3891.4696248593682</v>
      </c>
      <c r="J170" s="2">
        <v>3774.7255361135872</v>
      </c>
      <c r="K170" s="2">
        <v>3661.4837700301796</v>
      </c>
      <c r="L170" s="2">
        <v>3551.6392569292743</v>
      </c>
      <c r="M170" s="2">
        <v>3445.0900792213961</v>
      </c>
      <c r="N170" s="2">
        <v>3341.7373768447542</v>
      </c>
      <c r="O170" s="2">
        <v>3241.4852555394114</v>
      </c>
    </row>
    <row r="171" spans="1:15" x14ac:dyDescent="0.25">
      <c r="A171" t="s">
        <v>1573</v>
      </c>
      <c r="B171" t="s">
        <v>1574</v>
      </c>
      <c r="C171" s="2">
        <v>4670.5338240000001</v>
      </c>
      <c r="D171" s="2">
        <v>4530.4178092800003</v>
      </c>
      <c r="E171" s="2">
        <v>4394.5052750016002</v>
      </c>
      <c r="F171" s="2">
        <v>4262.6701167515521</v>
      </c>
      <c r="G171" s="2">
        <v>4134.7900132490058</v>
      </c>
      <c r="H171" s="2">
        <v>4010.7463128515355</v>
      </c>
      <c r="I171" s="2">
        <v>3890.4239234659894</v>
      </c>
      <c r="J171" s="2">
        <v>3773.7112057620097</v>
      </c>
      <c r="K171" s="2">
        <v>3660.4998695891495</v>
      </c>
      <c r="L171" s="2">
        <v>3550.6848735014751</v>
      </c>
      <c r="M171" s="2">
        <v>3444.1643272964307</v>
      </c>
      <c r="N171" s="2">
        <v>3340.8393974775377</v>
      </c>
      <c r="O171" s="2">
        <v>3240.6142155532116</v>
      </c>
    </row>
    <row r="172" spans="1:15" x14ac:dyDescent="0.25">
      <c r="A172" t="s">
        <v>1575</v>
      </c>
      <c r="B172" t="s">
        <v>1560</v>
      </c>
      <c r="C172" s="2">
        <v>4669.9655860000012</v>
      </c>
      <c r="D172" s="2">
        <v>4529.866618420001</v>
      </c>
      <c r="E172" s="2">
        <v>4393.9706198674012</v>
      </c>
      <c r="F172" s="2">
        <v>4262.1515012713789</v>
      </c>
      <c r="G172" s="2">
        <v>4134.2869562332371</v>
      </c>
      <c r="H172" s="2">
        <v>4010.2583475462397</v>
      </c>
      <c r="I172" s="2">
        <v>3889.9505971198523</v>
      </c>
      <c r="J172" s="2">
        <v>3773.2520792062564</v>
      </c>
      <c r="K172" s="2">
        <v>3660.0545168300687</v>
      </c>
      <c r="L172" s="2">
        <v>3550.2528813251665</v>
      </c>
      <c r="M172" s="2">
        <v>3443.7452948854116</v>
      </c>
      <c r="N172" s="2">
        <v>3340.4329360388492</v>
      </c>
      <c r="O172" s="2">
        <v>3240.2199479576839</v>
      </c>
    </row>
    <row r="173" spans="1:15" x14ac:dyDescent="0.25">
      <c r="A173" t="s">
        <v>1576</v>
      </c>
      <c r="B173" t="s">
        <v>1577</v>
      </c>
      <c r="C173" s="2">
        <v>4666.5910720000002</v>
      </c>
      <c r="D173" s="2">
        <v>4526.5933398400002</v>
      </c>
      <c r="E173" s="2">
        <v>4390.7955396447996</v>
      </c>
      <c r="F173" s="2">
        <v>4259.0716734554553</v>
      </c>
      <c r="G173" s="2">
        <v>4131.2995232517915</v>
      </c>
      <c r="H173" s="2">
        <v>4007.3605375542375</v>
      </c>
      <c r="I173" s="2">
        <v>3887.1397214276103</v>
      </c>
      <c r="J173" s="2">
        <v>3770.5255297847821</v>
      </c>
      <c r="K173" s="2">
        <v>3657.4097638912385</v>
      </c>
      <c r="L173" s="2">
        <v>3547.6874709745011</v>
      </c>
      <c r="M173" s="2">
        <v>3441.256846845266</v>
      </c>
      <c r="N173" s="2">
        <v>3338.0191414399078</v>
      </c>
      <c r="O173" s="2">
        <v>3237.8785671967103</v>
      </c>
    </row>
    <row r="174" spans="1:15" x14ac:dyDescent="0.25">
      <c r="A174" t="s">
        <v>1578</v>
      </c>
      <c r="B174" t="s">
        <v>1579</v>
      </c>
      <c r="C174" s="2">
        <v>4664.2796640000006</v>
      </c>
      <c r="D174" s="2">
        <v>4524.3512740800006</v>
      </c>
      <c r="E174" s="2">
        <v>4388.6207358576003</v>
      </c>
      <c r="F174" s="2">
        <v>4256.9621137818722</v>
      </c>
      <c r="G174" s="2">
        <v>4129.253250368416</v>
      </c>
      <c r="H174" s="2">
        <v>4005.3756528573635</v>
      </c>
      <c r="I174" s="2">
        <v>3885.2143832716424</v>
      </c>
      <c r="J174" s="2">
        <v>3768.6579517734931</v>
      </c>
      <c r="K174" s="2">
        <v>3655.598213220288</v>
      </c>
      <c r="L174" s="2">
        <v>3545.9302668236792</v>
      </c>
      <c r="M174" s="2">
        <v>3439.5523588189685</v>
      </c>
      <c r="N174" s="2">
        <v>3336.3657880543992</v>
      </c>
      <c r="O174" s="2">
        <v>3236.2748144127672</v>
      </c>
    </row>
    <row r="175" spans="1:15" x14ac:dyDescent="0.25">
      <c r="A175" t="s">
        <v>1580</v>
      </c>
      <c r="B175" t="s">
        <v>1581</v>
      </c>
      <c r="C175" s="2">
        <v>4660.8388640000003</v>
      </c>
      <c r="D175" s="2">
        <v>4521.0136980799998</v>
      </c>
      <c r="E175" s="2">
        <v>4385.3832871375998</v>
      </c>
      <c r="F175" s="2">
        <v>4253.8217885234717</v>
      </c>
      <c r="G175" s="2">
        <v>4126.2071348677673</v>
      </c>
      <c r="H175" s="2">
        <v>4002.4209208217344</v>
      </c>
      <c r="I175" s="2">
        <v>3882.3482931970821</v>
      </c>
      <c r="J175" s="2">
        <v>3765.8778444011696</v>
      </c>
      <c r="K175" s="2">
        <v>3652.9015090691346</v>
      </c>
      <c r="L175" s="2">
        <v>3543.3144637970604</v>
      </c>
      <c r="M175" s="2">
        <v>3437.0150298831486</v>
      </c>
      <c r="N175" s="2">
        <v>3333.9045789866541</v>
      </c>
      <c r="O175" s="2">
        <v>3233.8874416170543</v>
      </c>
    </row>
    <row r="176" spans="1:15" x14ac:dyDescent="0.25">
      <c r="A176" t="s">
        <v>1582</v>
      </c>
      <c r="B176" t="s">
        <v>1583</v>
      </c>
      <c r="C176" s="2">
        <v>4658.2840700000006</v>
      </c>
      <c r="D176" s="2">
        <v>4518.5355479000009</v>
      </c>
      <c r="E176" s="2">
        <v>4382.9794814630004</v>
      </c>
      <c r="F176" s="2">
        <v>4251.4900970191102</v>
      </c>
      <c r="G176" s="2">
        <v>4123.9453941085367</v>
      </c>
      <c r="H176" s="2">
        <v>4000.2270322852805</v>
      </c>
      <c r="I176" s="2">
        <v>3880.220221316722</v>
      </c>
      <c r="J176" s="2">
        <v>3763.8136146772204</v>
      </c>
      <c r="K176" s="2">
        <v>3650.8992062369039</v>
      </c>
      <c r="L176" s="2">
        <v>3541.3722300497966</v>
      </c>
      <c r="M176" s="2">
        <v>3435.1310631483025</v>
      </c>
      <c r="N176" s="2">
        <v>3332.0771312538532</v>
      </c>
      <c r="O176" s="2">
        <v>3232.1148173162373</v>
      </c>
    </row>
    <row r="177" spans="1:15" x14ac:dyDescent="0.25">
      <c r="A177" t="s">
        <v>1584</v>
      </c>
      <c r="B177" t="s">
        <v>1585</v>
      </c>
      <c r="C177" s="2">
        <v>4654.5361280000006</v>
      </c>
      <c r="D177" s="2">
        <v>4514.9000441600001</v>
      </c>
      <c r="E177" s="2">
        <v>4379.4530428352</v>
      </c>
      <c r="F177" s="2">
        <v>4248.0694515501436</v>
      </c>
      <c r="G177" s="2">
        <v>4120.6273680036393</v>
      </c>
      <c r="H177" s="2">
        <v>3997.0085469635301</v>
      </c>
      <c r="I177" s="2">
        <v>3877.0982905546239</v>
      </c>
      <c r="J177" s="2">
        <v>3760.785341837985</v>
      </c>
      <c r="K177" s="2">
        <v>3647.9617815828456</v>
      </c>
      <c r="L177" s="2">
        <v>3538.52292813536</v>
      </c>
      <c r="M177" s="2">
        <v>3432.3672402912989</v>
      </c>
      <c r="N177" s="2">
        <v>3329.39622308256</v>
      </c>
      <c r="O177" s="2">
        <v>3229.5143363900829</v>
      </c>
    </row>
    <row r="178" spans="1:15" x14ac:dyDescent="0.25">
      <c r="A178" t="s">
        <v>1586</v>
      </c>
      <c r="B178" t="s">
        <v>1587</v>
      </c>
      <c r="C178" s="2">
        <v>4638.671510000001</v>
      </c>
      <c r="D178" s="2">
        <v>4499.5113647000007</v>
      </c>
      <c r="E178" s="2">
        <v>4364.526023759001</v>
      </c>
      <c r="F178" s="2">
        <v>4233.5902430462311</v>
      </c>
      <c r="G178" s="2">
        <v>4106.5825357548438</v>
      </c>
      <c r="H178" s="2">
        <v>3983.3850596821985</v>
      </c>
      <c r="I178" s="2">
        <v>3863.8835078917323</v>
      </c>
      <c r="J178" s="2">
        <v>3747.9670026549802</v>
      </c>
      <c r="K178" s="2">
        <v>3635.5279925753307</v>
      </c>
      <c r="L178" s="2">
        <v>3526.4621527980707</v>
      </c>
      <c r="M178" s="2">
        <v>3420.6682882141286</v>
      </c>
      <c r="N178" s="2">
        <v>3318.0482395677045</v>
      </c>
      <c r="O178" s="2">
        <v>3218.5067923806732</v>
      </c>
    </row>
    <row r="179" spans="1:15" x14ac:dyDescent="0.25">
      <c r="A179" t="s">
        <v>1588</v>
      </c>
      <c r="B179" t="s">
        <v>1589</v>
      </c>
      <c r="C179" s="2">
        <v>4634.2313600000016</v>
      </c>
      <c r="D179" s="2">
        <v>4495.2044192000012</v>
      </c>
      <c r="E179" s="2">
        <v>4360.348286624001</v>
      </c>
      <c r="F179" s="2">
        <v>4229.5378380252805</v>
      </c>
      <c r="G179" s="2">
        <v>4102.6517028845219</v>
      </c>
      <c r="H179" s="2">
        <v>3979.572151797986</v>
      </c>
      <c r="I179" s="2">
        <v>3860.1849872440462</v>
      </c>
      <c r="J179" s="2">
        <v>3744.3794376267247</v>
      </c>
      <c r="K179" s="2">
        <v>3632.0480544979227</v>
      </c>
      <c r="L179" s="2">
        <v>3523.086612862985</v>
      </c>
      <c r="M179" s="2">
        <v>3417.3940144770954</v>
      </c>
      <c r="N179" s="2">
        <v>3314.8721940427827</v>
      </c>
      <c r="O179" s="2">
        <v>3215.4260282214991</v>
      </c>
    </row>
    <row r="180" spans="1:15" x14ac:dyDescent="0.25">
      <c r="A180" t="s">
        <v>1590</v>
      </c>
      <c r="B180" t="s">
        <v>1591</v>
      </c>
      <c r="C180" s="2">
        <v>4626.6939840000014</v>
      </c>
      <c r="D180" s="2">
        <v>4487.8931644800014</v>
      </c>
      <c r="E180" s="2">
        <v>4353.256369545601</v>
      </c>
      <c r="F180" s="2">
        <v>4222.6586784592328</v>
      </c>
      <c r="G180" s="2">
        <v>4095.9789181054557</v>
      </c>
      <c r="H180" s="2">
        <v>3973.0995505622918</v>
      </c>
      <c r="I180" s="2">
        <v>3853.9065640454228</v>
      </c>
      <c r="J180" s="2">
        <v>3738.2893671240599</v>
      </c>
      <c r="K180" s="2">
        <v>3626.1406861103383</v>
      </c>
      <c r="L180" s="2">
        <v>3517.3564655270279</v>
      </c>
      <c r="M180" s="2">
        <v>3411.8357715612169</v>
      </c>
      <c r="N180" s="2">
        <v>3309.4806984143802</v>
      </c>
      <c r="O180" s="2">
        <v>3210.1962774619487</v>
      </c>
    </row>
    <row r="181" spans="1:15" x14ac:dyDescent="0.25">
      <c r="A181" t="s">
        <v>1592</v>
      </c>
      <c r="B181" t="s">
        <v>1593</v>
      </c>
      <c r="C181" s="2">
        <v>4607.3172200000008</v>
      </c>
      <c r="D181" s="2">
        <v>4469.0977034000007</v>
      </c>
      <c r="E181" s="2">
        <v>4335.0247722980002</v>
      </c>
      <c r="F181" s="2">
        <v>4204.97402912906</v>
      </c>
      <c r="G181" s="2">
        <v>4078.8248082551881</v>
      </c>
      <c r="H181" s="2">
        <v>3956.4600640075323</v>
      </c>
      <c r="I181" s="2">
        <v>3837.7662620873061</v>
      </c>
      <c r="J181" s="2">
        <v>3722.6332742246868</v>
      </c>
      <c r="K181" s="2">
        <v>3610.9542759979463</v>
      </c>
      <c r="L181" s="2">
        <v>3502.6256477180077</v>
      </c>
      <c r="M181" s="2">
        <v>3397.5468782864673</v>
      </c>
      <c r="N181" s="2">
        <v>3295.6204719378734</v>
      </c>
      <c r="O181" s="2">
        <v>3196.7518577797373</v>
      </c>
    </row>
    <row r="182" spans="1:15" x14ac:dyDescent="0.25">
      <c r="A182" t="s">
        <v>1594</v>
      </c>
      <c r="B182" t="s">
        <v>1595</v>
      </c>
      <c r="C182" s="2">
        <v>4601.1753920000019</v>
      </c>
      <c r="D182" s="2">
        <v>4463.1401302400018</v>
      </c>
      <c r="E182" s="2">
        <v>4329.2459263328019</v>
      </c>
      <c r="F182" s="2">
        <v>4199.3685485428177</v>
      </c>
      <c r="G182" s="2">
        <v>4073.3874920865333</v>
      </c>
      <c r="H182" s="2">
        <v>3951.1858673239371</v>
      </c>
      <c r="I182" s="2">
        <v>3832.6502913042191</v>
      </c>
      <c r="J182" s="2">
        <v>3717.6707825650924</v>
      </c>
      <c r="K182" s="2">
        <v>3606.1406590881397</v>
      </c>
      <c r="L182" s="2">
        <v>3497.9564393154956</v>
      </c>
      <c r="M182" s="2">
        <v>3393.0177461360308</v>
      </c>
      <c r="N182" s="2">
        <v>3291.2272137519499</v>
      </c>
      <c r="O182" s="2">
        <v>3192.4903973393912</v>
      </c>
    </row>
    <row r="183" spans="1:15" x14ac:dyDescent="0.25">
      <c r="A183" t="s">
        <v>1596</v>
      </c>
      <c r="B183" t="s">
        <v>1597</v>
      </c>
      <c r="C183" s="2">
        <v>4600.1552960000008</v>
      </c>
      <c r="D183" s="2">
        <v>4462.1506371200003</v>
      </c>
      <c r="E183" s="2">
        <v>4328.2861180064001</v>
      </c>
      <c r="F183" s="2">
        <v>4198.4375344662076</v>
      </c>
      <c r="G183" s="2">
        <v>4072.4844084322212</v>
      </c>
      <c r="H183" s="2">
        <v>3950.3098761792544</v>
      </c>
      <c r="I183" s="2">
        <v>3831.8005798938766</v>
      </c>
      <c r="J183" s="2">
        <v>3716.8465624970604</v>
      </c>
      <c r="K183" s="2">
        <v>3605.3411656221483</v>
      </c>
      <c r="L183" s="2">
        <v>3497.1809306534838</v>
      </c>
      <c r="M183" s="2">
        <v>3392.2655027338792</v>
      </c>
      <c r="N183" s="2">
        <v>3290.4975376518628</v>
      </c>
      <c r="O183" s="2">
        <v>3191.782611522307</v>
      </c>
    </row>
    <row r="184" spans="1:15" x14ac:dyDescent="0.25">
      <c r="A184" t="s">
        <v>1598</v>
      </c>
      <c r="B184" t="s">
        <v>1599</v>
      </c>
      <c r="C184" s="2">
        <v>4596.0055899999998</v>
      </c>
      <c r="D184" s="2">
        <v>4458.1254222999996</v>
      </c>
      <c r="E184" s="2">
        <v>4324.3816596309998</v>
      </c>
      <c r="F184" s="2">
        <v>4194.6502098420697</v>
      </c>
      <c r="G184" s="2">
        <v>4068.8107035468074</v>
      </c>
      <c r="H184" s="2">
        <v>3946.7463824404031</v>
      </c>
      <c r="I184" s="2">
        <v>3828.3439909671911</v>
      </c>
      <c r="J184" s="2">
        <v>3713.4936712381755</v>
      </c>
      <c r="K184" s="2">
        <v>3602.08886110103</v>
      </c>
      <c r="L184" s="2">
        <v>3494.0261952679989</v>
      </c>
      <c r="M184" s="2">
        <v>3389.205409409959</v>
      </c>
      <c r="N184" s="2">
        <v>3287.5292471276603</v>
      </c>
      <c r="O184" s="2">
        <v>3188.9033697138302</v>
      </c>
    </row>
    <row r="185" spans="1:15" x14ac:dyDescent="0.25">
      <c r="A185" t="s">
        <v>1600</v>
      </c>
      <c r="B185" t="s">
        <v>1601</v>
      </c>
      <c r="C185" s="2">
        <v>4593.038912</v>
      </c>
      <c r="D185" s="2">
        <v>4455.2477446399998</v>
      </c>
      <c r="E185" s="2">
        <v>4321.5903123007993</v>
      </c>
      <c r="F185" s="2">
        <v>4191.9426029317756</v>
      </c>
      <c r="G185" s="2">
        <v>4066.1843248438222</v>
      </c>
      <c r="H185" s="2">
        <v>3944.1987950985076</v>
      </c>
      <c r="I185" s="2">
        <v>3825.8728312455523</v>
      </c>
      <c r="J185" s="2">
        <v>3711.0966463081859</v>
      </c>
      <c r="K185" s="2">
        <v>3599.7637469189403</v>
      </c>
      <c r="L185" s="2">
        <v>3491.770834511372</v>
      </c>
      <c r="M185" s="2">
        <v>3387.0177094760306</v>
      </c>
      <c r="N185" s="2">
        <v>3285.4071781917496</v>
      </c>
      <c r="O185" s="2">
        <v>3186.8449628459971</v>
      </c>
    </row>
    <row r="186" spans="1:15" x14ac:dyDescent="0.25">
      <c r="A186" t="s">
        <v>1602</v>
      </c>
      <c r="B186" t="s">
        <v>1603</v>
      </c>
      <c r="C186" s="2">
        <v>4593.038912</v>
      </c>
      <c r="D186" s="2">
        <v>4455.2477446399998</v>
      </c>
      <c r="E186" s="2">
        <v>4321.5903123007993</v>
      </c>
      <c r="F186" s="2">
        <v>4191.9426029317756</v>
      </c>
      <c r="G186" s="2">
        <v>4066.1843248438222</v>
      </c>
      <c r="H186" s="2">
        <v>3944.1987950985076</v>
      </c>
      <c r="I186" s="2">
        <v>3825.8728312455523</v>
      </c>
      <c r="J186" s="2">
        <v>3711.0966463081859</v>
      </c>
      <c r="K186" s="2">
        <v>3599.7637469189403</v>
      </c>
      <c r="L186" s="2">
        <v>3491.770834511372</v>
      </c>
      <c r="M186" s="2">
        <v>3387.0177094760306</v>
      </c>
      <c r="N186" s="2">
        <v>3285.4071781917496</v>
      </c>
      <c r="O186" s="2">
        <v>3186.8449628459971</v>
      </c>
    </row>
    <row r="187" spans="1:15" x14ac:dyDescent="0.25">
      <c r="A187" t="s">
        <v>1604</v>
      </c>
      <c r="B187" t="s">
        <v>1605</v>
      </c>
      <c r="C187" s="2">
        <v>4593.038912</v>
      </c>
      <c r="D187" s="2">
        <v>4455.2477446399998</v>
      </c>
      <c r="E187" s="2">
        <v>4321.5903123007993</v>
      </c>
      <c r="F187" s="2">
        <v>4191.9426029317756</v>
      </c>
      <c r="G187" s="2">
        <v>4066.1843248438222</v>
      </c>
      <c r="H187" s="2">
        <v>3944.1987950985076</v>
      </c>
      <c r="I187" s="2">
        <v>3825.8728312455523</v>
      </c>
      <c r="J187" s="2">
        <v>3711.0966463081859</v>
      </c>
      <c r="K187" s="2">
        <v>3599.7637469189403</v>
      </c>
      <c r="L187" s="2">
        <v>3491.770834511372</v>
      </c>
      <c r="M187" s="2">
        <v>3387.0177094760306</v>
      </c>
      <c r="N187" s="2">
        <v>3285.4071781917496</v>
      </c>
      <c r="O187" s="2">
        <v>3186.8449628459971</v>
      </c>
    </row>
    <row r="188" spans="1:15" x14ac:dyDescent="0.25">
      <c r="A188" t="s">
        <v>1606</v>
      </c>
      <c r="B188" t="s">
        <v>1607</v>
      </c>
      <c r="C188" s="2">
        <v>4589.4766719999998</v>
      </c>
      <c r="D188" s="2">
        <v>4451.7923718399998</v>
      </c>
      <c r="E188" s="2">
        <v>4318.2386006848001</v>
      </c>
      <c r="F188" s="2">
        <v>4188.6914426642561</v>
      </c>
      <c r="G188" s="2">
        <v>4063.0306993843283</v>
      </c>
      <c r="H188" s="2">
        <v>3941.1397784027981</v>
      </c>
      <c r="I188" s="2">
        <v>3822.9055850507139</v>
      </c>
      <c r="J188" s="2">
        <v>3708.2184174991921</v>
      </c>
      <c r="K188" s="2">
        <v>3596.9718649742163</v>
      </c>
      <c r="L188" s="2">
        <v>3489.0627090249895</v>
      </c>
      <c r="M188" s="2">
        <v>3384.3908277542396</v>
      </c>
      <c r="N188" s="2">
        <v>3282.8591029216122</v>
      </c>
      <c r="O188" s="2">
        <v>3184.3733298339639</v>
      </c>
    </row>
    <row r="189" spans="1:15" x14ac:dyDescent="0.25">
      <c r="A189" t="s">
        <v>1608</v>
      </c>
      <c r="B189" t="s">
        <v>1609</v>
      </c>
      <c r="C189" s="2">
        <v>4589.4766719999998</v>
      </c>
      <c r="D189" s="2">
        <v>4451.7923718399998</v>
      </c>
      <c r="E189" s="2">
        <v>4318.2386006848001</v>
      </c>
      <c r="F189" s="2">
        <v>4188.6914426642561</v>
      </c>
      <c r="G189" s="2">
        <v>4063.0306993843283</v>
      </c>
      <c r="H189" s="2">
        <v>3941.1397784027981</v>
      </c>
      <c r="I189" s="2">
        <v>3822.9055850507139</v>
      </c>
      <c r="J189" s="2">
        <v>3708.2184174991921</v>
      </c>
      <c r="K189" s="2">
        <v>3596.9718649742163</v>
      </c>
      <c r="L189" s="2">
        <v>3489.0627090249895</v>
      </c>
      <c r="M189" s="2">
        <v>3384.3908277542396</v>
      </c>
      <c r="N189" s="2">
        <v>3282.8591029216122</v>
      </c>
      <c r="O189" s="2">
        <v>3184.3733298339639</v>
      </c>
    </row>
    <row r="190" spans="1:15" x14ac:dyDescent="0.25">
      <c r="A190" t="s">
        <v>1610</v>
      </c>
      <c r="B190" t="s">
        <v>1611</v>
      </c>
      <c r="C190" s="2">
        <v>4589.4766719999998</v>
      </c>
      <c r="D190" s="2">
        <v>4451.7923718399998</v>
      </c>
      <c r="E190" s="2">
        <v>4318.2386006848001</v>
      </c>
      <c r="F190" s="2">
        <v>4188.6914426642561</v>
      </c>
      <c r="G190" s="2">
        <v>4063.0306993843283</v>
      </c>
      <c r="H190" s="2">
        <v>3941.1397784027981</v>
      </c>
      <c r="I190" s="2">
        <v>3822.9055850507139</v>
      </c>
      <c r="J190" s="2">
        <v>3708.2184174991921</v>
      </c>
      <c r="K190" s="2">
        <v>3596.9718649742163</v>
      </c>
      <c r="L190" s="2">
        <v>3489.0627090249895</v>
      </c>
      <c r="M190" s="2">
        <v>3384.3908277542396</v>
      </c>
      <c r="N190" s="2">
        <v>3282.8591029216122</v>
      </c>
      <c r="O190" s="2">
        <v>3184.3733298339639</v>
      </c>
    </row>
    <row r="191" spans="1:15" x14ac:dyDescent="0.25">
      <c r="A191" t="s">
        <v>1612</v>
      </c>
      <c r="B191" t="s">
        <v>1613</v>
      </c>
      <c r="C191" s="2">
        <v>4589.4766719999998</v>
      </c>
      <c r="D191" s="2">
        <v>4451.7923718399998</v>
      </c>
      <c r="E191" s="2">
        <v>4318.2386006848001</v>
      </c>
      <c r="F191" s="2">
        <v>4188.6914426642561</v>
      </c>
      <c r="G191" s="2">
        <v>4063.0306993843283</v>
      </c>
      <c r="H191" s="2">
        <v>3941.1397784027981</v>
      </c>
      <c r="I191" s="2">
        <v>3822.9055850507139</v>
      </c>
      <c r="J191" s="2">
        <v>3708.2184174991921</v>
      </c>
      <c r="K191" s="2">
        <v>3596.9718649742163</v>
      </c>
      <c r="L191" s="2">
        <v>3489.0627090249895</v>
      </c>
      <c r="M191" s="2">
        <v>3384.3908277542396</v>
      </c>
      <c r="N191" s="2">
        <v>3282.8591029216122</v>
      </c>
      <c r="O191" s="2">
        <v>3184.3733298339639</v>
      </c>
    </row>
    <row r="192" spans="1:15" x14ac:dyDescent="0.25">
      <c r="A192" t="s">
        <v>1614</v>
      </c>
      <c r="B192" t="s">
        <v>1615</v>
      </c>
      <c r="C192" s="2">
        <v>4589.1933120000012</v>
      </c>
      <c r="D192" s="2">
        <v>4451.5175126400009</v>
      </c>
      <c r="E192" s="2">
        <v>4317.9719872608011</v>
      </c>
      <c r="F192" s="2">
        <v>4188.4328276429769</v>
      </c>
      <c r="G192" s="2">
        <v>4062.7798428136875</v>
      </c>
      <c r="H192" s="2">
        <v>3940.8964475292769</v>
      </c>
      <c r="I192" s="2">
        <v>3822.6695541033987</v>
      </c>
      <c r="J192" s="2">
        <v>3707.9894674802968</v>
      </c>
      <c r="K192" s="2">
        <v>3596.7497834558876</v>
      </c>
      <c r="L192" s="2">
        <v>3488.8472899522108</v>
      </c>
      <c r="M192" s="2">
        <v>3384.1818712536442</v>
      </c>
      <c r="N192" s="2">
        <v>3282.6564151160346</v>
      </c>
      <c r="O192" s="2">
        <v>3184.1767226625534</v>
      </c>
    </row>
    <row r="193" spans="1:15" x14ac:dyDescent="0.25">
      <c r="A193" t="s">
        <v>1616</v>
      </c>
      <c r="B193" t="s">
        <v>1617</v>
      </c>
      <c r="C193" s="2">
        <v>4586.1821060000002</v>
      </c>
      <c r="D193" s="2">
        <v>4448.5966428199999</v>
      </c>
      <c r="E193" s="2">
        <v>4315.1387435354</v>
      </c>
      <c r="F193" s="2">
        <v>4185.6845812293377</v>
      </c>
      <c r="G193" s="2">
        <v>4060.1140437924573</v>
      </c>
      <c r="H193" s="2">
        <v>3938.3106224786834</v>
      </c>
      <c r="I193" s="2">
        <v>3820.1613038043229</v>
      </c>
      <c r="J193" s="2">
        <v>3705.556464690193</v>
      </c>
      <c r="K193" s="2">
        <v>3594.3897707494871</v>
      </c>
      <c r="L193" s="2">
        <v>3486.5580776270021</v>
      </c>
      <c r="M193" s="2">
        <v>3381.9613352981919</v>
      </c>
      <c r="N193" s="2">
        <v>3280.5024952392459</v>
      </c>
      <c r="O193" s="2">
        <v>3182.0874203820686</v>
      </c>
    </row>
    <row r="194" spans="1:15" x14ac:dyDescent="0.25">
      <c r="A194" t="s">
        <v>1618</v>
      </c>
      <c r="B194" t="s">
        <v>1619</v>
      </c>
      <c r="C194" s="2">
        <v>4583.1111920000003</v>
      </c>
      <c r="D194" s="2">
        <v>4445.61785624</v>
      </c>
      <c r="E194" s="2">
        <v>4312.2493205527999</v>
      </c>
      <c r="F194" s="2">
        <v>4182.8818409362157</v>
      </c>
      <c r="G194" s="2">
        <v>4057.3953857081292</v>
      </c>
      <c r="H194" s="2">
        <v>3935.6735241368851</v>
      </c>
      <c r="I194" s="2">
        <v>3817.6033184127787</v>
      </c>
      <c r="J194" s="2">
        <v>3703.0752188603951</v>
      </c>
      <c r="K194" s="2">
        <v>3591.9829622945831</v>
      </c>
      <c r="L194" s="2">
        <v>3484.2234734257454</v>
      </c>
      <c r="M194" s="2">
        <v>3379.6967692229728</v>
      </c>
      <c r="N194" s="2">
        <v>3278.3058661462833</v>
      </c>
      <c r="O194" s="2">
        <v>3179.9566901618946</v>
      </c>
    </row>
    <row r="195" spans="1:15" x14ac:dyDescent="0.25">
      <c r="A195" t="s">
        <v>1620</v>
      </c>
      <c r="B195" t="s">
        <v>1621</v>
      </c>
      <c r="C195" s="2">
        <v>4562.9946559999998</v>
      </c>
      <c r="D195" s="2">
        <v>4426.1048163199994</v>
      </c>
      <c r="E195" s="2">
        <v>4293.3216718303993</v>
      </c>
      <c r="F195" s="2">
        <v>4164.5220216754869</v>
      </c>
      <c r="G195" s="2">
        <v>4039.5863610252222</v>
      </c>
      <c r="H195" s="2">
        <v>3918.3987701944657</v>
      </c>
      <c r="I195" s="2">
        <v>3800.8468070886315</v>
      </c>
      <c r="J195" s="2">
        <v>3686.8214028759726</v>
      </c>
      <c r="K195" s="2">
        <v>3576.2167607896931</v>
      </c>
      <c r="L195" s="2">
        <v>3468.930257966002</v>
      </c>
      <c r="M195" s="2">
        <v>3364.862350227022</v>
      </c>
      <c r="N195" s="2">
        <v>3263.9164797202111</v>
      </c>
      <c r="O195" s="2">
        <v>3165.9989853286047</v>
      </c>
    </row>
    <row r="196" spans="1:15" x14ac:dyDescent="0.25">
      <c r="A196" t="s">
        <v>1622</v>
      </c>
      <c r="B196" t="s">
        <v>1623</v>
      </c>
      <c r="C196" s="2">
        <v>4560.8234100000009</v>
      </c>
      <c r="D196" s="2">
        <v>4423.9987077000005</v>
      </c>
      <c r="E196" s="2">
        <v>4291.278746469</v>
      </c>
      <c r="F196" s="2">
        <v>4162.5403840749295</v>
      </c>
      <c r="G196" s="2">
        <v>4037.6641725526815</v>
      </c>
      <c r="H196" s="2">
        <v>3916.5342473761011</v>
      </c>
      <c r="I196" s="2">
        <v>3799.038219954818</v>
      </c>
      <c r="J196" s="2">
        <v>3685.0670733561733</v>
      </c>
      <c r="K196" s="2">
        <v>3574.5150611554882</v>
      </c>
      <c r="L196" s="2">
        <v>3467.2796093208235</v>
      </c>
      <c r="M196" s="2">
        <v>3363.2612210411985</v>
      </c>
      <c r="N196" s="2">
        <v>3262.3633844099622</v>
      </c>
      <c r="O196" s="2">
        <v>3164.4924828776634</v>
      </c>
    </row>
    <row r="197" spans="1:15" x14ac:dyDescent="0.25">
      <c r="A197" t="s">
        <v>1624</v>
      </c>
      <c r="B197" t="s">
        <v>1625</v>
      </c>
      <c r="C197" s="2">
        <v>4551.7088320000003</v>
      </c>
      <c r="D197" s="2">
        <v>4415.1575670399998</v>
      </c>
      <c r="E197" s="2">
        <v>4282.7028400288</v>
      </c>
      <c r="F197" s="2">
        <v>4154.2217548279359</v>
      </c>
      <c r="G197" s="2">
        <v>4029.5951021830979</v>
      </c>
      <c r="H197" s="2">
        <v>3908.707249117605</v>
      </c>
      <c r="I197" s="2">
        <v>3791.4460316440768</v>
      </c>
      <c r="J197" s="2">
        <v>3677.7026506947545</v>
      </c>
      <c r="K197" s="2">
        <v>3567.3715711739119</v>
      </c>
      <c r="L197" s="2">
        <v>3460.3504240386947</v>
      </c>
      <c r="M197" s="2">
        <v>3356.5399113175336</v>
      </c>
      <c r="N197" s="2">
        <v>3255.8437139780076</v>
      </c>
      <c r="O197" s="2">
        <v>3158.1684025586674</v>
      </c>
    </row>
    <row r="198" spans="1:15" x14ac:dyDescent="0.25">
      <c r="A198" t="s">
        <v>1626</v>
      </c>
      <c r="B198" t="s">
        <v>1627</v>
      </c>
      <c r="C198" s="2">
        <v>4551.5954880000008</v>
      </c>
      <c r="D198" s="2">
        <v>4415.0476233600011</v>
      </c>
      <c r="E198" s="2">
        <v>4282.5961946592006</v>
      </c>
      <c r="F198" s="2">
        <v>4154.1183088194248</v>
      </c>
      <c r="G198" s="2">
        <v>4029.4947595548419</v>
      </c>
      <c r="H198" s="2">
        <v>3908.6099167681964</v>
      </c>
      <c r="I198" s="2">
        <v>3791.3516192651505</v>
      </c>
      <c r="J198" s="2">
        <v>3677.6110706871959</v>
      </c>
      <c r="K198" s="2">
        <v>3567.2827385665801</v>
      </c>
      <c r="L198" s="2">
        <v>3460.2642564095827</v>
      </c>
      <c r="M198" s="2">
        <v>3356.456328717295</v>
      </c>
      <c r="N198" s="2">
        <v>3255.762638855776</v>
      </c>
      <c r="O198" s="2">
        <v>3158.0897596901027</v>
      </c>
    </row>
    <row r="199" spans="1:15" x14ac:dyDescent="0.25">
      <c r="A199" t="s">
        <v>1628</v>
      </c>
      <c r="B199" t="s">
        <v>1629</v>
      </c>
      <c r="C199" s="2">
        <v>4546.7935480000006</v>
      </c>
      <c r="D199" s="2">
        <v>4410.3897415600004</v>
      </c>
      <c r="E199" s="2">
        <v>4278.0780493132006</v>
      </c>
      <c r="F199" s="2">
        <v>4149.7357078338046</v>
      </c>
      <c r="G199" s="2">
        <v>4025.2436365987901</v>
      </c>
      <c r="H199" s="2">
        <v>3904.4863275008261</v>
      </c>
      <c r="I199" s="2">
        <v>3787.3517376758014</v>
      </c>
      <c r="J199" s="2">
        <v>3673.7311855455273</v>
      </c>
      <c r="K199" s="2">
        <v>3563.5192499791615</v>
      </c>
      <c r="L199" s="2">
        <v>3456.6136724797866</v>
      </c>
      <c r="M199" s="2">
        <v>3352.9152623053928</v>
      </c>
      <c r="N199" s="2">
        <v>3252.327804436231</v>
      </c>
      <c r="O199" s="2">
        <v>3154.7579703031438</v>
      </c>
    </row>
    <row r="200" spans="1:15" x14ac:dyDescent="0.25">
      <c r="A200" t="s">
        <v>1630</v>
      </c>
      <c r="B200" t="s">
        <v>1631</v>
      </c>
      <c r="C200" s="2">
        <v>4529.6148480000011</v>
      </c>
      <c r="D200" s="2">
        <v>4393.7264025600007</v>
      </c>
      <c r="E200" s="2">
        <v>4261.9146104832007</v>
      </c>
      <c r="F200" s="2">
        <v>4134.0571721687047</v>
      </c>
      <c r="G200" s="2">
        <v>4010.0354570036434</v>
      </c>
      <c r="H200" s="2">
        <v>3889.7343932935341</v>
      </c>
      <c r="I200" s="2">
        <v>3773.0423614947281</v>
      </c>
      <c r="J200" s="2">
        <v>3659.8510906498859</v>
      </c>
      <c r="K200" s="2">
        <v>3550.0555579303891</v>
      </c>
      <c r="L200" s="2">
        <v>3443.5538911924773</v>
      </c>
      <c r="M200" s="2">
        <v>3340.2472744567031</v>
      </c>
      <c r="N200" s="2">
        <v>3240.0398562230021</v>
      </c>
      <c r="O200" s="2">
        <v>3142.8386605363121</v>
      </c>
    </row>
    <row r="201" spans="1:15" x14ac:dyDescent="0.25">
      <c r="A201" t="s">
        <v>1632</v>
      </c>
      <c r="B201" t="s">
        <v>1633</v>
      </c>
      <c r="C201" s="2">
        <v>4524.8670499999998</v>
      </c>
      <c r="D201" s="2">
        <v>4389.1210384999995</v>
      </c>
      <c r="E201" s="2">
        <v>4257.4474073449992</v>
      </c>
      <c r="F201" s="2">
        <v>4129.7239851246495</v>
      </c>
      <c r="G201" s="2">
        <v>4005.8322655709098</v>
      </c>
      <c r="H201" s="2">
        <v>3885.6572976037824</v>
      </c>
      <c r="I201" s="2">
        <v>3769.0875786756687</v>
      </c>
      <c r="J201" s="2">
        <v>3656.0149513153988</v>
      </c>
      <c r="K201" s="2">
        <v>3546.3345027759369</v>
      </c>
      <c r="L201" s="2">
        <v>3439.9444676926587</v>
      </c>
      <c r="M201" s="2">
        <v>3336.746133661879</v>
      </c>
      <c r="N201" s="2">
        <v>3236.6437496520225</v>
      </c>
      <c r="O201" s="2">
        <v>3139.5444371624617</v>
      </c>
    </row>
    <row r="202" spans="1:15" x14ac:dyDescent="0.25">
      <c r="A202" t="s">
        <v>1634</v>
      </c>
      <c r="B202" t="s">
        <v>1635</v>
      </c>
      <c r="C202" s="2">
        <v>4502.9319500000001</v>
      </c>
      <c r="D202" s="2">
        <v>4367.8439914999999</v>
      </c>
      <c r="E202" s="2">
        <v>4236.8086717549995</v>
      </c>
      <c r="F202" s="2">
        <v>4109.7044116023499</v>
      </c>
      <c r="G202" s="2">
        <v>3986.4132792542791</v>
      </c>
      <c r="H202" s="2">
        <v>3866.8208808766508</v>
      </c>
      <c r="I202" s="2">
        <v>3750.8162544503512</v>
      </c>
      <c r="J202" s="2">
        <v>3638.2917668168407</v>
      </c>
      <c r="K202" s="2">
        <v>3529.1430138123355</v>
      </c>
      <c r="L202" s="2">
        <v>3423.2687233979655</v>
      </c>
      <c r="M202" s="2">
        <v>3320.5706616960265</v>
      </c>
      <c r="N202" s="2">
        <v>3220.9535418451455</v>
      </c>
      <c r="O202" s="2">
        <v>3124.324935589791</v>
      </c>
    </row>
    <row r="203" spans="1:15" x14ac:dyDescent="0.25">
      <c r="A203" t="s">
        <v>1636</v>
      </c>
      <c r="B203" t="s">
        <v>1637</v>
      </c>
      <c r="C203" s="2">
        <v>4500.2653299999993</v>
      </c>
      <c r="D203" s="2">
        <v>4365.2573700999992</v>
      </c>
      <c r="E203" s="2">
        <v>4234.2996489969992</v>
      </c>
      <c r="F203" s="2">
        <v>4107.2706595270893</v>
      </c>
      <c r="G203" s="2">
        <v>3984.0525397412766</v>
      </c>
      <c r="H203" s="2">
        <v>3864.530963549038</v>
      </c>
      <c r="I203" s="2">
        <v>3748.5950346425666</v>
      </c>
      <c r="J203" s="2">
        <v>3636.1371836032895</v>
      </c>
      <c r="K203" s="2">
        <v>3527.0530680951906</v>
      </c>
      <c r="L203" s="2">
        <v>3421.2414760523347</v>
      </c>
      <c r="M203" s="2">
        <v>3318.6042317707647</v>
      </c>
      <c r="N203" s="2">
        <v>3219.0461048176417</v>
      </c>
      <c r="O203" s="2">
        <v>3122.4747216731125</v>
      </c>
    </row>
    <row r="204" spans="1:15" x14ac:dyDescent="0.25">
      <c r="A204" t="s">
        <v>1638</v>
      </c>
      <c r="B204" t="s">
        <v>1639</v>
      </c>
      <c r="C204" s="2">
        <v>4498.6051440000001</v>
      </c>
      <c r="D204" s="2">
        <v>4363.6469896799999</v>
      </c>
      <c r="E204" s="2">
        <v>4232.7375799895999</v>
      </c>
      <c r="F204" s="2">
        <v>4105.7554525899122</v>
      </c>
      <c r="G204" s="2">
        <v>3982.5827890122146</v>
      </c>
      <c r="H204" s="2">
        <v>3863.1053053418482</v>
      </c>
      <c r="I204" s="2">
        <v>3747.2121461815927</v>
      </c>
      <c r="J204" s="2">
        <v>3634.7957817961446</v>
      </c>
      <c r="K204" s="2">
        <v>3525.7519083422603</v>
      </c>
      <c r="L204" s="2">
        <v>3419.9793510919926</v>
      </c>
      <c r="M204" s="2">
        <v>3317.3799705592328</v>
      </c>
      <c r="N204" s="2">
        <v>3217.8585714424557</v>
      </c>
      <c r="O204" s="2">
        <v>3121.322814299182</v>
      </c>
    </row>
    <row r="205" spans="1:15" x14ac:dyDescent="0.25">
      <c r="A205" t="s">
        <v>1640</v>
      </c>
      <c r="B205" t="s">
        <v>1641</v>
      </c>
      <c r="C205" s="2">
        <v>4477.7923520000004</v>
      </c>
      <c r="D205" s="2">
        <v>4343.4585814400007</v>
      </c>
      <c r="E205" s="2">
        <v>4213.1548239968006</v>
      </c>
      <c r="F205" s="2">
        <v>4086.7601792768965</v>
      </c>
      <c r="G205" s="2">
        <v>3964.1573738985894</v>
      </c>
      <c r="H205" s="2">
        <v>3845.2326526816314</v>
      </c>
      <c r="I205" s="2">
        <v>3729.8756731011822</v>
      </c>
      <c r="J205" s="2">
        <v>3617.9794029081468</v>
      </c>
      <c r="K205" s="2">
        <v>3509.4400208209022</v>
      </c>
      <c r="L205" s="2">
        <v>3404.156820196275</v>
      </c>
      <c r="M205" s="2">
        <v>3302.0321155903866</v>
      </c>
      <c r="N205" s="2">
        <v>3202.971152122675</v>
      </c>
      <c r="O205" s="2">
        <v>3106.8820175589944</v>
      </c>
    </row>
    <row r="206" spans="1:15" x14ac:dyDescent="0.25">
      <c r="A206" t="s">
        <v>1642</v>
      </c>
      <c r="B206" t="s">
        <v>1643</v>
      </c>
      <c r="C206" s="2">
        <v>4477.3065920000008</v>
      </c>
      <c r="D206" s="2">
        <v>4342.9873942400009</v>
      </c>
      <c r="E206" s="2">
        <v>4212.697772412801</v>
      </c>
      <c r="F206" s="2">
        <v>4086.3168392404168</v>
      </c>
      <c r="G206" s="2">
        <v>3963.7273340632041</v>
      </c>
      <c r="H206" s="2">
        <v>3844.8155140413078</v>
      </c>
      <c r="I206" s="2">
        <v>3729.4710486200684</v>
      </c>
      <c r="J206" s="2">
        <v>3617.5869171614663</v>
      </c>
      <c r="K206" s="2">
        <v>3509.0593096466223</v>
      </c>
      <c r="L206" s="2">
        <v>3403.7875303572237</v>
      </c>
      <c r="M206" s="2">
        <v>3301.6739044465066</v>
      </c>
      <c r="N206" s="2">
        <v>3202.6236873131115</v>
      </c>
      <c r="O206" s="2">
        <v>3106.5449766937181</v>
      </c>
    </row>
    <row r="207" spans="1:15" x14ac:dyDescent="0.25">
      <c r="A207" t="s">
        <v>1644</v>
      </c>
      <c r="B207" t="s">
        <v>1645</v>
      </c>
      <c r="C207" s="2">
        <v>4472.3518400000003</v>
      </c>
      <c r="D207" s="2">
        <v>4338.1812848</v>
      </c>
      <c r="E207" s="2">
        <v>4208.0358462559998</v>
      </c>
      <c r="F207" s="2">
        <v>4081.7947708683196</v>
      </c>
      <c r="G207" s="2">
        <v>3959.3409277422697</v>
      </c>
      <c r="H207" s="2">
        <v>3840.5606999100014</v>
      </c>
      <c r="I207" s="2">
        <v>3725.3438789127013</v>
      </c>
      <c r="J207" s="2">
        <v>3613.5835625453201</v>
      </c>
      <c r="K207" s="2">
        <v>3505.1760556689605</v>
      </c>
      <c r="L207" s="2">
        <v>3400.0207739988919</v>
      </c>
      <c r="M207" s="2">
        <v>3298.0201507789252</v>
      </c>
      <c r="N207" s="2">
        <v>3199.0795462555575</v>
      </c>
      <c r="O207" s="2">
        <v>3103.1071598678905</v>
      </c>
    </row>
    <row r="208" spans="1:15" x14ac:dyDescent="0.25">
      <c r="A208" t="s">
        <v>1101</v>
      </c>
      <c r="B208" t="s">
        <v>1646</v>
      </c>
      <c r="C208" s="2">
        <v>4455.6897660000004</v>
      </c>
      <c r="D208" s="2">
        <v>4322.0190730200002</v>
      </c>
      <c r="E208" s="2">
        <v>4192.3585008294003</v>
      </c>
      <c r="F208" s="2">
        <v>4066.5877458045184</v>
      </c>
      <c r="G208" s="2">
        <v>3944.5901134303826</v>
      </c>
      <c r="H208" s="2">
        <v>3826.2524100274709</v>
      </c>
      <c r="I208" s="2">
        <v>3711.4648377266467</v>
      </c>
      <c r="J208" s="2">
        <v>3600.1208925948472</v>
      </c>
      <c r="K208" s="2">
        <v>3492.1172658170017</v>
      </c>
      <c r="L208" s="2">
        <v>3387.3537478424914</v>
      </c>
      <c r="M208" s="2">
        <v>3285.7331354072167</v>
      </c>
      <c r="N208" s="2">
        <v>3187.161141345</v>
      </c>
      <c r="O208" s="2">
        <v>3091.5463071046502</v>
      </c>
    </row>
    <row r="209" spans="1:15" x14ac:dyDescent="0.25">
      <c r="A209" t="s">
        <v>1647</v>
      </c>
      <c r="B209" t="s">
        <v>1648</v>
      </c>
      <c r="C209" s="2">
        <v>4445.7114459999993</v>
      </c>
      <c r="D209" s="2">
        <v>4312.340102619999</v>
      </c>
      <c r="E209" s="2">
        <v>4182.9698995413992</v>
      </c>
      <c r="F209" s="2">
        <v>4057.480802555157</v>
      </c>
      <c r="G209" s="2">
        <v>3935.756378478502</v>
      </c>
      <c r="H209" s="2">
        <v>3817.6836871241467</v>
      </c>
      <c r="I209" s="2">
        <v>3703.1531765104223</v>
      </c>
      <c r="J209" s="2">
        <v>3592.0585812151094</v>
      </c>
      <c r="K209" s="2">
        <v>3484.2968237786558</v>
      </c>
      <c r="L209" s="2">
        <v>3379.7679190652962</v>
      </c>
      <c r="M209" s="2">
        <v>3278.3748814933374</v>
      </c>
      <c r="N209" s="2">
        <v>3180.023635048537</v>
      </c>
      <c r="O209" s="2">
        <v>3084.622925997081</v>
      </c>
    </row>
    <row r="210" spans="1:15" x14ac:dyDescent="0.25">
      <c r="A210" t="s">
        <v>1649</v>
      </c>
      <c r="B210" t="s">
        <v>1643</v>
      </c>
      <c r="C210" s="2">
        <v>4440.6640960000013</v>
      </c>
      <c r="D210" s="2">
        <v>4307.4441731200013</v>
      </c>
      <c r="E210" s="2">
        <v>4178.2208479264009</v>
      </c>
      <c r="F210" s="2">
        <v>4052.8742224886087</v>
      </c>
      <c r="G210" s="2">
        <v>3931.2879958139501</v>
      </c>
      <c r="H210" s="2">
        <v>3813.3493559395315</v>
      </c>
      <c r="I210" s="2">
        <v>3698.9488752613456</v>
      </c>
      <c r="J210" s="2">
        <v>3587.980409003505</v>
      </c>
      <c r="K210" s="2">
        <v>3480.3409967333996</v>
      </c>
      <c r="L210" s="2">
        <v>3375.9307668313977</v>
      </c>
      <c r="M210" s="2">
        <v>3274.6528438264559</v>
      </c>
      <c r="N210" s="2">
        <v>3176.4132585116622</v>
      </c>
      <c r="O210" s="2">
        <v>3081.1208607563121</v>
      </c>
    </row>
    <row r="211" spans="1:15" x14ac:dyDescent="0.25">
      <c r="A211" t="s">
        <v>1650</v>
      </c>
      <c r="B211" t="s">
        <v>1651</v>
      </c>
      <c r="C211" s="2">
        <v>4434.988800000001</v>
      </c>
      <c r="D211" s="2">
        <v>4301.9391360000009</v>
      </c>
      <c r="E211" s="2">
        <v>4172.880961920001</v>
      </c>
      <c r="F211" s="2">
        <v>4047.6945330624008</v>
      </c>
      <c r="G211" s="2">
        <v>3926.2636970705285</v>
      </c>
      <c r="H211" s="2">
        <v>3808.4757861584126</v>
      </c>
      <c r="I211" s="2">
        <v>3694.2215125736602</v>
      </c>
      <c r="J211" s="2">
        <v>3583.3948671964504</v>
      </c>
      <c r="K211" s="2">
        <v>3475.8930211805568</v>
      </c>
      <c r="L211" s="2">
        <v>3371.6162305451398</v>
      </c>
      <c r="M211" s="2">
        <v>3270.4677436287857</v>
      </c>
      <c r="N211" s="2">
        <v>3172.3537113199222</v>
      </c>
      <c r="O211" s="2">
        <v>3077.1830999803246</v>
      </c>
    </row>
    <row r="212" spans="1:15" x14ac:dyDescent="0.25">
      <c r="A212" t="s">
        <v>1652</v>
      </c>
      <c r="B212" t="s">
        <v>1653</v>
      </c>
      <c r="C212" s="2">
        <v>4432.5033280000007</v>
      </c>
      <c r="D212" s="2">
        <v>4299.5282281600003</v>
      </c>
      <c r="E212" s="2">
        <v>4170.5423813152001</v>
      </c>
      <c r="F212" s="2">
        <v>4045.4261098757438</v>
      </c>
      <c r="G212" s="2">
        <v>3924.0633265794713</v>
      </c>
      <c r="H212" s="2">
        <v>3806.3414267820872</v>
      </c>
      <c r="I212" s="2">
        <v>3692.1511839786244</v>
      </c>
      <c r="J212" s="2">
        <v>3581.3866484592654</v>
      </c>
      <c r="K212" s="2">
        <v>3473.9450490054874</v>
      </c>
      <c r="L212" s="2">
        <v>3369.7266975353227</v>
      </c>
      <c r="M212" s="2">
        <v>3268.6348966092628</v>
      </c>
      <c r="N212" s="2">
        <v>3170.575849710985</v>
      </c>
      <c r="O212" s="2">
        <v>3075.4585742196555</v>
      </c>
    </row>
    <row r="213" spans="1:15" x14ac:dyDescent="0.25">
      <c r="A213" t="s">
        <v>1654</v>
      </c>
      <c r="B213" t="s">
        <v>1655</v>
      </c>
      <c r="C213" s="2">
        <v>4423.7247340000004</v>
      </c>
      <c r="D213" s="2">
        <v>4291.0129919800002</v>
      </c>
      <c r="E213" s="2">
        <v>4162.2826022206</v>
      </c>
      <c r="F213" s="2">
        <v>4037.4141241539819</v>
      </c>
      <c r="G213" s="2">
        <v>3916.2917004293622</v>
      </c>
      <c r="H213" s="2">
        <v>3798.8029494164812</v>
      </c>
      <c r="I213" s="2">
        <v>3684.8388609339868</v>
      </c>
      <c r="J213" s="2">
        <v>3574.2936951059669</v>
      </c>
      <c r="K213" s="2">
        <v>3467.0648842527876</v>
      </c>
      <c r="L213" s="2">
        <v>3363.0529377252037</v>
      </c>
      <c r="M213" s="2">
        <v>3262.1613495934475</v>
      </c>
      <c r="N213" s="2">
        <v>3164.296509105644</v>
      </c>
      <c r="O213" s="2">
        <v>3069.3676138324745</v>
      </c>
    </row>
    <row r="214" spans="1:15" x14ac:dyDescent="0.25">
      <c r="A214" t="s">
        <v>1656</v>
      </c>
      <c r="B214" t="s">
        <v>1657</v>
      </c>
      <c r="C214" s="2">
        <v>4421.8247040000006</v>
      </c>
      <c r="D214" s="2">
        <v>4289.1699628800006</v>
      </c>
      <c r="E214" s="2">
        <v>4160.4948639936001</v>
      </c>
      <c r="F214" s="2">
        <v>4035.6800180737919</v>
      </c>
      <c r="G214" s="2">
        <v>3914.6096175315779</v>
      </c>
      <c r="H214" s="2">
        <v>3797.1713290056305</v>
      </c>
      <c r="I214" s="2">
        <v>3683.2561891354612</v>
      </c>
      <c r="J214" s="2">
        <v>3572.7585034613971</v>
      </c>
      <c r="K214" s="2">
        <v>3465.5757483575553</v>
      </c>
      <c r="L214" s="2">
        <v>3361.6084759068285</v>
      </c>
      <c r="M214" s="2">
        <v>3260.7602216296236</v>
      </c>
      <c r="N214" s="2">
        <v>3162.937414980735</v>
      </c>
      <c r="O214" s="2">
        <v>3068.0492925313129</v>
      </c>
    </row>
    <row r="215" spans="1:15" x14ac:dyDescent="0.25">
      <c r="A215" t="s">
        <v>1658</v>
      </c>
      <c r="B215" t="s">
        <v>1659</v>
      </c>
      <c r="C215" s="2">
        <v>4421.8247040000006</v>
      </c>
      <c r="D215" s="2">
        <v>4289.1699628800006</v>
      </c>
      <c r="E215" s="2">
        <v>4160.4948639936001</v>
      </c>
      <c r="F215" s="2">
        <v>4035.6800180737919</v>
      </c>
      <c r="G215" s="2">
        <v>3914.6096175315779</v>
      </c>
      <c r="H215" s="2">
        <v>3797.1713290056305</v>
      </c>
      <c r="I215" s="2">
        <v>3683.2561891354612</v>
      </c>
      <c r="J215" s="2">
        <v>3572.7585034613971</v>
      </c>
      <c r="K215" s="2">
        <v>3465.5757483575553</v>
      </c>
      <c r="L215" s="2">
        <v>3361.6084759068285</v>
      </c>
      <c r="M215" s="2">
        <v>3260.7602216296236</v>
      </c>
      <c r="N215" s="2">
        <v>3162.937414980735</v>
      </c>
      <c r="O215" s="2">
        <v>3068.0492925313129</v>
      </c>
    </row>
    <row r="216" spans="1:15" x14ac:dyDescent="0.25">
      <c r="A216" t="s">
        <v>1660</v>
      </c>
      <c r="B216" t="s">
        <v>1661</v>
      </c>
      <c r="C216" s="2">
        <v>4421.8247040000006</v>
      </c>
      <c r="D216" s="2">
        <v>4289.1699628800006</v>
      </c>
      <c r="E216" s="2">
        <v>4160.4948639936001</v>
      </c>
      <c r="F216" s="2">
        <v>4035.6800180737919</v>
      </c>
      <c r="G216" s="2">
        <v>3914.6096175315779</v>
      </c>
      <c r="H216" s="2">
        <v>3797.1713290056305</v>
      </c>
      <c r="I216" s="2">
        <v>3683.2561891354612</v>
      </c>
      <c r="J216" s="2">
        <v>3572.7585034613971</v>
      </c>
      <c r="K216" s="2">
        <v>3465.5757483575553</v>
      </c>
      <c r="L216" s="2">
        <v>3361.6084759068285</v>
      </c>
      <c r="M216" s="2">
        <v>3260.7602216296236</v>
      </c>
      <c r="N216" s="2">
        <v>3162.937414980735</v>
      </c>
      <c r="O216" s="2">
        <v>3068.0492925313129</v>
      </c>
    </row>
    <row r="217" spans="1:15" x14ac:dyDescent="0.25">
      <c r="A217" t="s">
        <v>1662</v>
      </c>
      <c r="B217" t="s">
        <v>1663</v>
      </c>
      <c r="C217" s="2">
        <v>4421.8247040000006</v>
      </c>
      <c r="D217" s="2">
        <v>4289.1699628800006</v>
      </c>
      <c r="E217" s="2">
        <v>4160.4948639936001</v>
      </c>
      <c r="F217" s="2">
        <v>4035.6800180737919</v>
      </c>
      <c r="G217" s="2">
        <v>3914.6096175315779</v>
      </c>
      <c r="H217" s="2">
        <v>3797.1713290056305</v>
      </c>
      <c r="I217" s="2">
        <v>3683.2561891354612</v>
      </c>
      <c r="J217" s="2">
        <v>3572.7585034613971</v>
      </c>
      <c r="K217" s="2">
        <v>3465.5757483575553</v>
      </c>
      <c r="L217" s="2">
        <v>3361.6084759068285</v>
      </c>
      <c r="M217" s="2">
        <v>3260.7602216296236</v>
      </c>
      <c r="N217" s="2">
        <v>3162.937414980735</v>
      </c>
      <c r="O217" s="2">
        <v>3068.0492925313129</v>
      </c>
    </row>
    <row r="218" spans="1:15" x14ac:dyDescent="0.25">
      <c r="A218" t="s">
        <v>1664</v>
      </c>
      <c r="B218" t="s">
        <v>1665</v>
      </c>
      <c r="C218" s="2">
        <v>4404.103572</v>
      </c>
      <c r="D218" s="2">
        <v>4271.9804648399995</v>
      </c>
      <c r="E218" s="2">
        <v>4143.8210508947996</v>
      </c>
      <c r="F218" s="2">
        <v>4019.5064193679555</v>
      </c>
      <c r="G218" s="2">
        <v>3898.9212267869166</v>
      </c>
      <c r="H218" s="2">
        <v>3781.953589983309</v>
      </c>
      <c r="I218" s="2">
        <v>3668.4949822838098</v>
      </c>
      <c r="J218" s="2">
        <v>3558.4401328152953</v>
      </c>
      <c r="K218" s="2">
        <v>3451.6869288308362</v>
      </c>
      <c r="L218" s="2">
        <v>3348.1363209659112</v>
      </c>
      <c r="M218" s="2">
        <v>3247.6922313369337</v>
      </c>
      <c r="N218" s="2">
        <v>3150.2614643968254</v>
      </c>
      <c r="O218" s="2">
        <v>3055.7536204649205</v>
      </c>
    </row>
    <row r="219" spans="1:15" x14ac:dyDescent="0.25">
      <c r="A219" t="s">
        <v>1666</v>
      </c>
      <c r="B219" t="s">
        <v>1667</v>
      </c>
      <c r="C219" s="2">
        <v>4403.8455120000008</v>
      </c>
      <c r="D219" s="2">
        <v>4271.7301466400004</v>
      </c>
      <c r="E219" s="2">
        <v>4143.5782422408001</v>
      </c>
      <c r="F219" s="2">
        <v>4019.2708949735761</v>
      </c>
      <c r="G219" s="2">
        <v>3898.6927681243687</v>
      </c>
      <c r="H219" s="2">
        <v>3781.7319850806375</v>
      </c>
      <c r="I219" s="2">
        <v>3668.2800255282182</v>
      </c>
      <c r="J219" s="2">
        <v>3558.2316247623717</v>
      </c>
      <c r="K219" s="2">
        <v>3451.4846760195005</v>
      </c>
      <c r="L219" s="2">
        <v>3347.9401357389156</v>
      </c>
      <c r="M219" s="2">
        <v>3247.5019316667481</v>
      </c>
      <c r="N219" s="2">
        <v>3150.0768737167455</v>
      </c>
      <c r="O219" s="2">
        <v>3055.5745675052431</v>
      </c>
    </row>
    <row r="220" spans="1:15" x14ac:dyDescent="0.25">
      <c r="A220" t="s">
        <v>1668</v>
      </c>
      <c r="B220" t="s">
        <v>1669</v>
      </c>
      <c r="C220" s="2">
        <v>4400.6131840000007</v>
      </c>
      <c r="D220" s="2">
        <v>4268.5947884800007</v>
      </c>
      <c r="E220" s="2">
        <v>4140.5369448256006</v>
      </c>
      <c r="F220" s="2">
        <v>4016.3208364808324</v>
      </c>
      <c r="G220" s="2">
        <v>3895.8312113864072</v>
      </c>
      <c r="H220" s="2">
        <v>3778.9562750448149</v>
      </c>
      <c r="I220" s="2">
        <v>3665.5875867934706</v>
      </c>
      <c r="J220" s="2">
        <v>3555.6199591896661</v>
      </c>
      <c r="K220" s="2">
        <v>3448.9513604139761</v>
      </c>
      <c r="L220" s="2">
        <v>3345.4828196015569</v>
      </c>
      <c r="M220" s="2">
        <v>3245.1183350135102</v>
      </c>
      <c r="N220" s="2">
        <v>3147.7647849631048</v>
      </c>
      <c r="O220" s="2">
        <v>3053.3318414142118</v>
      </c>
    </row>
    <row r="221" spans="1:15" x14ac:dyDescent="0.25">
      <c r="A221" t="s">
        <v>1670</v>
      </c>
      <c r="B221" t="s">
        <v>1671</v>
      </c>
      <c r="C221" s="2">
        <v>4397.4638400000003</v>
      </c>
      <c r="D221" s="2">
        <v>4265.5399248000003</v>
      </c>
      <c r="E221" s="2">
        <v>4137.5737270560003</v>
      </c>
      <c r="F221" s="2">
        <v>4013.4465152443204</v>
      </c>
      <c r="G221" s="2">
        <v>3893.0431197869907</v>
      </c>
      <c r="H221" s="2">
        <v>3776.251826193381</v>
      </c>
      <c r="I221" s="2">
        <v>3662.9642714075794</v>
      </c>
      <c r="J221" s="2">
        <v>3553.0753432653519</v>
      </c>
      <c r="K221" s="2">
        <v>3446.4830829673911</v>
      </c>
      <c r="L221" s="2">
        <v>3343.088590478369</v>
      </c>
      <c r="M221" s="2">
        <v>3242.7959327640178</v>
      </c>
      <c r="N221" s="2">
        <v>3145.512054781097</v>
      </c>
      <c r="O221" s="2">
        <v>3051.146693137664</v>
      </c>
    </row>
    <row r="222" spans="1:15" x14ac:dyDescent="0.25">
      <c r="A222" t="s">
        <v>1672</v>
      </c>
      <c r="B222" t="s">
        <v>1673</v>
      </c>
      <c r="C222" s="2">
        <v>4394.0716160000002</v>
      </c>
      <c r="D222" s="2">
        <v>4262.2494675200005</v>
      </c>
      <c r="E222" s="2">
        <v>4134.3819834944006</v>
      </c>
      <c r="F222" s="2">
        <v>4010.3505239895685</v>
      </c>
      <c r="G222" s="2">
        <v>3890.0400082698811</v>
      </c>
      <c r="H222" s="2">
        <v>3773.3388080217846</v>
      </c>
      <c r="I222" s="2">
        <v>3660.1386437811311</v>
      </c>
      <c r="J222" s="2">
        <v>3550.3344844676972</v>
      </c>
      <c r="K222" s="2">
        <v>3443.8244499336661</v>
      </c>
      <c r="L222" s="2">
        <v>3340.5097164356562</v>
      </c>
      <c r="M222" s="2">
        <v>3240.2944249425864</v>
      </c>
      <c r="N222" s="2">
        <v>3143.0855921943089</v>
      </c>
      <c r="O222" s="2">
        <v>3048.7930244284794</v>
      </c>
    </row>
    <row r="223" spans="1:15" x14ac:dyDescent="0.25">
      <c r="A223" t="s">
        <v>1674</v>
      </c>
      <c r="B223" t="s">
        <v>1675</v>
      </c>
      <c r="C223" s="2">
        <v>4393.1360220000006</v>
      </c>
      <c r="D223" s="2">
        <v>4261.3419413400006</v>
      </c>
      <c r="E223" s="2">
        <v>4133.5016830998002</v>
      </c>
      <c r="F223" s="2">
        <v>4009.4966326068061</v>
      </c>
      <c r="G223" s="2">
        <v>3889.2117336286019</v>
      </c>
      <c r="H223" s="2">
        <v>3772.5353816197439</v>
      </c>
      <c r="I223" s="2">
        <v>3659.3593201711515</v>
      </c>
      <c r="J223" s="2">
        <v>3549.5785405660167</v>
      </c>
      <c r="K223" s="2">
        <v>3443.0911843490362</v>
      </c>
      <c r="L223" s="2">
        <v>3339.7984488185652</v>
      </c>
      <c r="M223" s="2">
        <v>3239.6044953540081</v>
      </c>
      <c r="N223" s="2">
        <v>3142.4163604933879</v>
      </c>
      <c r="O223" s="2">
        <v>3048.1438696785863</v>
      </c>
    </row>
    <row r="224" spans="1:15" x14ac:dyDescent="0.25">
      <c r="A224" t="s">
        <v>1676</v>
      </c>
      <c r="B224" t="s">
        <v>1677</v>
      </c>
      <c r="C224" s="2">
        <v>4392.0638079999999</v>
      </c>
      <c r="D224" s="2">
        <v>4260.30189376</v>
      </c>
      <c r="E224" s="2">
        <v>4132.4928369472</v>
      </c>
      <c r="F224" s="2">
        <v>4008.5180518387838</v>
      </c>
      <c r="G224" s="2">
        <v>3888.26251028362</v>
      </c>
      <c r="H224" s="2">
        <v>3771.6146349751111</v>
      </c>
      <c r="I224" s="2">
        <v>3658.4661959258578</v>
      </c>
      <c r="J224" s="2">
        <v>3548.7122100480819</v>
      </c>
      <c r="K224" s="2">
        <v>3442.2508437466395</v>
      </c>
      <c r="L224" s="2">
        <v>3338.9833184342401</v>
      </c>
      <c r="M224" s="2">
        <v>3238.8138188812127</v>
      </c>
      <c r="N224" s="2">
        <v>3141.6494043147763</v>
      </c>
      <c r="O224" s="2">
        <v>3047.3999221853328</v>
      </c>
    </row>
    <row r="225" spans="1:15" x14ac:dyDescent="0.25">
      <c r="A225" t="s">
        <v>1678</v>
      </c>
      <c r="B225" t="s">
        <v>1679</v>
      </c>
      <c r="C225" s="2">
        <v>4391.8452160000006</v>
      </c>
      <c r="D225" s="2">
        <v>4260.0898595200006</v>
      </c>
      <c r="E225" s="2">
        <v>4132.2871637344006</v>
      </c>
      <c r="F225" s="2">
        <v>4008.3185488223685</v>
      </c>
      <c r="G225" s="2">
        <v>3888.0689923576974</v>
      </c>
      <c r="H225" s="2">
        <v>3771.4269225869666</v>
      </c>
      <c r="I225" s="2">
        <v>3658.2841149093574</v>
      </c>
      <c r="J225" s="2">
        <v>3548.5355914620768</v>
      </c>
      <c r="K225" s="2">
        <v>3442.0795237182142</v>
      </c>
      <c r="L225" s="2">
        <v>3338.8171380066678</v>
      </c>
      <c r="M225" s="2">
        <v>3238.6526238664678</v>
      </c>
      <c r="N225" s="2">
        <v>3141.4930451504738</v>
      </c>
      <c r="O225" s="2">
        <v>3047.2482537959595</v>
      </c>
    </row>
    <row r="226" spans="1:15" x14ac:dyDescent="0.25">
      <c r="A226" t="s">
        <v>1680</v>
      </c>
      <c r="B226" t="s">
        <v>1681</v>
      </c>
      <c r="C226" s="2">
        <v>4387.6919680000001</v>
      </c>
      <c r="D226" s="2">
        <v>4256.0612089599999</v>
      </c>
      <c r="E226" s="2">
        <v>4128.3793726911999</v>
      </c>
      <c r="F226" s="2">
        <v>4004.5279915104638</v>
      </c>
      <c r="G226" s="2">
        <v>3884.3921517651497</v>
      </c>
      <c r="H226" s="2">
        <v>3767.8603872121953</v>
      </c>
      <c r="I226" s="2">
        <v>3654.8245755958292</v>
      </c>
      <c r="J226" s="2">
        <v>3545.1798383279543</v>
      </c>
      <c r="K226" s="2">
        <v>3438.8244431781154</v>
      </c>
      <c r="L226" s="2">
        <v>3335.6597098827719</v>
      </c>
      <c r="M226" s="2">
        <v>3235.5899185862886</v>
      </c>
      <c r="N226" s="2">
        <v>3138.5222210286997</v>
      </c>
      <c r="O226" s="2">
        <v>3044.3665543978386</v>
      </c>
    </row>
    <row r="227" spans="1:15" x14ac:dyDescent="0.25">
      <c r="A227" t="s">
        <v>1682</v>
      </c>
      <c r="B227" t="s">
        <v>1683</v>
      </c>
      <c r="C227" s="2">
        <v>4386.9683880000002</v>
      </c>
      <c r="D227" s="2">
        <v>4255.3593363600003</v>
      </c>
      <c r="E227" s="2">
        <v>4127.6985562691998</v>
      </c>
      <c r="F227" s="2">
        <v>4003.8675995811236</v>
      </c>
      <c r="G227" s="2">
        <v>3883.7515715936897</v>
      </c>
      <c r="H227" s="2">
        <v>3767.2390244458788</v>
      </c>
      <c r="I227" s="2">
        <v>3654.2218537125023</v>
      </c>
      <c r="J227" s="2">
        <v>3544.5951981011272</v>
      </c>
      <c r="K227" s="2">
        <v>3438.2573421580933</v>
      </c>
      <c r="L227" s="2">
        <v>3335.1096218933503</v>
      </c>
      <c r="M227" s="2">
        <v>3235.0563332365496</v>
      </c>
      <c r="N227" s="2">
        <v>3138.0046432394529</v>
      </c>
      <c r="O227" s="2">
        <v>3043.864503942269</v>
      </c>
    </row>
    <row r="228" spans="1:15" x14ac:dyDescent="0.25">
      <c r="A228" t="s">
        <v>1684</v>
      </c>
      <c r="B228" t="s">
        <v>1685</v>
      </c>
      <c r="C228" s="2">
        <v>4385.4372320000002</v>
      </c>
      <c r="D228" s="2">
        <v>4253.8741150400001</v>
      </c>
      <c r="E228" s="2">
        <v>4126.2578915887998</v>
      </c>
      <c r="F228" s="2">
        <v>4002.4701548411358</v>
      </c>
      <c r="G228" s="2">
        <v>3882.3960501959018</v>
      </c>
      <c r="H228" s="2">
        <v>3765.9241686900245</v>
      </c>
      <c r="I228" s="2">
        <v>3652.9464436293238</v>
      </c>
      <c r="J228" s="2">
        <v>3543.3580503204439</v>
      </c>
      <c r="K228" s="2">
        <v>3437.0573088108304</v>
      </c>
      <c r="L228" s="2">
        <v>3333.9455895465053</v>
      </c>
      <c r="M228" s="2">
        <v>3233.92722186011</v>
      </c>
      <c r="N228" s="2">
        <v>3136.9094052043065</v>
      </c>
      <c r="O228" s="2">
        <v>3042.8021230481772</v>
      </c>
    </row>
    <row r="229" spans="1:15" x14ac:dyDescent="0.25">
      <c r="A229" t="s">
        <v>1686</v>
      </c>
      <c r="B229" t="s">
        <v>1687</v>
      </c>
      <c r="C229" s="2">
        <v>4380.9075200000007</v>
      </c>
      <c r="D229" s="2">
        <v>4249.4802944000003</v>
      </c>
      <c r="E229" s="2">
        <v>4121.9958855679997</v>
      </c>
      <c r="F229" s="2">
        <v>3998.3360090009596</v>
      </c>
      <c r="G229" s="2">
        <v>3878.3859287309306</v>
      </c>
      <c r="H229" s="2">
        <v>3762.0343508690025</v>
      </c>
      <c r="I229" s="2">
        <v>3649.1733203429326</v>
      </c>
      <c r="J229" s="2">
        <v>3539.6981207326444</v>
      </c>
      <c r="K229" s="2">
        <v>3433.507177110665</v>
      </c>
      <c r="L229" s="2">
        <v>3330.5019617973448</v>
      </c>
      <c r="M229" s="2">
        <v>3230.5869029434243</v>
      </c>
      <c r="N229" s="2">
        <v>3133.6692958551216</v>
      </c>
      <c r="O229" s="2">
        <v>3039.6592169794681</v>
      </c>
    </row>
    <row r="230" spans="1:15" x14ac:dyDescent="0.25">
      <c r="A230" t="s">
        <v>1688</v>
      </c>
      <c r="B230" t="s">
        <v>1689</v>
      </c>
      <c r="C230" s="2">
        <v>4377.0133440000009</v>
      </c>
      <c r="D230" s="2">
        <v>4245.7029436800003</v>
      </c>
      <c r="E230" s="2">
        <v>4118.3318553695999</v>
      </c>
      <c r="F230" s="2">
        <v>3994.7818997085119</v>
      </c>
      <c r="G230" s="2">
        <v>3874.9384427172563</v>
      </c>
      <c r="H230" s="2">
        <v>3758.6902894357386</v>
      </c>
      <c r="I230" s="2">
        <v>3645.9295807526664</v>
      </c>
      <c r="J230" s="2">
        <v>3536.5516933300864</v>
      </c>
      <c r="K230" s="2">
        <v>3430.4551425301838</v>
      </c>
      <c r="L230" s="2">
        <v>3327.5414882542782</v>
      </c>
      <c r="M230" s="2">
        <v>3227.7152436066499</v>
      </c>
      <c r="N230" s="2">
        <v>3130.8837862984501</v>
      </c>
      <c r="O230" s="2">
        <v>3036.9572727094965</v>
      </c>
    </row>
    <row r="231" spans="1:15" x14ac:dyDescent="0.25">
      <c r="A231" t="s">
        <v>1690</v>
      </c>
      <c r="B231" t="s">
        <v>1691</v>
      </c>
      <c r="C231" s="2">
        <v>4377.0133440000009</v>
      </c>
      <c r="D231" s="2">
        <v>4245.7029436800003</v>
      </c>
      <c r="E231" s="2">
        <v>4118.3318553695999</v>
      </c>
      <c r="F231" s="2">
        <v>3994.7818997085119</v>
      </c>
      <c r="G231" s="2">
        <v>3874.9384427172563</v>
      </c>
      <c r="H231" s="2">
        <v>3758.6902894357386</v>
      </c>
      <c r="I231" s="2">
        <v>3645.9295807526664</v>
      </c>
      <c r="J231" s="2">
        <v>3536.5516933300864</v>
      </c>
      <c r="K231" s="2">
        <v>3430.4551425301838</v>
      </c>
      <c r="L231" s="2">
        <v>3327.5414882542782</v>
      </c>
      <c r="M231" s="2">
        <v>3227.7152436066499</v>
      </c>
      <c r="N231" s="2">
        <v>3130.8837862984501</v>
      </c>
      <c r="O231" s="2">
        <v>3036.9572727094965</v>
      </c>
    </row>
    <row r="232" spans="1:15" x14ac:dyDescent="0.25">
      <c r="A232" t="s">
        <v>1692</v>
      </c>
      <c r="B232" t="s">
        <v>1693</v>
      </c>
      <c r="C232" s="2">
        <v>4377.0133440000009</v>
      </c>
      <c r="D232" s="2">
        <v>4245.7029436800003</v>
      </c>
      <c r="E232" s="2">
        <v>4118.3318553695999</v>
      </c>
      <c r="F232" s="2">
        <v>3994.7818997085119</v>
      </c>
      <c r="G232" s="2">
        <v>3874.9384427172563</v>
      </c>
      <c r="H232" s="2">
        <v>3758.6902894357386</v>
      </c>
      <c r="I232" s="2">
        <v>3645.9295807526664</v>
      </c>
      <c r="J232" s="2">
        <v>3536.5516933300864</v>
      </c>
      <c r="K232" s="2">
        <v>3430.4551425301838</v>
      </c>
      <c r="L232" s="2">
        <v>3327.5414882542782</v>
      </c>
      <c r="M232" s="2">
        <v>3227.7152436066499</v>
      </c>
      <c r="N232" s="2">
        <v>3130.8837862984501</v>
      </c>
      <c r="O232" s="2">
        <v>3036.9572727094965</v>
      </c>
    </row>
    <row r="233" spans="1:15" x14ac:dyDescent="0.25">
      <c r="A233" t="s">
        <v>1694</v>
      </c>
      <c r="B233" t="s">
        <v>1695</v>
      </c>
      <c r="C233" s="2">
        <v>4377.0133440000009</v>
      </c>
      <c r="D233" s="2">
        <v>4245.7029436800003</v>
      </c>
      <c r="E233" s="2">
        <v>4118.3318553695999</v>
      </c>
      <c r="F233" s="2">
        <v>3994.7818997085119</v>
      </c>
      <c r="G233" s="2">
        <v>3874.9384427172563</v>
      </c>
      <c r="H233" s="2">
        <v>3758.6902894357386</v>
      </c>
      <c r="I233" s="2">
        <v>3645.9295807526664</v>
      </c>
      <c r="J233" s="2">
        <v>3536.5516933300864</v>
      </c>
      <c r="K233" s="2">
        <v>3430.4551425301838</v>
      </c>
      <c r="L233" s="2">
        <v>3327.5414882542782</v>
      </c>
      <c r="M233" s="2">
        <v>3227.7152436066499</v>
      </c>
      <c r="N233" s="2">
        <v>3130.8837862984501</v>
      </c>
      <c r="O233" s="2">
        <v>3036.9572727094965</v>
      </c>
    </row>
    <row r="234" spans="1:15" x14ac:dyDescent="0.25">
      <c r="A234" t="s">
        <v>1696</v>
      </c>
      <c r="B234" t="s">
        <v>1697</v>
      </c>
      <c r="C234" s="2">
        <v>4370.2461000000012</v>
      </c>
      <c r="D234" s="2">
        <v>4239.1387170000007</v>
      </c>
      <c r="E234" s="2">
        <v>4111.9645554900007</v>
      </c>
      <c r="F234" s="2">
        <v>3988.6056188253006</v>
      </c>
      <c r="G234" s="2">
        <v>3868.9474502605412</v>
      </c>
      <c r="H234" s="2">
        <v>3752.8790267527247</v>
      </c>
      <c r="I234" s="2">
        <v>3640.2926559501429</v>
      </c>
      <c r="J234" s="2">
        <v>3531.0838762716385</v>
      </c>
      <c r="K234" s="2">
        <v>3425.1513599834893</v>
      </c>
      <c r="L234" s="2">
        <v>3322.3968191839845</v>
      </c>
      <c r="M234" s="2">
        <v>3222.724914608465</v>
      </c>
      <c r="N234" s="2">
        <v>3126.0431671702108</v>
      </c>
      <c r="O234" s="2">
        <v>3032.2618721551044</v>
      </c>
    </row>
    <row r="235" spans="1:15" x14ac:dyDescent="0.25">
      <c r="A235" t="s">
        <v>1698</v>
      </c>
      <c r="B235" t="s">
        <v>1699</v>
      </c>
      <c r="C235" s="2">
        <v>4362.67634</v>
      </c>
      <c r="D235" s="2">
        <v>4231.7960498000002</v>
      </c>
      <c r="E235" s="2">
        <v>4104.8421683060005</v>
      </c>
      <c r="F235" s="2">
        <v>3981.6969032568204</v>
      </c>
      <c r="G235" s="2">
        <v>3862.2459961591157</v>
      </c>
      <c r="H235" s="2">
        <v>3746.3786162743422</v>
      </c>
      <c r="I235" s="2">
        <v>3633.987257786112</v>
      </c>
      <c r="J235" s="2">
        <v>3524.9676400525286</v>
      </c>
      <c r="K235" s="2">
        <v>3419.2186108509527</v>
      </c>
      <c r="L235" s="2">
        <v>3316.6420525254239</v>
      </c>
      <c r="M235" s="2">
        <v>3217.142790949661</v>
      </c>
      <c r="N235" s="2">
        <v>3120.6285072211713</v>
      </c>
      <c r="O235" s="2">
        <v>3027.0096520045358</v>
      </c>
    </row>
    <row r="236" spans="1:15" x14ac:dyDescent="0.25">
      <c r="A236" t="s">
        <v>1700</v>
      </c>
      <c r="B236" t="s">
        <v>1701</v>
      </c>
      <c r="C236" s="2">
        <v>4360.9265920000007</v>
      </c>
      <c r="D236" s="2">
        <v>4230.0987942400006</v>
      </c>
      <c r="E236" s="2">
        <v>4103.1958304128002</v>
      </c>
      <c r="F236" s="2">
        <v>3980.0999555004159</v>
      </c>
      <c r="G236" s="2">
        <v>3860.6969568354034</v>
      </c>
      <c r="H236" s="2">
        <v>3744.8760481303411</v>
      </c>
      <c r="I236" s="2">
        <v>3632.5297666864308</v>
      </c>
      <c r="J236" s="2">
        <v>3523.553873685838</v>
      </c>
      <c r="K236" s="2">
        <v>3417.8472574752627</v>
      </c>
      <c r="L236" s="2">
        <v>3315.3118397510048</v>
      </c>
      <c r="M236" s="2">
        <v>3215.8524845584743</v>
      </c>
      <c r="N236" s="2">
        <v>3119.3769100217201</v>
      </c>
      <c r="O236" s="2">
        <v>3025.7956027210685</v>
      </c>
    </row>
    <row r="237" spans="1:15" x14ac:dyDescent="0.25">
      <c r="A237" t="s">
        <v>1702</v>
      </c>
      <c r="B237" t="s">
        <v>1703</v>
      </c>
      <c r="C237" s="2">
        <v>4353.9559360000012</v>
      </c>
      <c r="D237" s="2">
        <v>4223.3372579200013</v>
      </c>
      <c r="E237" s="2">
        <v>4096.6371401824008</v>
      </c>
      <c r="F237" s="2">
        <v>3973.7380259769288</v>
      </c>
      <c r="G237" s="2">
        <v>3854.5258851976209</v>
      </c>
      <c r="H237" s="2">
        <v>3738.8901086416922</v>
      </c>
      <c r="I237" s="2">
        <v>3626.7234053824413</v>
      </c>
      <c r="J237" s="2">
        <v>3517.9217032209681</v>
      </c>
      <c r="K237" s="2">
        <v>3412.3840521243387</v>
      </c>
      <c r="L237" s="2">
        <v>3310.0125305606084</v>
      </c>
      <c r="M237" s="2">
        <v>3210.7121546437902</v>
      </c>
      <c r="N237" s="2">
        <v>3114.3907900044765</v>
      </c>
      <c r="O237" s="2">
        <v>3020.9590663043423</v>
      </c>
    </row>
    <row r="238" spans="1:15" x14ac:dyDescent="0.25">
      <c r="A238" t="s">
        <v>1704</v>
      </c>
      <c r="B238" t="s">
        <v>1705</v>
      </c>
      <c r="C238" s="2">
        <v>4345.9732800000011</v>
      </c>
      <c r="D238" s="2">
        <v>4215.5940816000011</v>
      </c>
      <c r="E238" s="2">
        <v>4089.1262591520008</v>
      </c>
      <c r="F238" s="2">
        <v>3966.4524713774408</v>
      </c>
      <c r="G238" s="2">
        <v>3847.4588972361175</v>
      </c>
      <c r="H238" s="2">
        <v>3732.0351303190341</v>
      </c>
      <c r="I238" s="2">
        <v>3620.074076409463</v>
      </c>
      <c r="J238" s="2">
        <v>3511.4718541171792</v>
      </c>
      <c r="K238" s="2">
        <v>3406.1276984936635</v>
      </c>
      <c r="L238" s="2">
        <v>3303.9438675388533</v>
      </c>
      <c r="M238" s="2">
        <v>3204.8255515126875</v>
      </c>
      <c r="N238" s="2">
        <v>3108.6807849673069</v>
      </c>
      <c r="O238" s="2">
        <v>3015.4203614182875</v>
      </c>
    </row>
    <row r="239" spans="1:15" x14ac:dyDescent="0.25">
      <c r="A239" t="s">
        <v>1706</v>
      </c>
      <c r="B239" t="s">
        <v>1707</v>
      </c>
      <c r="C239" s="2">
        <v>4339.8203199999998</v>
      </c>
      <c r="D239" s="2">
        <v>4209.6257103999997</v>
      </c>
      <c r="E239" s="2">
        <v>4083.3369390879998</v>
      </c>
      <c r="F239" s="2">
        <v>3960.8368309153598</v>
      </c>
      <c r="G239" s="2">
        <v>3842.0117259878989</v>
      </c>
      <c r="H239" s="2">
        <v>3726.751374208262</v>
      </c>
      <c r="I239" s="2">
        <v>3614.9488329820142</v>
      </c>
      <c r="J239" s="2">
        <v>3506.5003679925535</v>
      </c>
      <c r="K239" s="2">
        <v>3401.3053569527769</v>
      </c>
      <c r="L239" s="2">
        <v>3299.2661962441935</v>
      </c>
      <c r="M239" s="2">
        <v>3200.2882103568677</v>
      </c>
      <c r="N239" s="2">
        <v>3104.2795640461618</v>
      </c>
      <c r="O239" s="2">
        <v>3011.151177124777</v>
      </c>
    </row>
    <row r="240" spans="1:15" x14ac:dyDescent="0.25">
      <c r="A240" t="s">
        <v>1708</v>
      </c>
      <c r="B240" t="s">
        <v>1709</v>
      </c>
      <c r="C240" s="2">
        <v>4332.173648</v>
      </c>
      <c r="D240" s="2">
        <v>4202.2084385600001</v>
      </c>
      <c r="E240" s="2">
        <v>4076.1421854032001</v>
      </c>
      <c r="F240" s="2">
        <v>3953.8579198411039</v>
      </c>
      <c r="G240" s="2">
        <v>3835.2421822458705</v>
      </c>
      <c r="H240" s="2">
        <v>3720.1849167784944</v>
      </c>
      <c r="I240" s="2">
        <v>3608.5793692751395</v>
      </c>
      <c r="J240" s="2">
        <v>3500.3219881968853</v>
      </c>
      <c r="K240" s="2">
        <v>3395.3123285509787</v>
      </c>
      <c r="L240" s="2">
        <v>3293.4529586944491</v>
      </c>
      <c r="M240" s="2">
        <v>3194.6493699336156</v>
      </c>
      <c r="N240" s="2">
        <v>3098.8098888356071</v>
      </c>
      <c r="O240" s="2">
        <v>3005.845592170539</v>
      </c>
    </row>
    <row r="241" spans="1:15" x14ac:dyDescent="0.25">
      <c r="A241" t="s">
        <v>1710</v>
      </c>
      <c r="B241" t="s">
        <v>1711</v>
      </c>
      <c r="C241" s="2">
        <v>4329.5788800000009</v>
      </c>
      <c r="D241" s="2">
        <v>4199.6915136000007</v>
      </c>
      <c r="E241" s="2">
        <v>4073.7007681920004</v>
      </c>
      <c r="F241" s="2">
        <v>3951.4897451462402</v>
      </c>
      <c r="G241" s="2">
        <v>3832.945052791853</v>
      </c>
      <c r="H241" s="2">
        <v>3717.9567012080975</v>
      </c>
      <c r="I241" s="2">
        <v>3606.4180001718546</v>
      </c>
      <c r="J241" s="2">
        <v>3498.2254601666987</v>
      </c>
      <c r="K241" s="2">
        <v>3393.2786963616977</v>
      </c>
      <c r="L241" s="2">
        <v>3291.4803354708465</v>
      </c>
      <c r="M241" s="2">
        <v>3192.735925406721</v>
      </c>
      <c r="N241" s="2">
        <v>3096.9538476445191</v>
      </c>
      <c r="O241" s="2">
        <v>3004.0452322151837</v>
      </c>
    </row>
    <row r="242" spans="1:15" x14ac:dyDescent="0.25">
      <c r="A242" t="s">
        <v>1712</v>
      </c>
      <c r="B242" t="s">
        <v>1713</v>
      </c>
      <c r="C242" s="2">
        <v>4328.4489819999999</v>
      </c>
      <c r="D242" s="2">
        <v>4198.5955125399996</v>
      </c>
      <c r="E242" s="2">
        <v>4072.6376471637996</v>
      </c>
      <c r="F242" s="2">
        <v>3950.4585177488852</v>
      </c>
      <c r="G242" s="2">
        <v>3831.9447622164184</v>
      </c>
      <c r="H242" s="2">
        <v>3716.9864193499257</v>
      </c>
      <c r="I242" s="2">
        <v>3605.4768267694276</v>
      </c>
      <c r="J242" s="2">
        <v>3497.3125219663448</v>
      </c>
      <c r="K242" s="2">
        <v>3392.3931463073545</v>
      </c>
      <c r="L242" s="2">
        <v>3290.6213519181338</v>
      </c>
      <c r="M242" s="2">
        <v>3191.9027113605898</v>
      </c>
      <c r="N242" s="2">
        <v>3096.1456300197719</v>
      </c>
      <c r="O242" s="2">
        <v>3003.2612611191789</v>
      </c>
    </row>
    <row r="243" spans="1:15" x14ac:dyDescent="0.25">
      <c r="A243" t="s">
        <v>1714</v>
      </c>
      <c r="B243" t="s">
        <v>1699</v>
      </c>
      <c r="C243" s="2">
        <v>4325.6619339999997</v>
      </c>
      <c r="D243" s="2">
        <v>4195.8920759799994</v>
      </c>
      <c r="E243" s="2">
        <v>4070.0153137005991</v>
      </c>
      <c r="F243" s="2">
        <v>3947.9148542895809</v>
      </c>
      <c r="G243" s="2">
        <v>3829.4774086608936</v>
      </c>
      <c r="H243" s="2">
        <v>3714.5930864010666</v>
      </c>
      <c r="I243" s="2">
        <v>3603.1552938090344</v>
      </c>
      <c r="J243" s="2">
        <v>3495.0606349947634</v>
      </c>
      <c r="K243" s="2">
        <v>3390.2088159449204</v>
      </c>
      <c r="L243" s="2">
        <v>3288.5025514665726</v>
      </c>
      <c r="M243" s="2">
        <v>3189.8474749225752</v>
      </c>
      <c r="N243" s="2">
        <v>3094.152050674898</v>
      </c>
      <c r="O243" s="2">
        <v>3001.3274891546507</v>
      </c>
    </row>
    <row r="244" spans="1:15" x14ac:dyDescent="0.25">
      <c r="A244" t="s">
        <v>1715</v>
      </c>
      <c r="B244" t="s">
        <v>1716</v>
      </c>
      <c r="C244" s="2">
        <v>4319.8960640000014</v>
      </c>
      <c r="D244" s="2">
        <v>4190.2991820800016</v>
      </c>
      <c r="E244" s="2">
        <v>4064.5902066176013</v>
      </c>
      <c r="F244" s="2">
        <v>3942.652500419073</v>
      </c>
      <c r="G244" s="2">
        <v>3824.3729254065006</v>
      </c>
      <c r="H244" s="2">
        <v>3709.6417376443055</v>
      </c>
      <c r="I244" s="2">
        <v>3598.3524855149763</v>
      </c>
      <c r="J244" s="2">
        <v>3490.4019109495271</v>
      </c>
      <c r="K244" s="2">
        <v>3385.689853621041</v>
      </c>
      <c r="L244" s="2">
        <v>3284.1191580124096</v>
      </c>
      <c r="M244" s="2">
        <v>3185.5955832720374</v>
      </c>
      <c r="N244" s="2">
        <v>3090.027715773876</v>
      </c>
      <c r="O244" s="2">
        <v>2997.3268843006595</v>
      </c>
    </row>
    <row r="245" spans="1:15" x14ac:dyDescent="0.25">
      <c r="A245" t="s">
        <v>1717</v>
      </c>
      <c r="B245" t="s">
        <v>1718</v>
      </c>
      <c r="C245" s="2">
        <v>4319.1917120000007</v>
      </c>
      <c r="D245" s="2">
        <v>4189.6159606400006</v>
      </c>
      <c r="E245" s="2">
        <v>4063.9274818208005</v>
      </c>
      <c r="F245" s="2">
        <v>3942.0096573661763</v>
      </c>
      <c r="G245" s="2">
        <v>3823.7493676451909</v>
      </c>
      <c r="H245" s="2">
        <v>3709.0368866158351</v>
      </c>
      <c r="I245" s="2">
        <v>3597.7657800173602</v>
      </c>
      <c r="J245" s="2">
        <v>3489.8328066168392</v>
      </c>
      <c r="K245" s="2">
        <v>3385.1378224183341</v>
      </c>
      <c r="L245" s="2">
        <v>3283.5836877457841</v>
      </c>
      <c r="M245" s="2">
        <v>3185.0761771134107</v>
      </c>
      <c r="N245" s="2">
        <v>3089.5238918000082</v>
      </c>
      <c r="O245" s="2">
        <v>2996.838175046008</v>
      </c>
    </row>
    <row r="246" spans="1:15" x14ac:dyDescent="0.25">
      <c r="A246" t="s">
        <v>1719</v>
      </c>
      <c r="B246" t="s">
        <v>1720</v>
      </c>
      <c r="C246" s="2">
        <v>4314.4621299999999</v>
      </c>
      <c r="D246" s="2">
        <v>4185.0282661000001</v>
      </c>
      <c r="E246" s="2">
        <v>4059.4774181170001</v>
      </c>
      <c r="F246" s="2">
        <v>3937.6930955734902</v>
      </c>
      <c r="G246" s="2">
        <v>3819.5623027062852</v>
      </c>
      <c r="H246" s="2">
        <v>3704.9754336250967</v>
      </c>
      <c r="I246" s="2">
        <v>3593.8261706163435</v>
      </c>
      <c r="J246" s="2">
        <v>3486.0113854978531</v>
      </c>
      <c r="K246" s="2">
        <v>3381.4310439329174</v>
      </c>
      <c r="L246" s="2">
        <v>3279.9881126149298</v>
      </c>
      <c r="M246" s="2">
        <v>3181.5884692364821</v>
      </c>
      <c r="N246" s="2">
        <v>3086.1408151593873</v>
      </c>
      <c r="O246" s="2">
        <v>2993.5565907046057</v>
      </c>
    </row>
    <row r="247" spans="1:15" x14ac:dyDescent="0.25">
      <c r="A247" t="s">
        <v>1721</v>
      </c>
      <c r="B247" t="s">
        <v>1722</v>
      </c>
      <c r="C247" s="2">
        <v>4312.0621719999999</v>
      </c>
      <c r="D247" s="2">
        <v>4182.7003068399999</v>
      </c>
      <c r="E247" s="2">
        <v>4057.2192976347997</v>
      </c>
      <c r="F247" s="2">
        <v>3935.5027187057553</v>
      </c>
      <c r="G247" s="2">
        <v>3817.4376371445824</v>
      </c>
      <c r="H247" s="2">
        <v>3702.9145080302446</v>
      </c>
      <c r="I247" s="2">
        <v>3591.8270727893373</v>
      </c>
      <c r="J247" s="2">
        <v>3484.072260605657</v>
      </c>
      <c r="K247" s="2">
        <v>3379.5500927874873</v>
      </c>
      <c r="L247" s="2">
        <v>3278.1635900038627</v>
      </c>
      <c r="M247" s="2">
        <v>3179.8186823037468</v>
      </c>
      <c r="N247" s="2">
        <v>3084.4241218346342</v>
      </c>
      <c r="O247" s="2">
        <v>2991.8913981795949</v>
      </c>
    </row>
    <row r="248" spans="1:15" x14ac:dyDescent="0.25">
      <c r="A248" t="s">
        <v>1723</v>
      </c>
      <c r="B248" t="s">
        <v>1724</v>
      </c>
      <c r="C248" s="2">
        <v>4312.0024640000011</v>
      </c>
      <c r="D248" s="2">
        <v>4182.642390080001</v>
      </c>
      <c r="E248" s="2">
        <v>4057.1631183776008</v>
      </c>
      <c r="F248" s="2">
        <v>3935.4482248262725</v>
      </c>
      <c r="G248" s="2">
        <v>3817.384778081484</v>
      </c>
      <c r="H248" s="2">
        <v>3702.8632347390394</v>
      </c>
      <c r="I248" s="2">
        <v>3591.777337696868</v>
      </c>
      <c r="J248" s="2">
        <v>3484.0240175659619</v>
      </c>
      <c r="K248" s="2">
        <v>3379.503297038983</v>
      </c>
      <c r="L248" s="2">
        <v>3278.1181981278132</v>
      </c>
      <c r="M248" s="2">
        <v>3179.7746521839786</v>
      </c>
      <c r="N248" s="2">
        <v>3084.3814126184593</v>
      </c>
      <c r="O248" s="2">
        <v>2991.8499702399054</v>
      </c>
    </row>
    <row r="249" spans="1:15" x14ac:dyDescent="0.25">
      <c r="A249" t="s">
        <v>1725</v>
      </c>
      <c r="B249" t="s">
        <v>1726</v>
      </c>
      <c r="C249" s="2">
        <v>4305.6632960000006</v>
      </c>
      <c r="D249" s="2">
        <v>4176.4933971200007</v>
      </c>
      <c r="E249" s="2">
        <v>4051.1985952064006</v>
      </c>
      <c r="F249" s="2">
        <v>3929.6626373502086</v>
      </c>
      <c r="G249" s="2">
        <v>3811.772758229702</v>
      </c>
      <c r="H249" s="2">
        <v>3697.4195754828111</v>
      </c>
      <c r="I249" s="2">
        <v>3586.4969882183268</v>
      </c>
      <c r="J249" s="2">
        <v>3478.9020785717771</v>
      </c>
      <c r="K249" s="2">
        <v>3374.5350162146237</v>
      </c>
      <c r="L249" s="2">
        <v>3273.2989657281851</v>
      </c>
      <c r="M249" s="2">
        <v>3175.0999967563394</v>
      </c>
      <c r="N249" s="2">
        <v>3079.8469968536492</v>
      </c>
      <c r="O249" s="2">
        <v>2987.4515869480397</v>
      </c>
    </row>
    <row r="250" spans="1:15" x14ac:dyDescent="0.25">
      <c r="A250" t="s">
        <v>1727</v>
      </c>
      <c r="B250" t="s">
        <v>1728</v>
      </c>
      <c r="C250" s="2">
        <v>4293.1893840000002</v>
      </c>
      <c r="D250" s="2">
        <v>4164.3937024799998</v>
      </c>
      <c r="E250" s="2">
        <v>4039.4618914055995</v>
      </c>
      <c r="F250" s="2">
        <v>3918.2780346634313</v>
      </c>
      <c r="G250" s="2">
        <v>3800.7296936235284</v>
      </c>
      <c r="H250" s="2">
        <v>3686.7078028148226</v>
      </c>
      <c r="I250" s="2">
        <v>3576.1065687303776</v>
      </c>
      <c r="J250" s="2">
        <v>3468.8233716684663</v>
      </c>
      <c r="K250" s="2">
        <v>3364.7586705184121</v>
      </c>
      <c r="L250" s="2">
        <v>3263.8159104028596</v>
      </c>
      <c r="M250" s="2">
        <v>3165.9014330907735</v>
      </c>
      <c r="N250" s="2">
        <v>3070.92439009805</v>
      </c>
      <c r="O250" s="2">
        <v>2978.7966583951084</v>
      </c>
    </row>
    <row r="251" spans="1:15" x14ac:dyDescent="0.25">
      <c r="A251" t="s">
        <v>1729</v>
      </c>
      <c r="B251" t="s">
        <v>1730</v>
      </c>
      <c r="C251" s="2">
        <v>4292.4152039999999</v>
      </c>
      <c r="D251" s="2">
        <v>4163.6427478799997</v>
      </c>
      <c r="E251" s="2">
        <v>4038.7334654435995</v>
      </c>
      <c r="F251" s="2">
        <v>3917.5714614802914</v>
      </c>
      <c r="G251" s="2">
        <v>3800.0443176358826</v>
      </c>
      <c r="H251" s="2">
        <v>3686.0429881068062</v>
      </c>
      <c r="I251" s="2">
        <v>3575.4616984636018</v>
      </c>
      <c r="J251" s="2">
        <v>3468.1978475096935</v>
      </c>
      <c r="K251" s="2">
        <v>3364.1519120844027</v>
      </c>
      <c r="L251" s="2">
        <v>3263.2273547218706</v>
      </c>
      <c r="M251" s="2">
        <v>3165.3305340802144</v>
      </c>
      <c r="N251" s="2">
        <v>3070.3706180578079</v>
      </c>
      <c r="O251" s="2">
        <v>2978.2594995160734</v>
      </c>
    </row>
    <row r="252" spans="1:15" x14ac:dyDescent="0.25">
      <c r="A252" t="s">
        <v>1731</v>
      </c>
      <c r="B252" t="s">
        <v>1732</v>
      </c>
      <c r="C252" s="2">
        <v>4279.2627460000003</v>
      </c>
      <c r="D252" s="2">
        <v>4150.88486362</v>
      </c>
      <c r="E252" s="2">
        <v>4026.3583177114001</v>
      </c>
      <c r="F252" s="2">
        <v>3905.5675681800581</v>
      </c>
      <c r="G252" s="2">
        <v>3788.4005411346561</v>
      </c>
      <c r="H252" s="2">
        <v>3674.7485249006163</v>
      </c>
      <c r="I252" s="2">
        <v>3564.5060691535978</v>
      </c>
      <c r="J252" s="2">
        <v>3457.5708870789899</v>
      </c>
      <c r="K252" s="2">
        <v>3353.8437604666201</v>
      </c>
      <c r="L252" s="2">
        <v>3253.2284476526215</v>
      </c>
      <c r="M252" s="2">
        <v>3155.6315942230426</v>
      </c>
      <c r="N252" s="2">
        <v>3060.9626463963514</v>
      </c>
      <c r="O252" s="2">
        <v>2969.1337670044609</v>
      </c>
    </row>
    <row r="253" spans="1:15" x14ac:dyDescent="0.25">
      <c r="A253" t="s">
        <v>1733</v>
      </c>
      <c r="B253" t="s">
        <v>1734</v>
      </c>
      <c r="C253" s="2">
        <v>4278.9222080000009</v>
      </c>
      <c r="D253" s="2">
        <v>4150.5545417600006</v>
      </c>
      <c r="E253" s="2">
        <v>4026.0379055072003</v>
      </c>
      <c r="F253" s="2">
        <v>3905.2567683419843</v>
      </c>
      <c r="G253" s="2">
        <v>3788.0990652917249</v>
      </c>
      <c r="H253" s="2">
        <v>3674.4560933329731</v>
      </c>
      <c r="I253" s="2">
        <v>3564.2224105329838</v>
      </c>
      <c r="J253" s="2">
        <v>3457.2957382169943</v>
      </c>
      <c r="K253" s="2">
        <v>3353.5768660704844</v>
      </c>
      <c r="L253" s="2">
        <v>3252.9695600883697</v>
      </c>
      <c r="M253" s="2">
        <v>3155.3804732857184</v>
      </c>
      <c r="N253" s="2">
        <v>3060.7190590871469</v>
      </c>
      <c r="O253" s="2">
        <v>2968.8974873145326</v>
      </c>
    </row>
    <row r="254" spans="1:15" x14ac:dyDescent="0.25">
      <c r="A254" t="s">
        <v>1735</v>
      </c>
      <c r="B254" t="s">
        <v>1736</v>
      </c>
      <c r="C254" s="2">
        <v>4263.1188160000011</v>
      </c>
      <c r="D254" s="2">
        <v>4135.2252515200007</v>
      </c>
      <c r="E254" s="2">
        <v>4011.1684939744005</v>
      </c>
      <c r="F254" s="2">
        <v>3890.8334391551684</v>
      </c>
      <c r="G254" s="2">
        <v>3774.1084359805131</v>
      </c>
      <c r="H254" s="2">
        <v>3660.8851829010978</v>
      </c>
      <c r="I254" s="2">
        <v>3551.0586274140646</v>
      </c>
      <c r="J254" s="2">
        <v>3444.5268685916426</v>
      </c>
      <c r="K254" s="2">
        <v>3341.1910625338933</v>
      </c>
      <c r="L254" s="2">
        <v>3240.9553306578764</v>
      </c>
      <c r="M254" s="2">
        <v>3143.72667073814</v>
      </c>
      <c r="N254" s="2">
        <v>3049.4148706159958</v>
      </c>
      <c r="O254" s="2">
        <v>2957.932424497516</v>
      </c>
    </row>
    <row r="255" spans="1:15" x14ac:dyDescent="0.25">
      <c r="A255" t="s">
        <v>1737</v>
      </c>
      <c r="B255" t="s">
        <v>1738</v>
      </c>
      <c r="C255" s="2">
        <v>4251.3148480000009</v>
      </c>
      <c r="D255" s="2">
        <v>4123.7754025600007</v>
      </c>
      <c r="E255" s="2">
        <v>4000.0621404832004</v>
      </c>
      <c r="F255" s="2">
        <v>3880.0602762687045</v>
      </c>
      <c r="G255" s="2">
        <v>3763.6584679806433</v>
      </c>
      <c r="H255" s="2">
        <v>3650.7487139412237</v>
      </c>
      <c r="I255" s="2">
        <v>3541.2262525229871</v>
      </c>
      <c r="J255" s="2">
        <v>3434.9894649472976</v>
      </c>
      <c r="K255" s="2">
        <v>3331.9397809988786</v>
      </c>
      <c r="L255" s="2">
        <v>3231.9815875689123</v>
      </c>
      <c r="M255" s="2">
        <v>3135.0221399418447</v>
      </c>
      <c r="N255" s="2">
        <v>3040.9714757435891</v>
      </c>
      <c r="O255" s="2">
        <v>2949.7423314712814</v>
      </c>
    </row>
    <row r="256" spans="1:15" x14ac:dyDescent="0.25">
      <c r="A256" t="s">
        <v>1739</v>
      </c>
      <c r="B256" t="s">
        <v>1740</v>
      </c>
      <c r="C256" s="2">
        <v>4246.6596480000007</v>
      </c>
      <c r="D256" s="2">
        <v>4119.2598585600008</v>
      </c>
      <c r="E256" s="2">
        <v>3995.6820628032006</v>
      </c>
      <c r="F256" s="2">
        <v>3875.8116009191044</v>
      </c>
      <c r="G256" s="2">
        <v>3759.5372528915314</v>
      </c>
      <c r="H256" s="2">
        <v>3646.7511353047853</v>
      </c>
      <c r="I256" s="2">
        <v>3537.3486012456415</v>
      </c>
      <c r="J256" s="2">
        <v>3431.2281432082723</v>
      </c>
      <c r="K256" s="2">
        <v>3328.2912989120241</v>
      </c>
      <c r="L256" s="2">
        <v>3228.4425599446631</v>
      </c>
      <c r="M256" s="2">
        <v>3131.5892831463229</v>
      </c>
      <c r="N256" s="2">
        <v>3037.641604651933</v>
      </c>
      <c r="O256" s="2">
        <v>2946.5123565123749</v>
      </c>
    </row>
    <row r="257" spans="1:15" x14ac:dyDescent="0.25">
      <c r="A257" t="s">
        <v>1741</v>
      </c>
      <c r="B257" t="s">
        <v>1742</v>
      </c>
      <c r="C257" s="2">
        <v>4233.7303360000014</v>
      </c>
      <c r="D257" s="2">
        <v>4106.7184259200012</v>
      </c>
      <c r="E257" s="2">
        <v>3983.516873142401</v>
      </c>
      <c r="F257" s="2">
        <v>3864.0113669481289</v>
      </c>
      <c r="G257" s="2">
        <v>3748.0910259396851</v>
      </c>
      <c r="H257" s="2">
        <v>3635.6482951614944</v>
      </c>
      <c r="I257" s="2">
        <v>3526.5788463066497</v>
      </c>
      <c r="J257" s="2">
        <v>3420.7814809174502</v>
      </c>
      <c r="K257" s="2">
        <v>3318.1580364899264</v>
      </c>
      <c r="L257" s="2">
        <v>3218.6132953952288</v>
      </c>
      <c r="M257" s="2">
        <v>3122.0548965333719</v>
      </c>
      <c r="N257" s="2">
        <v>3028.3932496373704</v>
      </c>
      <c r="O257" s="2">
        <v>2937.5414521482494</v>
      </c>
    </row>
    <row r="258" spans="1:15" x14ac:dyDescent="0.25">
      <c r="A258" t="s">
        <v>1743</v>
      </c>
      <c r="B258" t="s">
        <v>1744</v>
      </c>
      <c r="C258" s="2">
        <v>4233.244576000001</v>
      </c>
      <c r="D258" s="2">
        <v>4106.2472387200005</v>
      </c>
      <c r="E258" s="2">
        <v>3983.0598215584005</v>
      </c>
      <c r="F258" s="2">
        <v>3863.5680269116483</v>
      </c>
      <c r="G258" s="2">
        <v>3747.6609861042989</v>
      </c>
      <c r="H258" s="2">
        <v>3635.2311565211699</v>
      </c>
      <c r="I258" s="2">
        <v>3526.1742218255345</v>
      </c>
      <c r="J258" s="2">
        <v>3420.3889951707683</v>
      </c>
      <c r="K258" s="2">
        <v>3317.7773253156452</v>
      </c>
      <c r="L258" s="2">
        <v>3218.2440055561756</v>
      </c>
      <c r="M258" s="2">
        <v>3121.6966853894901</v>
      </c>
      <c r="N258" s="2">
        <v>3028.0457848278052</v>
      </c>
      <c r="O258" s="2">
        <v>2937.2044112829708</v>
      </c>
    </row>
    <row r="259" spans="1:15" x14ac:dyDescent="0.25">
      <c r="A259" t="s">
        <v>1745</v>
      </c>
      <c r="B259" t="s">
        <v>1746</v>
      </c>
      <c r="C259" s="2">
        <v>4231.997792000001</v>
      </c>
      <c r="D259" s="2">
        <v>4105.0378582400008</v>
      </c>
      <c r="E259" s="2">
        <v>3981.8867224928008</v>
      </c>
      <c r="F259" s="2">
        <v>3862.4301208180168</v>
      </c>
      <c r="G259" s="2">
        <v>3746.5572171934764</v>
      </c>
      <c r="H259" s="2">
        <v>3634.1605006776722</v>
      </c>
      <c r="I259" s="2">
        <v>3525.135685657342</v>
      </c>
      <c r="J259" s="2">
        <v>3419.3816150876219</v>
      </c>
      <c r="K259" s="2">
        <v>3316.8001666349933</v>
      </c>
      <c r="L259" s="2">
        <v>3217.2961616359435</v>
      </c>
      <c r="M259" s="2">
        <v>3120.7772767868651</v>
      </c>
      <c r="N259" s="2">
        <v>3027.153958483259</v>
      </c>
      <c r="O259" s="2">
        <v>2936.3393397287609</v>
      </c>
    </row>
    <row r="260" spans="1:15" x14ac:dyDescent="0.25">
      <c r="A260" t="s">
        <v>1747</v>
      </c>
      <c r="B260" t="s">
        <v>1748</v>
      </c>
      <c r="C260" s="2">
        <v>4224.7260660000002</v>
      </c>
      <c r="D260" s="2">
        <v>4097.9842840199999</v>
      </c>
      <c r="E260" s="2">
        <v>3975.0447554993998</v>
      </c>
      <c r="F260" s="2">
        <v>3855.7934128344177</v>
      </c>
      <c r="G260" s="2">
        <v>3740.1196104493852</v>
      </c>
      <c r="H260" s="2">
        <v>3627.9160221359034</v>
      </c>
      <c r="I260" s="2">
        <v>3519.0785414718262</v>
      </c>
      <c r="J260" s="2">
        <v>3413.5061852276713</v>
      </c>
      <c r="K260" s="2">
        <v>3311.1009996708412</v>
      </c>
      <c r="L260" s="2">
        <v>3211.7679696807159</v>
      </c>
      <c r="M260" s="2">
        <v>3115.4149305902943</v>
      </c>
      <c r="N260" s="2">
        <v>3021.9524826725856</v>
      </c>
      <c r="O260" s="2">
        <v>2931.2939081924078</v>
      </c>
    </row>
    <row r="261" spans="1:15" x14ac:dyDescent="0.25">
      <c r="A261" t="s">
        <v>1749</v>
      </c>
      <c r="B261" t="s">
        <v>1750</v>
      </c>
      <c r="C261" s="2">
        <v>4218.3155520000009</v>
      </c>
      <c r="D261" s="2">
        <v>4091.766085440001</v>
      </c>
      <c r="E261" s="2">
        <v>3969.013102876801</v>
      </c>
      <c r="F261" s="2">
        <v>3849.9427097904968</v>
      </c>
      <c r="G261" s="2">
        <v>3734.4444284967817</v>
      </c>
      <c r="H261" s="2">
        <v>3622.4110956418781</v>
      </c>
      <c r="I261" s="2">
        <v>3513.7387627726216</v>
      </c>
      <c r="J261" s="2">
        <v>3408.3265998894431</v>
      </c>
      <c r="K261" s="2">
        <v>3306.0768018927597</v>
      </c>
      <c r="L261" s="2">
        <v>3206.8944978359768</v>
      </c>
      <c r="M261" s="2">
        <v>3110.6876629008975</v>
      </c>
      <c r="N261" s="2">
        <v>3017.3670330138707</v>
      </c>
      <c r="O261" s="2">
        <v>2926.8460220234547</v>
      </c>
    </row>
    <row r="262" spans="1:15" x14ac:dyDescent="0.25">
      <c r="A262" t="s">
        <v>1751</v>
      </c>
      <c r="B262" t="s">
        <v>1752</v>
      </c>
      <c r="C262" s="2">
        <v>4215.3362240000006</v>
      </c>
      <c r="D262" s="2">
        <v>4088.8761372800004</v>
      </c>
      <c r="E262" s="2">
        <v>3966.2098531616002</v>
      </c>
      <c r="F262" s="2">
        <v>3847.2235575667523</v>
      </c>
      <c r="G262" s="2">
        <v>3731.8068508397496</v>
      </c>
      <c r="H262" s="2">
        <v>3619.8526453145569</v>
      </c>
      <c r="I262" s="2">
        <v>3511.2570659551202</v>
      </c>
      <c r="J262" s="2">
        <v>3405.9193539764665</v>
      </c>
      <c r="K262" s="2">
        <v>3303.7417733571724</v>
      </c>
      <c r="L262" s="2">
        <v>3204.6295201564571</v>
      </c>
      <c r="M262" s="2">
        <v>3108.4906345517634</v>
      </c>
      <c r="N262" s="2">
        <v>3015.2359155152103</v>
      </c>
      <c r="O262" s="2">
        <v>2924.7788380497541</v>
      </c>
    </row>
    <row r="263" spans="1:15" x14ac:dyDescent="0.25">
      <c r="A263" t="s">
        <v>1753</v>
      </c>
      <c r="B263" t="s">
        <v>1754</v>
      </c>
      <c r="C263" s="2">
        <v>4206.1796480000003</v>
      </c>
      <c r="D263" s="2">
        <v>4079.9942585600002</v>
      </c>
      <c r="E263" s="2">
        <v>3957.5944308031999</v>
      </c>
      <c r="F263" s="2">
        <v>3838.8665978791037</v>
      </c>
      <c r="G263" s="2">
        <v>3723.7005999427306</v>
      </c>
      <c r="H263" s="2">
        <v>3611.9895819444487</v>
      </c>
      <c r="I263" s="2">
        <v>3503.6298944861151</v>
      </c>
      <c r="J263" s="2">
        <v>3398.5209976515316</v>
      </c>
      <c r="K263" s="2">
        <v>3296.5653677219857</v>
      </c>
      <c r="L263" s="2">
        <v>3197.6684066903258</v>
      </c>
      <c r="M263" s="2">
        <v>3101.7383544896161</v>
      </c>
      <c r="N263" s="2">
        <v>3008.6862038549275</v>
      </c>
      <c r="O263" s="2">
        <v>2918.4256177392795</v>
      </c>
    </row>
    <row r="264" spans="1:15" x14ac:dyDescent="0.25">
      <c r="A264" t="s">
        <v>1755</v>
      </c>
      <c r="B264" t="s">
        <v>1756</v>
      </c>
      <c r="C264" s="2">
        <v>4187.8341120000005</v>
      </c>
      <c r="D264" s="2">
        <v>4062.1990886400004</v>
      </c>
      <c r="E264" s="2">
        <v>3940.3331159808004</v>
      </c>
      <c r="F264" s="2">
        <v>3822.1231225013762</v>
      </c>
      <c r="G264" s="2">
        <v>3707.4594288263347</v>
      </c>
      <c r="H264" s="2">
        <v>3596.2356459615444</v>
      </c>
      <c r="I264" s="2">
        <v>3488.3485765826981</v>
      </c>
      <c r="J264" s="2">
        <v>3383.6981192852172</v>
      </c>
      <c r="K264" s="2">
        <v>3282.1871757066606</v>
      </c>
      <c r="L264" s="2">
        <v>3183.7215604354606</v>
      </c>
      <c r="M264" s="2">
        <v>3088.2099136223965</v>
      </c>
      <c r="N264" s="2">
        <v>2995.5636162137243</v>
      </c>
      <c r="O264" s="2">
        <v>2905.6967077273125</v>
      </c>
    </row>
    <row r="265" spans="1:15" x14ac:dyDescent="0.25">
      <c r="A265" t="s">
        <v>1757</v>
      </c>
      <c r="B265" t="s">
        <v>1758</v>
      </c>
      <c r="C265" s="2">
        <v>4174.7590720000007</v>
      </c>
      <c r="D265" s="2">
        <v>4049.5162998400006</v>
      </c>
      <c r="E265" s="2">
        <v>3928.0308108448003</v>
      </c>
      <c r="F265" s="2">
        <v>3810.1898865194562</v>
      </c>
      <c r="G265" s="2">
        <v>3695.8841899238723</v>
      </c>
      <c r="H265" s="2">
        <v>3585.0076642261561</v>
      </c>
      <c r="I265" s="2">
        <v>3477.4574342993715</v>
      </c>
      <c r="J265" s="2">
        <v>3373.1337112703904</v>
      </c>
      <c r="K265" s="2">
        <v>3271.9396999322785</v>
      </c>
      <c r="L265" s="2">
        <v>3173.7815089343098</v>
      </c>
      <c r="M265" s="2">
        <v>3078.5680636662805</v>
      </c>
      <c r="N265" s="2">
        <v>2986.2110217562922</v>
      </c>
      <c r="O265" s="2">
        <v>2896.6246911036033</v>
      </c>
    </row>
    <row r="266" spans="1:15" x14ac:dyDescent="0.25">
      <c r="A266" t="s">
        <v>1759</v>
      </c>
      <c r="B266" t="s">
        <v>1760</v>
      </c>
      <c r="C266" s="2">
        <v>4162.8822399999999</v>
      </c>
      <c r="D266" s="2">
        <v>4037.9957727999999</v>
      </c>
      <c r="E266" s="2">
        <v>3916.855899616</v>
      </c>
      <c r="F266" s="2">
        <v>3799.35022262752</v>
      </c>
      <c r="G266" s="2">
        <v>3685.3697159486942</v>
      </c>
      <c r="H266" s="2">
        <v>3574.8086244702331</v>
      </c>
      <c r="I266" s="2">
        <v>3467.5643657361261</v>
      </c>
      <c r="J266" s="2">
        <v>3363.5374347640422</v>
      </c>
      <c r="K266" s="2">
        <v>3262.6313117211207</v>
      </c>
      <c r="L266" s="2">
        <v>3164.7523723694871</v>
      </c>
      <c r="M266" s="2">
        <v>3069.8098011984025</v>
      </c>
      <c r="N266" s="2">
        <v>2977.7155071624502</v>
      </c>
      <c r="O266" s="2">
        <v>2888.3840419475764</v>
      </c>
    </row>
    <row r="267" spans="1:15" x14ac:dyDescent="0.25">
      <c r="A267" t="s">
        <v>1761</v>
      </c>
      <c r="B267" t="s">
        <v>1762</v>
      </c>
      <c r="C267" s="2">
        <v>4162.5766160000003</v>
      </c>
      <c r="D267" s="2">
        <v>4037.69931752</v>
      </c>
      <c r="E267" s="2">
        <v>3916.5683379943998</v>
      </c>
      <c r="F267" s="2">
        <v>3799.0712878545678</v>
      </c>
      <c r="G267" s="2">
        <v>3685.0991492189305</v>
      </c>
      <c r="H267" s="2">
        <v>3574.5461747423624</v>
      </c>
      <c r="I267" s="2">
        <v>3467.3097895000915</v>
      </c>
      <c r="J267" s="2">
        <v>3363.2904958150884</v>
      </c>
      <c r="K267" s="2">
        <v>3262.3917809406357</v>
      </c>
      <c r="L267" s="2">
        <v>3164.5200275124166</v>
      </c>
      <c r="M267" s="2">
        <v>3069.584426687044</v>
      </c>
      <c r="N267" s="2">
        <v>2977.4968938864326</v>
      </c>
      <c r="O267" s="2">
        <v>2888.1719870698394</v>
      </c>
    </row>
    <row r="268" spans="1:15" x14ac:dyDescent="0.25">
      <c r="A268" t="s">
        <v>1763</v>
      </c>
      <c r="B268" t="s">
        <v>1764</v>
      </c>
      <c r="C268" s="2">
        <v>4162.145504000001</v>
      </c>
      <c r="D268" s="2">
        <v>4037.281138880001</v>
      </c>
      <c r="E268" s="2">
        <v>3916.1627047136008</v>
      </c>
      <c r="F268" s="2">
        <v>3798.6778235721927</v>
      </c>
      <c r="G268" s="2">
        <v>3684.717488865027</v>
      </c>
      <c r="H268" s="2">
        <v>3574.1759641990761</v>
      </c>
      <c r="I268" s="2">
        <v>3466.9506852731038</v>
      </c>
      <c r="J268" s="2">
        <v>3362.9421647149106</v>
      </c>
      <c r="K268" s="2">
        <v>3262.0538997734634</v>
      </c>
      <c r="L268" s="2">
        <v>3164.1922827802596</v>
      </c>
      <c r="M268" s="2">
        <v>3069.2665142968517</v>
      </c>
      <c r="N268" s="2">
        <v>2977.1885188679462</v>
      </c>
      <c r="O268" s="2">
        <v>2887.8728633019077</v>
      </c>
    </row>
    <row r="269" spans="1:15" x14ac:dyDescent="0.25">
      <c r="A269" t="s">
        <v>1765</v>
      </c>
      <c r="B269" t="s">
        <v>1766</v>
      </c>
      <c r="C269" s="2">
        <v>4159.3200000000006</v>
      </c>
      <c r="D269" s="2">
        <v>4034.5404000000003</v>
      </c>
      <c r="E269" s="2">
        <v>3913.5041880000003</v>
      </c>
      <c r="F269" s="2">
        <v>3796.0990623600001</v>
      </c>
      <c r="G269" s="2">
        <v>3682.2160904891998</v>
      </c>
      <c r="H269" s="2">
        <v>3571.7496077745236</v>
      </c>
      <c r="I269" s="2">
        <v>3464.5971195412876</v>
      </c>
      <c r="J269" s="2">
        <v>3360.6592059550489</v>
      </c>
      <c r="K269" s="2">
        <v>3259.8394297763975</v>
      </c>
      <c r="L269" s="2">
        <v>3162.0442468831056</v>
      </c>
      <c r="M269" s="2">
        <v>3067.1829194766124</v>
      </c>
      <c r="N269" s="2">
        <v>2975.1674318923137</v>
      </c>
      <c r="O269" s="2">
        <v>2885.9124089355441</v>
      </c>
    </row>
    <row r="270" spans="1:15" x14ac:dyDescent="0.25">
      <c r="A270" t="s">
        <v>1767</v>
      </c>
      <c r="B270" t="s">
        <v>1768</v>
      </c>
      <c r="C270" s="2">
        <v>4145.3554120000008</v>
      </c>
      <c r="D270" s="2">
        <v>4020.9947496400005</v>
      </c>
      <c r="E270" s="2">
        <v>3900.3649071508003</v>
      </c>
      <c r="F270" s="2">
        <v>3783.3539599362762</v>
      </c>
      <c r="G270" s="2">
        <v>3669.8533411381877</v>
      </c>
      <c r="H270" s="2">
        <v>3559.7577409040418</v>
      </c>
      <c r="I270" s="2">
        <v>3452.9650086769207</v>
      </c>
      <c r="J270" s="2">
        <v>3349.376058416613</v>
      </c>
      <c r="K270" s="2">
        <v>3248.8947766641145</v>
      </c>
      <c r="L270" s="2">
        <v>3151.4279333641912</v>
      </c>
      <c r="M270" s="2">
        <v>3056.8850953632655</v>
      </c>
      <c r="N270" s="2">
        <v>2965.1785425023672</v>
      </c>
      <c r="O270" s="2">
        <v>2876.2231862272961</v>
      </c>
    </row>
    <row r="271" spans="1:15" x14ac:dyDescent="0.25">
      <c r="A271" t="s">
        <v>1769</v>
      </c>
      <c r="B271" t="s">
        <v>1770</v>
      </c>
      <c r="C271" s="2">
        <v>4141.0068480000009</v>
      </c>
      <c r="D271" s="2">
        <v>4016.7766425600007</v>
      </c>
      <c r="E271" s="2">
        <v>3896.2733432832006</v>
      </c>
      <c r="F271" s="2">
        <v>3779.3851429847045</v>
      </c>
      <c r="G271" s="2">
        <v>3666.0035886951632</v>
      </c>
      <c r="H271" s="2">
        <v>3556.0234810343081</v>
      </c>
      <c r="I271" s="2">
        <v>3449.3427766032787</v>
      </c>
      <c r="J271" s="2">
        <v>3345.8624933051801</v>
      </c>
      <c r="K271" s="2">
        <v>3245.4866185060246</v>
      </c>
      <c r="L271" s="2">
        <v>3148.1220199508439</v>
      </c>
      <c r="M271" s="2">
        <v>3053.6783593523187</v>
      </c>
      <c r="N271" s="2">
        <v>2962.068008571749</v>
      </c>
      <c r="O271" s="2">
        <v>2873.2059683145967</v>
      </c>
    </row>
    <row r="272" spans="1:15" x14ac:dyDescent="0.25">
      <c r="A272" t="s">
        <v>1771</v>
      </c>
      <c r="B272" t="s">
        <v>1772</v>
      </c>
      <c r="C272" s="2">
        <v>4127.8847500000002</v>
      </c>
      <c r="D272" s="2">
        <v>4004.0482075</v>
      </c>
      <c r="E272" s="2">
        <v>3883.926761275</v>
      </c>
      <c r="F272" s="2">
        <v>3767.4089584367498</v>
      </c>
      <c r="G272" s="2">
        <v>3654.3866896836471</v>
      </c>
      <c r="H272" s="2">
        <v>3544.7550889931376</v>
      </c>
      <c r="I272" s="2">
        <v>3438.4124363233436</v>
      </c>
      <c r="J272" s="2">
        <v>3335.2600632336435</v>
      </c>
      <c r="K272" s="2">
        <v>3235.2022613366339</v>
      </c>
      <c r="L272" s="2">
        <v>3138.146193496535</v>
      </c>
      <c r="M272" s="2">
        <v>3044.001807691639</v>
      </c>
      <c r="N272" s="2">
        <v>2952.6817534608899</v>
      </c>
      <c r="O272" s="2">
        <v>2864.1013008570631</v>
      </c>
    </row>
    <row r="273" spans="1:15" x14ac:dyDescent="0.25">
      <c r="A273" t="s">
        <v>1773</v>
      </c>
      <c r="B273" t="s">
        <v>1774</v>
      </c>
      <c r="C273" s="2">
        <v>4127.6889280000014</v>
      </c>
      <c r="D273" s="2">
        <v>4003.8582601600015</v>
      </c>
      <c r="E273" s="2">
        <v>3883.7425123552011</v>
      </c>
      <c r="F273" s="2">
        <v>3767.2302369845452</v>
      </c>
      <c r="G273" s="2">
        <v>3654.2133298750086</v>
      </c>
      <c r="H273" s="2">
        <v>3544.5869299787582</v>
      </c>
      <c r="I273" s="2">
        <v>3438.2493220793954</v>
      </c>
      <c r="J273" s="2">
        <v>3335.1018424170134</v>
      </c>
      <c r="K273" s="2">
        <v>3235.048787144503</v>
      </c>
      <c r="L273" s="2">
        <v>3137.9973235301677</v>
      </c>
      <c r="M273" s="2">
        <v>3043.8574038242627</v>
      </c>
      <c r="N273" s="2">
        <v>2952.5416817095347</v>
      </c>
      <c r="O273" s="2">
        <v>2863.9654312582484</v>
      </c>
    </row>
    <row r="274" spans="1:15" x14ac:dyDescent="0.25">
      <c r="A274" t="s">
        <v>1775</v>
      </c>
      <c r="B274" t="s">
        <v>1776</v>
      </c>
      <c r="C274" s="2">
        <v>4121.8598080000002</v>
      </c>
      <c r="D274" s="2">
        <v>3998.2040137600002</v>
      </c>
      <c r="E274" s="2">
        <v>3878.2578933472</v>
      </c>
      <c r="F274" s="2">
        <v>3761.910156546784</v>
      </c>
      <c r="G274" s="2">
        <v>3649.0528518503802</v>
      </c>
      <c r="H274" s="2">
        <v>3539.5812662948688</v>
      </c>
      <c r="I274" s="2">
        <v>3433.3938283060224</v>
      </c>
      <c r="J274" s="2">
        <v>3330.3920134568416</v>
      </c>
      <c r="K274" s="2">
        <v>3230.480253053136</v>
      </c>
      <c r="L274" s="2">
        <v>3133.5658454615418</v>
      </c>
      <c r="M274" s="2">
        <v>3039.5588700976955</v>
      </c>
      <c r="N274" s="2">
        <v>2948.3721039947645</v>
      </c>
      <c r="O274" s="2">
        <v>2859.9209408749216</v>
      </c>
    </row>
    <row r="275" spans="1:15" x14ac:dyDescent="0.25">
      <c r="A275" t="s">
        <v>1777</v>
      </c>
      <c r="B275" t="s">
        <v>1778</v>
      </c>
      <c r="C275" s="2">
        <v>4071.6534760000004</v>
      </c>
      <c r="D275" s="2">
        <v>3949.5038717200005</v>
      </c>
      <c r="E275" s="2">
        <v>3831.0187555684001</v>
      </c>
      <c r="F275" s="2">
        <v>3716.0881929013481</v>
      </c>
      <c r="G275" s="2">
        <v>3604.6055471143077</v>
      </c>
      <c r="H275" s="2">
        <v>3496.4673807008785</v>
      </c>
      <c r="I275" s="2">
        <v>3391.573359279852</v>
      </c>
      <c r="J275" s="2">
        <v>3289.8261585014561</v>
      </c>
      <c r="K275" s="2">
        <v>3191.1313737464125</v>
      </c>
      <c r="L275" s="2">
        <v>3095.39743253402</v>
      </c>
      <c r="M275" s="2">
        <v>3002.5355095579994</v>
      </c>
      <c r="N275" s="2">
        <v>2912.4594442712591</v>
      </c>
      <c r="O275" s="2">
        <v>2825.0856609431212</v>
      </c>
    </row>
    <row r="276" spans="1:15" x14ac:dyDescent="0.25">
      <c r="A276" t="s">
        <v>1779</v>
      </c>
      <c r="B276" t="s">
        <v>1780</v>
      </c>
      <c r="C276" s="2">
        <v>4069.7094240000001</v>
      </c>
      <c r="D276" s="2">
        <v>3947.6181412800001</v>
      </c>
      <c r="E276" s="2">
        <v>3829.1895970415999</v>
      </c>
      <c r="F276" s="2">
        <v>3714.3139091303519</v>
      </c>
      <c r="G276" s="2">
        <v>3602.8844918564414</v>
      </c>
      <c r="H276" s="2">
        <v>3494.7979571007481</v>
      </c>
      <c r="I276" s="2">
        <v>3389.9540183877257</v>
      </c>
      <c r="J276" s="2">
        <v>3288.2553978360938</v>
      </c>
      <c r="K276" s="2">
        <v>3189.607735901011</v>
      </c>
      <c r="L276" s="2">
        <v>3093.9195038239804</v>
      </c>
      <c r="M276" s="2">
        <v>3001.1019187092611</v>
      </c>
      <c r="N276" s="2">
        <v>2911.0688611479832</v>
      </c>
      <c r="O276" s="2">
        <v>2823.7367953135436</v>
      </c>
    </row>
    <row r="277" spans="1:15" x14ac:dyDescent="0.25">
      <c r="A277" t="s">
        <v>1781</v>
      </c>
      <c r="B277" t="s">
        <v>1782</v>
      </c>
      <c r="C277" s="2">
        <v>4068.3047680000009</v>
      </c>
      <c r="D277" s="2">
        <v>3946.2556249600007</v>
      </c>
      <c r="E277" s="2">
        <v>3827.8679562112006</v>
      </c>
      <c r="F277" s="2">
        <v>3713.0319175248646</v>
      </c>
      <c r="G277" s="2">
        <v>3601.6409599991184</v>
      </c>
      <c r="H277" s="2">
        <v>3493.5917311991448</v>
      </c>
      <c r="I277" s="2">
        <v>3388.7839792631703</v>
      </c>
      <c r="J277" s="2">
        <v>3287.1204598852751</v>
      </c>
      <c r="K277" s="2">
        <v>3188.5068460887169</v>
      </c>
      <c r="L277" s="2">
        <v>3092.8516407060552</v>
      </c>
      <c r="M277" s="2">
        <v>3000.0660914848736</v>
      </c>
      <c r="N277" s="2">
        <v>2910.0641087403274</v>
      </c>
      <c r="O277" s="2">
        <v>2822.7621854781173</v>
      </c>
    </row>
    <row r="278" spans="1:15" x14ac:dyDescent="0.25">
      <c r="A278" t="s">
        <v>1783</v>
      </c>
      <c r="B278" t="s">
        <v>1784</v>
      </c>
      <c r="C278" s="2">
        <v>4054.9544640000008</v>
      </c>
      <c r="D278" s="2">
        <v>3933.3058300800008</v>
      </c>
      <c r="E278" s="2">
        <v>3815.3066551776005</v>
      </c>
      <c r="F278" s="2">
        <v>3700.8474555222724</v>
      </c>
      <c r="G278" s="2">
        <v>3589.8220318566041</v>
      </c>
      <c r="H278" s="2">
        <v>3482.127370900906</v>
      </c>
      <c r="I278" s="2">
        <v>3377.6635497738789</v>
      </c>
      <c r="J278" s="2">
        <v>3276.3336432806623</v>
      </c>
      <c r="K278" s="2">
        <v>3178.0436339822422</v>
      </c>
      <c r="L278" s="2">
        <v>3082.702324962775</v>
      </c>
      <c r="M278" s="2">
        <v>2990.2212552138917</v>
      </c>
      <c r="N278" s="2">
        <v>2900.514617557475</v>
      </c>
      <c r="O278" s="2">
        <v>2813.4991790307508</v>
      </c>
    </row>
    <row r="279" spans="1:15" x14ac:dyDescent="0.25">
      <c r="A279" t="s">
        <v>1785</v>
      </c>
      <c r="B279" t="s">
        <v>1786</v>
      </c>
      <c r="C279" s="2">
        <v>4054.0881920000011</v>
      </c>
      <c r="D279" s="2">
        <v>3932.465546240001</v>
      </c>
      <c r="E279" s="2">
        <v>3814.4915798528009</v>
      </c>
      <c r="F279" s="2">
        <v>3700.0568324572168</v>
      </c>
      <c r="G279" s="2">
        <v>3589.0551274835002</v>
      </c>
      <c r="H279" s="2">
        <v>3481.3834736589952</v>
      </c>
      <c r="I279" s="2">
        <v>3376.9419694492253</v>
      </c>
      <c r="J279" s="2">
        <v>3275.6337103657484</v>
      </c>
      <c r="K279" s="2">
        <v>3177.3646990547759</v>
      </c>
      <c r="L279" s="2">
        <v>3082.0437580831326</v>
      </c>
      <c r="M279" s="2">
        <v>2989.5824453406385</v>
      </c>
      <c r="N279" s="2">
        <v>2899.8949719804191</v>
      </c>
      <c r="O279" s="2">
        <v>2812.8981228210064</v>
      </c>
    </row>
    <row r="280" spans="1:15" x14ac:dyDescent="0.25">
      <c r="A280" t="s">
        <v>1787</v>
      </c>
      <c r="B280" t="s">
        <v>1788</v>
      </c>
      <c r="C280" s="2">
        <v>4052.2746880000004</v>
      </c>
      <c r="D280" s="2">
        <v>3930.7064473600003</v>
      </c>
      <c r="E280" s="2">
        <v>3812.7852539392002</v>
      </c>
      <c r="F280" s="2">
        <v>3698.4016963210242</v>
      </c>
      <c r="G280" s="2">
        <v>3587.4496454313935</v>
      </c>
      <c r="H280" s="2">
        <v>3479.8261560684514</v>
      </c>
      <c r="I280" s="2">
        <v>3375.4313713863976</v>
      </c>
      <c r="J280" s="2">
        <v>3274.1684302448057</v>
      </c>
      <c r="K280" s="2">
        <v>3175.9433773374612</v>
      </c>
      <c r="L280" s="2">
        <v>3080.6650760173375</v>
      </c>
      <c r="M280" s="2">
        <v>2988.2451237368173</v>
      </c>
      <c r="N280" s="2">
        <v>2898.5977700247126</v>
      </c>
      <c r="O280" s="2">
        <v>2811.6398369239714</v>
      </c>
    </row>
    <row r="281" spans="1:15" x14ac:dyDescent="0.25">
      <c r="A281" t="s">
        <v>1789</v>
      </c>
      <c r="B281" t="s">
        <v>1790</v>
      </c>
      <c r="C281" s="2">
        <v>4035.0464000000011</v>
      </c>
      <c r="D281" s="2">
        <v>3913.9950080000008</v>
      </c>
      <c r="E281" s="2">
        <v>3796.5751577600008</v>
      </c>
      <c r="F281" s="2">
        <v>3682.6779030272005</v>
      </c>
      <c r="G281" s="2">
        <v>3572.1975659363843</v>
      </c>
      <c r="H281" s="2">
        <v>3465.0316389582927</v>
      </c>
      <c r="I281" s="2">
        <v>3361.0806897895436</v>
      </c>
      <c r="J281" s="2">
        <v>3260.2482690958573</v>
      </c>
      <c r="K281" s="2">
        <v>3162.4408210229813</v>
      </c>
      <c r="L281" s="2">
        <v>3067.5675963922918</v>
      </c>
      <c r="M281" s="2">
        <v>2975.540568500523</v>
      </c>
      <c r="N281" s="2">
        <v>2886.2743514455074</v>
      </c>
      <c r="O281" s="2">
        <v>2799.6861209021422</v>
      </c>
    </row>
    <row r="282" spans="1:15" x14ac:dyDescent="0.25">
      <c r="A282" t="s">
        <v>1791</v>
      </c>
      <c r="B282" t="s">
        <v>1792</v>
      </c>
      <c r="C282" s="2">
        <v>4029.4348600000003</v>
      </c>
      <c r="D282" s="2">
        <v>3908.5518142000001</v>
      </c>
      <c r="E282" s="2">
        <v>3791.295259774</v>
      </c>
      <c r="F282" s="2">
        <v>3677.5564019807798</v>
      </c>
      <c r="G282" s="2">
        <v>3567.2297099213565</v>
      </c>
      <c r="H282" s="2">
        <v>3460.2128186237155</v>
      </c>
      <c r="I282" s="2">
        <v>3356.4064340650039</v>
      </c>
      <c r="J282" s="2">
        <v>3255.7142410430538</v>
      </c>
      <c r="K282" s="2">
        <v>3158.0428138117622</v>
      </c>
      <c r="L282" s="2">
        <v>3063.3015293974095</v>
      </c>
      <c r="M282" s="2">
        <v>2971.4024835154869</v>
      </c>
      <c r="N282" s="2">
        <v>2882.2604090100222</v>
      </c>
      <c r="O282" s="2">
        <v>2795.7925967397214</v>
      </c>
    </row>
    <row r="283" spans="1:15" x14ac:dyDescent="0.25">
      <c r="A283" t="s">
        <v>1793</v>
      </c>
      <c r="B283" t="s">
        <v>1792</v>
      </c>
      <c r="C283" s="2">
        <v>4029.4348600000003</v>
      </c>
      <c r="D283" s="2">
        <v>3908.5518142000001</v>
      </c>
      <c r="E283" s="2">
        <v>3791.295259774</v>
      </c>
      <c r="F283" s="2">
        <v>3677.5564019807798</v>
      </c>
      <c r="G283" s="2">
        <v>3567.2297099213565</v>
      </c>
      <c r="H283" s="2">
        <v>3460.2128186237155</v>
      </c>
      <c r="I283" s="2">
        <v>3356.4064340650039</v>
      </c>
      <c r="J283" s="2">
        <v>3255.7142410430538</v>
      </c>
      <c r="K283" s="2">
        <v>3158.0428138117622</v>
      </c>
      <c r="L283" s="2">
        <v>3063.3015293974095</v>
      </c>
      <c r="M283" s="2">
        <v>2971.4024835154869</v>
      </c>
      <c r="N283" s="2">
        <v>2882.2604090100222</v>
      </c>
      <c r="O283" s="2">
        <v>2795.7925967397214</v>
      </c>
    </row>
    <row r="284" spans="1:15" x14ac:dyDescent="0.25">
      <c r="A284" t="s">
        <v>1794</v>
      </c>
      <c r="B284" t="s">
        <v>1792</v>
      </c>
      <c r="C284" s="2">
        <v>4029.4348600000003</v>
      </c>
      <c r="D284" s="2">
        <v>3908.5518142000001</v>
      </c>
      <c r="E284" s="2">
        <v>3791.295259774</v>
      </c>
      <c r="F284" s="2">
        <v>3677.5564019807798</v>
      </c>
      <c r="G284" s="2">
        <v>3567.2297099213565</v>
      </c>
      <c r="H284" s="2">
        <v>3460.2128186237155</v>
      </c>
      <c r="I284" s="2">
        <v>3356.4064340650039</v>
      </c>
      <c r="J284" s="2">
        <v>3255.7142410430538</v>
      </c>
      <c r="K284" s="2">
        <v>3158.0428138117622</v>
      </c>
      <c r="L284" s="2">
        <v>3063.3015293974095</v>
      </c>
      <c r="M284" s="2">
        <v>2971.4024835154869</v>
      </c>
      <c r="N284" s="2">
        <v>2882.2604090100222</v>
      </c>
      <c r="O284" s="2">
        <v>2795.7925967397214</v>
      </c>
    </row>
    <row r="285" spans="1:15" x14ac:dyDescent="0.25">
      <c r="A285" t="s">
        <v>1795</v>
      </c>
      <c r="B285" t="s">
        <v>1792</v>
      </c>
      <c r="C285" s="2">
        <v>4029.4348600000003</v>
      </c>
      <c r="D285" s="2">
        <v>3908.5518142000001</v>
      </c>
      <c r="E285" s="2">
        <v>3791.295259774</v>
      </c>
      <c r="F285" s="2">
        <v>3677.5564019807798</v>
      </c>
      <c r="G285" s="2">
        <v>3567.2297099213565</v>
      </c>
      <c r="H285" s="2">
        <v>3460.2128186237155</v>
      </c>
      <c r="I285" s="2">
        <v>3356.4064340650039</v>
      </c>
      <c r="J285" s="2">
        <v>3255.7142410430538</v>
      </c>
      <c r="K285" s="2">
        <v>3158.0428138117622</v>
      </c>
      <c r="L285" s="2">
        <v>3063.3015293974095</v>
      </c>
      <c r="M285" s="2">
        <v>2971.4024835154869</v>
      </c>
      <c r="N285" s="2">
        <v>2882.2604090100222</v>
      </c>
      <c r="O285" s="2">
        <v>2795.7925967397214</v>
      </c>
    </row>
    <row r="286" spans="1:15" x14ac:dyDescent="0.25">
      <c r="A286" t="s">
        <v>1796</v>
      </c>
      <c r="B286" t="s">
        <v>1792</v>
      </c>
      <c r="C286" s="2">
        <v>4029.4348600000003</v>
      </c>
      <c r="D286" s="2">
        <v>3908.5518142000001</v>
      </c>
      <c r="E286" s="2">
        <v>3791.295259774</v>
      </c>
      <c r="F286" s="2">
        <v>3677.5564019807798</v>
      </c>
      <c r="G286" s="2">
        <v>3567.2297099213565</v>
      </c>
      <c r="H286" s="2">
        <v>3460.2128186237155</v>
      </c>
      <c r="I286" s="2">
        <v>3356.4064340650039</v>
      </c>
      <c r="J286" s="2">
        <v>3255.7142410430538</v>
      </c>
      <c r="K286" s="2">
        <v>3158.0428138117622</v>
      </c>
      <c r="L286" s="2">
        <v>3063.3015293974095</v>
      </c>
      <c r="M286" s="2">
        <v>2971.4024835154869</v>
      </c>
      <c r="N286" s="2">
        <v>2882.2604090100222</v>
      </c>
      <c r="O286" s="2">
        <v>2795.7925967397214</v>
      </c>
    </row>
    <row r="287" spans="1:15" x14ac:dyDescent="0.25">
      <c r="A287" t="s">
        <v>1797</v>
      </c>
      <c r="B287" t="s">
        <v>1798</v>
      </c>
      <c r="C287" s="2">
        <v>4022.1317620000009</v>
      </c>
      <c r="D287" s="2">
        <v>3901.4678091400006</v>
      </c>
      <c r="E287" s="2">
        <v>3784.4237748658006</v>
      </c>
      <c r="F287" s="2">
        <v>3670.8910616198264</v>
      </c>
      <c r="G287" s="2">
        <v>3560.7643297712316</v>
      </c>
      <c r="H287" s="2">
        <v>3453.9413998780947</v>
      </c>
      <c r="I287" s="2">
        <v>3350.3231578817517</v>
      </c>
      <c r="J287" s="2">
        <v>3249.813463145299</v>
      </c>
      <c r="K287" s="2">
        <v>3152.31905925094</v>
      </c>
      <c r="L287" s="2">
        <v>3057.7494874734116</v>
      </c>
      <c r="M287" s="2">
        <v>2966.0170028492093</v>
      </c>
      <c r="N287" s="2">
        <v>2877.0364927637329</v>
      </c>
      <c r="O287" s="2">
        <v>2790.7253979808206</v>
      </c>
    </row>
    <row r="288" spans="1:15" x14ac:dyDescent="0.25">
      <c r="A288" t="s">
        <v>1799</v>
      </c>
      <c r="B288" t="s">
        <v>1798</v>
      </c>
      <c r="C288" s="2">
        <v>4022.1317620000009</v>
      </c>
      <c r="D288" s="2">
        <v>3901.4678091400006</v>
      </c>
      <c r="E288" s="2">
        <v>3784.4237748658006</v>
      </c>
      <c r="F288" s="2">
        <v>3670.8910616198264</v>
      </c>
      <c r="G288" s="2">
        <v>3560.7643297712316</v>
      </c>
      <c r="H288" s="2">
        <v>3453.9413998780947</v>
      </c>
      <c r="I288" s="2">
        <v>3350.3231578817517</v>
      </c>
      <c r="J288" s="2">
        <v>3249.813463145299</v>
      </c>
      <c r="K288" s="2">
        <v>3152.31905925094</v>
      </c>
      <c r="L288" s="2">
        <v>3057.7494874734116</v>
      </c>
      <c r="M288" s="2">
        <v>2966.0170028492093</v>
      </c>
      <c r="N288" s="2">
        <v>2877.0364927637329</v>
      </c>
      <c r="O288" s="2">
        <v>2790.7253979808206</v>
      </c>
    </row>
    <row r="289" spans="1:15" x14ac:dyDescent="0.25">
      <c r="A289" t="s">
        <v>1800</v>
      </c>
      <c r="B289" t="s">
        <v>1798</v>
      </c>
      <c r="C289" s="2">
        <v>4022.1317620000009</v>
      </c>
      <c r="D289" s="2">
        <v>3901.4678091400006</v>
      </c>
      <c r="E289" s="2">
        <v>3784.4237748658006</v>
      </c>
      <c r="F289" s="2">
        <v>3670.8910616198264</v>
      </c>
      <c r="G289" s="2">
        <v>3560.7643297712316</v>
      </c>
      <c r="H289" s="2">
        <v>3453.9413998780947</v>
      </c>
      <c r="I289" s="2">
        <v>3350.3231578817517</v>
      </c>
      <c r="J289" s="2">
        <v>3249.813463145299</v>
      </c>
      <c r="K289" s="2">
        <v>3152.31905925094</v>
      </c>
      <c r="L289" s="2">
        <v>3057.7494874734116</v>
      </c>
      <c r="M289" s="2">
        <v>2966.0170028492093</v>
      </c>
      <c r="N289" s="2">
        <v>2877.0364927637329</v>
      </c>
      <c r="O289" s="2">
        <v>2790.7253979808206</v>
      </c>
    </row>
    <row r="290" spans="1:15" x14ac:dyDescent="0.25">
      <c r="A290" t="s">
        <v>1801</v>
      </c>
      <c r="B290" t="s">
        <v>1802</v>
      </c>
      <c r="C290" s="2">
        <v>4013.9598620000006</v>
      </c>
      <c r="D290" s="2">
        <v>3893.5410661400006</v>
      </c>
      <c r="E290" s="2">
        <v>3776.7348341558004</v>
      </c>
      <c r="F290" s="2">
        <v>3663.4327891311264</v>
      </c>
      <c r="G290" s="2">
        <v>3553.5298054571927</v>
      </c>
      <c r="H290" s="2">
        <v>3446.923911293477</v>
      </c>
      <c r="I290" s="2">
        <v>3343.5161939546724</v>
      </c>
      <c r="J290" s="2">
        <v>3243.2107081360323</v>
      </c>
      <c r="K290" s="2">
        <v>3145.9143868919514</v>
      </c>
      <c r="L290" s="2">
        <v>3051.5369552851926</v>
      </c>
      <c r="M290" s="2">
        <v>2959.9908466266365</v>
      </c>
      <c r="N290" s="2">
        <v>2871.1911212278374</v>
      </c>
      <c r="O290" s="2">
        <v>2785.0553875910023</v>
      </c>
    </row>
    <row r="291" spans="1:15" x14ac:dyDescent="0.25">
      <c r="A291" t="s">
        <v>1803</v>
      </c>
      <c r="B291" t="s">
        <v>1804</v>
      </c>
      <c r="C291" s="2">
        <v>4013.7701120000011</v>
      </c>
      <c r="D291" s="2">
        <v>3893.3570086400009</v>
      </c>
      <c r="E291" s="2">
        <v>3776.5562983808009</v>
      </c>
      <c r="F291" s="2">
        <v>3663.2596094293767</v>
      </c>
      <c r="G291" s="2">
        <v>3553.3618211464955</v>
      </c>
      <c r="H291" s="2">
        <v>3446.7609665121004</v>
      </c>
      <c r="I291" s="2">
        <v>3343.3581375167373</v>
      </c>
      <c r="J291" s="2">
        <v>3243.0573933912351</v>
      </c>
      <c r="K291" s="2">
        <v>3145.7656715894977</v>
      </c>
      <c r="L291" s="2">
        <v>3051.3927014418127</v>
      </c>
      <c r="M291" s="2">
        <v>2959.8509203985582</v>
      </c>
      <c r="N291" s="2">
        <v>2871.0553927866013</v>
      </c>
      <c r="O291" s="2">
        <v>2784.923731003003</v>
      </c>
    </row>
    <row r="292" spans="1:15" x14ac:dyDescent="0.25">
      <c r="A292" t="s">
        <v>1805</v>
      </c>
      <c r="B292" t="s">
        <v>1806</v>
      </c>
      <c r="C292" s="2">
        <v>4012.4803180000008</v>
      </c>
      <c r="D292" s="2">
        <v>3892.1059084600006</v>
      </c>
      <c r="E292" s="2">
        <v>3775.3427312062004</v>
      </c>
      <c r="F292" s="2">
        <v>3662.0824492700144</v>
      </c>
      <c r="G292" s="2">
        <v>3552.2199757919138</v>
      </c>
      <c r="H292" s="2">
        <v>3445.6533765181562</v>
      </c>
      <c r="I292" s="2">
        <v>3342.2837752226114</v>
      </c>
      <c r="J292" s="2">
        <v>3242.015261965933</v>
      </c>
      <c r="K292" s="2">
        <v>3144.7548041069549</v>
      </c>
      <c r="L292" s="2">
        <v>3050.4121599837463</v>
      </c>
      <c r="M292" s="2">
        <v>2958.8997951842339</v>
      </c>
      <c r="N292" s="2">
        <v>2870.1328013287066</v>
      </c>
      <c r="O292" s="2">
        <v>2784.0288172888454</v>
      </c>
    </row>
    <row r="293" spans="1:15" x14ac:dyDescent="0.25">
      <c r="A293" t="s">
        <v>1807</v>
      </c>
      <c r="B293" t="s">
        <v>1808</v>
      </c>
      <c r="C293" s="2">
        <v>4004.9535680000004</v>
      </c>
      <c r="D293" s="2">
        <v>3884.8049609600002</v>
      </c>
      <c r="E293" s="2">
        <v>3768.2608121312001</v>
      </c>
      <c r="F293" s="2">
        <v>3655.2129877672642</v>
      </c>
      <c r="G293" s="2">
        <v>3545.5565981342461</v>
      </c>
      <c r="H293" s="2">
        <v>3439.1899001902184</v>
      </c>
      <c r="I293" s="2">
        <v>3336.0142031845116</v>
      </c>
      <c r="J293" s="2">
        <v>3235.9337770889761</v>
      </c>
      <c r="K293" s="2">
        <v>3138.8557637763065</v>
      </c>
      <c r="L293" s="2">
        <v>3044.6900908630173</v>
      </c>
      <c r="M293" s="2">
        <v>2953.3493881371269</v>
      </c>
      <c r="N293" s="2">
        <v>2864.7489064930128</v>
      </c>
      <c r="O293" s="2">
        <v>2778.8064392982224</v>
      </c>
    </row>
    <row r="294" spans="1:15" x14ac:dyDescent="0.25">
      <c r="A294" t="s">
        <v>1809</v>
      </c>
      <c r="B294" t="s">
        <v>1810</v>
      </c>
      <c r="C294" s="2">
        <v>4002.5966200000012</v>
      </c>
      <c r="D294" s="2">
        <v>3882.5187214000011</v>
      </c>
      <c r="E294" s="2">
        <v>3766.0431597580009</v>
      </c>
      <c r="F294" s="2">
        <v>3653.0618649652606</v>
      </c>
      <c r="G294" s="2">
        <v>3543.4700090163028</v>
      </c>
      <c r="H294" s="2">
        <v>3437.1659087458138</v>
      </c>
      <c r="I294" s="2">
        <v>3334.0509314834394</v>
      </c>
      <c r="J294" s="2">
        <v>3234.0294035389361</v>
      </c>
      <c r="K294" s="2">
        <v>3137.0085214327678</v>
      </c>
      <c r="L294" s="2">
        <v>3042.8982657897845</v>
      </c>
      <c r="M294" s="2">
        <v>2951.6113178160908</v>
      </c>
      <c r="N294" s="2">
        <v>2863.0629782816081</v>
      </c>
      <c r="O294" s="2">
        <v>2777.1710889331598</v>
      </c>
    </row>
    <row r="295" spans="1:15" x14ac:dyDescent="0.25">
      <c r="A295" t="s">
        <v>1811</v>
      </c>
      <c r="B295" t="s">
        <v>1812</v>
      </c>
      <c r="C295" s="2">
        <v>3999.71495</v>
      </c>
      <c r="D295" s="2">
        <v>3879.7235015000001</v>
      </c>
      <c r="E295" s="2">
        <v>3763.3317964550001</v>
      </c>
      <c r="F295" s="2">
        <v>3650.4318425613501</v>
      </c>
      <c r="G295" s="2">
        <v>3540.9188872845093</v>
      </c>
      <c r="H295" s="2">
        <v>3434.6913206659738</v>
      </c>
      <c r="I295" s="2">
        <v>3331.6505810459944</v>
      </c>
      <c r="J295" s="2">
        <v>3231.7010636146147</v>
      </c>
      <c r="K295" s="2">
        <v>3134.7500317061763</v>
      </c>
      <c r="L295" s="2">
        <v>3040.7075307549908</v>
      </c>
      <c r="M295" s="2">
        <v>2949.4863048323409</v>
      </c>
      <c r="N295" s="2">
        <v>2861.0017156873705</v>
      </c>
      <c r="O295" s="2">
        <v>2775.1716642167494</v>
      </c>
    </row>
    <row r="296" spans="1:15" x14ac:dyDescent="0.25">
      <c r="A296" t="s">
        <v>1813</v>
      </c>
      <c r="B296" t="s">
        <v>1814</v>
      </c>
      <c r="C296" s="2">
        <v>3997.452624</v>
      </c>
      <c r="D296" s="2">
        <v>3877.52904528</v>
      </c>
      <c r="E296" s="2">
        <v>3761.2031739216</v>
      </c>
      <c r="F296" s="2">
        <v>3648.3670787039518</v>
      </c>
      <c r="G296" s="2">
        <v>3538.9160663428333</v>
      </c>
      <c r="H296" s="2">
        <v>3432.7485843525483</v>
      </c>
      <c r="I296" s="2">
        <v>3329.7661268219717</v>
      </c>
      <c r="J296" s="2">
        <v>3229.8731430173125</v>
      </c>
      <c r="K296" s="2">
        <v>3132.9769487267931</v>
      </c>
      <c r="L296" s="2">
        <v>3038.9876402649893</v>
      </c>
      <c r="M296" s="2">
        <v>2947.8180110570397</v>
      </c>
      <c r="N296" s="2">
        <v>2859.3834707253286</v>
      </c>
      <c r="O296" s="2">
        <v>2773.6019666035686</v>
      </c>
    </row>
    <row r="297" spans="1:15" x14ac:dyDescent="0.25">
      <c r="A297" t="s">
        <v>1815</v>
      </c>
      <c r="B297" t="s">
        <v>1816</v>
      </c>
      <c r="C297" s="2">
        <v>3995.3795420000001</v>
      </c>
      <c r="D297" s="2">
        <v>3875.5181557400001</v>
      </c>
      <c r="E297" s="2">
        <v>3759.2526110678</v>
      </c>
      <c r="F297" s="2">
        <v>3646.475032735766</v>
      </c>
      <c r="G297" s="2">
        <v>3537.0807817536929</v>
      </c>
      <c r="H297" s="2">
        <v>3430.9683583010819</v>
      </c>
      <c r="I297" s="2">
        <v>3328.0393075520492</v>
      </c>
      <c r="J297" s="2">
        <v>3228.1981283254877</v>
      </c>
      <c r="K297" s="2">
        <v>3131.3521844757229</v>
      </c>
      <c r="L297" s="2">
        <v>3037.4116189414513</v>
      </c>
      <c r="M297" s="2">
        <v>2946.2892703732077</v>
      </c>
      <c r="N297" s="2">
        <v>2857.9005922620113</v>
      </c>
      <c r="O297" s="2">
        <v>2772.1635744941509</v>
      </c>
    </row>
    <row r="298" spans="1:15" x14ac:dyDescent="0.25">
      <c r="A298" t="s">
        <v>1817</v>
      </c>
      <c r="B298" t="s">
        <v>1818</v>
      </c>
      <c r="C298" s="2">
        <v>3994.0968320000006</v>
      </c>
      <c r="D298" s="2">
        <v>3874.2739270400007</v>
      </c>
      <c r="E298" s="2">
        <v>3758.0457092288007</v>
      </c>
      <c r="F298" s="2">
        <v>3645.3043379519368</v>
      </c>
      <c r="G298" s="2">
        <v>3535.9452078133786</v>
      </c>
      <c r="H298" s="2">
        <v>3429.8668515789773</v>
      </c>
      <c r="I298" s="2">
        <v>3326.9708460316078</v>
      </c>
      <c r="J298" s="2">
        <v>3227.1617206506594</v>
      </c>
      <c r="K298" s="2">
        <v>3130.3468690311397</v>
      </c>
      <c r="L298" s="2">
        <v>3036.4364629602055</v>
      </c>
      <c r="M298" s="2">
        <v>2945.3433690713991</v>
      </c>
      <c r="N298" s="2">
        <v>2856.9830679992569</v>
      </c>
      <c r="O298" s="2">
        <v>2771.2735759592792</v>
      </c>
    </row>
    <row r="299" spans="1:15" x14ac:dyDescent="0.25">
      <c r="A299" t="s">
        <v>1819</v>
      </c>
      <c r="B299" t="s">
        <v>1820</v>
      </c>
      <c r="C299" s="2">
        <v>3983.8715840000004</v>
      </c>
      <c r="D299" s="2">
        <v>3864.3554364800002</v>
      </c>
      <c r="E299" s="2">
        <v>3748.4247733856</v>
      </c>
      <c r="F299" s="2">
        <v>3635.9720301840321</v>
      </c>
      <c r="G299" s="2">
        <v>3526.8928692785112</v>
      </c>
      <c r="H299" s="2">
        <v>3421.0860832001558</v>
      </c>
      <c r="I299" s="2">
        <v>3318.4535007041509</v>
      </c>
      <c r="J299" s="2">
        <v>3218.8998956830264</v>
      </c>
      <c r="K299" s="2">
        <v>3122.3328988125354</v>
      </c>
      <c r="L299" s="2">
        <v>3028.6629118481592</v>
      </c>
      <c r="M299" s="2">
        <v>2937.8030244927145</v>
      </c>
      <c r="N299" s="2">
        <v>2849.6689337579328</v>
      </c>
      <c r="O299" s="2">
        <v>2764.1788657451948</v>
      </c>
    </row>
    <row r="300" spans="1:15" x14ac:dyDescent="0.25">
      <c r="A300" t="s">
        <v>1821</v>
      </c>
      <c r="B300" t="s">
        <v>1814</v>
      </c>
      <c r="C300" s="2">
        <v>3970.648792</v>
      </c>
      <c r="D300" s="2">
        <v>3851.5293282399998</v>
      </c>
      <c r="E300" s="2">
        <v>3735.9834483927998</v>
      </c>
      <c r="F300" s="2">
        <v>3623.9039449410157</v>
      </c>
      <c r="G300" s="2">
        <v>3515.1868265927851</v>
      </c>
      <c r="H300" s="2">
        <v>3409.7312217950016</v>
      </c>
      <c r="I300" s="2">
        <v>3307.4392851411517</v>
      </c>
      <c r="J300" s="2">
        <v>3208.2161065869172</v>
      </c>
      <c r="K300" s="2">
        <v>3111.9696233893096</v>
      </c>
      <c r="L300" s="2">
        <v>3018.6105346876302</v>
      </c>
      <c r="M300" s="2">
        <v>2928.0522186470012</v>
      </c>
      <c r="N300" s="2">
        <v>2840.2106520875909</v>
      </c>
      <c r="O300" s="2">
        <v>2755.004332524963</v>
      </c>
    </row>
    <row r="301" spans="1:15" x14ac:dyDescent="0.25">
      <c r="A301" t="s">
        <v>1822</v>
      </c>
      <c r="B301" t="s">
        <v>1823</v>
      </c>
      <c r="C301" s="2">
        <v>3964.3116480000008</v>
      </c>
      <c r="D301" s="2">
        <v>3845.3822985600004</v>
      </c>
      <c r="E301" s="2">
        <v>3730.0208296032001</v>
      </c>
      <c r="F301" s="2">
        <v>3618.1202047151041</v>
      </c>
      <c r="G301" s="2">
        <v>3509.5765985736507</v>
      </c>
      <c r="H301" s="2">
        <v>3404.2893006164409</v>
      </c>
      <c r="I301" s="2">
        <v>3302.1606215979477</v>
      </c>
      <c r="J301" s="2">
        <v>3203.0958029500093</v>
      </c>
      <c r="K301" s="2">
        <v>3107.0029288615092</v>
      </c>
      <c r="L301" s="2">
        <v>3013.7928409956639</v>
      </c>
      <c r="M301" s="2">
        <v>2923.379055765794</v>
      </c>
      <c r="N301" s="2">
        <v>2835.6776840928201</v>
      </c>
      <c r="O301" s="2">
        <v>2750.6073535700352</v>
      </c>
    </row>
    <row r="302" spans="1:15" x14ac:dyDescent="0.25">
      <c r="A302" t="s">
        <v>1824</v>
      </c>
      <c r="B302" t="s">
        <v>1825</v>
      </c>
      <c r="C302" s="2">
        <v>3948.7106560000007</v>
      </c>
      <c r="D302" s="2">
        <v>3830.2493363200006</v>
      </c>
      <c r="E302" s="2">
        <v>3715.3418562304005</v>
      </c>
      <c r="F302" s="2">
        <v>3603.8816005434883</v>
      </c>
      <c r="G302" s="2">
        <v>3495.7651525271835</v>
      </c>
      <c r="H302" s="2">
        <v>3390.892197951368</v>
      </c>
      <c r="I302" s="2">
        <v>3289.1654320128268</v>
      </c>
      <c r="J302" s="2">
        <v>3190.4904690524418</v>
      </c>
      <c r="K302" s="2">
        <v>3094.7757549808684</v>
      </c>
      <c r="L302" s="2">
        <v>3001.9324823314423</v>
      </c>
      <c r="M302" s="2">
        <v>2911.8745078614988</v>
      </c>
      <c r="N302" s="2">
        <v>2824.5182726256539</v>
      </c>
      <c r="O302" s="2">
        <v>2739.7827244468845</v>
      </c>
    </row>
    <row r="303" spans="1:15" x14ac:dyDescent="0.25">
      <c r="A303" t="s">
        <v>1826</v>
      </c>
      <c r="B303" t="s">
        <v>1827</v>
      </c>
      <c r="C303" s="2">
        <v>3938.6149440000008</v>
      </c>
      <c r="D303" s="2">
        <v>3820.4564956800009</v>
      </c>
      <c r="E303" s="2">
        <v>3705.8428008096007</v>
      </c>
      <c r="F303" s="2">
        <v>3594.6675167853127</v>
      </c>
      <c r="G303" s="2">
        <v>3486.8274912817533</v>
      </c>
      <c r="H303" s="2">
        <v>3382.2226665433004</v>
      </c>
      <c r="I303" s="2">
        <v>3280.7559865470012</v>
      </c>
      <c r="J303" s="2">
        <v>3182.3333069505911</v>
      </c>
      <c r="K303" s="2">
        <v>3086.8633077420732</v>
      </c>
      <c r="L303" s="2">
        <v>2994.2574085098108</v>
      </c>
      <c r="M303" s="2">
        <v>2904.4296862545166</v>
      </c>
      <c r="N303" s="2">
        <v>2817.2967956668808</v>
      </c>
      <c r="O303" s="2">
        <v>2732.7778917968744</v>
      </c>
    </row>
    <row r="304" spans="1:15" x14ac:dyDescent="0.25">
      <c r="A304" t="s">
        <v>1828</v>
      </c>
      <c r="B304" t="s">
        <v>1829</v>
      </c>
      <c r="C304" s="2">
        <v>3935.1336640000009</v>
      </c>
      <c r="D304" s="2">
        <v>3817.0796540800006</v>
      </c>
      <c r="E304" s="2">
        <v>3702.5672644576007</v>
      </c>
      <c r="F304" s="2">
        <v>3591.4902465238724</v>
      </c>
      <c r="G304" s="2">
        <v>3483.745539128156</v>
      </c>
      <c r="H304" s="2">
        <v>3379.2331729543112</v>
      </c>
      <c r="I304" s="2">
        <v>3277.8561777656819</v>
      </c>
      <c r="J304" s="2">
        <v>3179.5204924327113</v>
      </c>
      <c r="K304" s="2">
        <v>3084.1348776597297</v>
      </c>
      <c r="L304" s="2">
        <v>2991.6108313299378</v>
      </c>
      <c r="M304" s="2">
        <v>2901.8625063900395</v>
      </c>
      <c r="N304" s="2">
        <v>2814.806631198338</v>
      </c>
      <c r="O304" s="2">
        <v>2730.3624322623878</v>
      </c>
    </row>
    <row r="305" spans="1:15" x14ac:dyDescent="0.25">
      <c r="A305" t="s">
        <v>1830</v>
      </c>
      <c r="B305" t="s">
        <v>1831</v>
      </c>
      <c r="C305" s="2">
        <v>3932.6239040000005</v>
      </c>
      <c r="D305" s="2">
        <v>3814.6451868800004</v>
      </c>
      <c r="E305" s="2">
        <v>3700.2058312736003</v>
      </c>
      <c r="F305" s="2">
        <v>3589.1996563353923</v>
      </c>
      <c r="G305" s="2">
        <v>3481.5236666453306</v>
      </c>
      <c r="H305" s="2">
        <v>3377.0779566459705</v>
      </c>
      <c r="I305" s="2">
        <v>3275.7656179465912</v>
      </c>
      <c r="J305" s="2">
        <v>3177.4926494081933</v>
      </c>
      <c r="K305" s="2">
        <v>3082.1678699259473</v>
      </c>
      <c r="L305" s="2">
        <v>2989.7028338281689</v>
      </c>
      <c r="M305" s="2">
        <v>2900.0117488133237</v>
      </c>
      <c r="N305" s="2">
        <v>2813.0113963489239</v>
      </c>
      <c r="O305" s="2">
        <v>2728.621054458456</v>
      </c>
    </row>
    <row r="306" spans="1:15" x14ac:dyDescent="0.25">
      <c r="A306" t="s">
        <v>1832</v>
      </c>
      <c r="B306" t="s">
        <v>1833</v>
      </c>
      <c r="C306" s="2">
        <v>3929.7579200000005</v>
      </c>
      <c r="D306" s="2">
        <v>3811.8651824000003</v>
      </c>
      <c r="E306" s="2">
        <v>3697.5092269280003</v>
      </c>
      <c r="F306" s="2">
        <v>3586.5839501201604</v>
      </c>
      <c r="G306" s="2">
        <v>3478.9864316165554</v>
      </c>
      <c r="H306" s="2">
        <v>3374.6168386680588</v>
      </c>
      <c r="I306" s="2">
        <v>3273.378333508017</v>
      </c>
      <c r="J306" s="2">
        <v>3175.1769835027762</v>
      </c>
      <c r="K306" s="2">
        <v>3079.9216739976928</v>
      </c>
      <c r="L306" s="2">
        <v>2987.5240237777621</v>
      </c>
      <c r="M306" s="2">
        <v>2897.898303064429</v>
      </c>
      <c r="N306" s="2">
        <v>2810.961353972496</v>
      </c>
      <c r="O306" s="2">
        <v>2726.632513353321</v>
      </c>
    </row>
    <row r="307" spans="1:15" x14ac:dyDescent="0.25">
      <c r="A307" t="s">
        <v>1834</v>
      </c>
      <c r="B307" t="s">
        <v>1835</v>
      </c>
      <c r="C307" s="2">
        <v>3929.1441420000001</v>
      </c>
      <c r="D307" s="2">
        <v>3811.2698177399998</v>
      </c>
      <c r="E307" s="2">
        <v>3696.9317232077997</v>
      </c>
      <c r="F307" s="2">
        <v>3586.0237715115654</v>
      </c>
      <c r="G307" s="2">
        <v>3478.4430583662183</v>
      </c>
      <c r="H307" s="2">
        <v>3374.0897666152318</v>
      </c>
      <c r="I307" s="2">
        <v>3272.8670736167746</v>
      </c>
      <c r="J307" s="2">
        <v>3174.6810614082715</v>
      </c>
      <c r="K307" s="2">
        <v>3079.4406295660233</v>
      </c>
      <c r="L307" s="2">
        <v>2987.0574106790427</v>
      </c>
      <c r="M307" s="2">
        <v>2897.4456883586713</v>
      </c>
      <c r="N307" s="2">
        <v>2810.522317707911</v>
      </c>
      <c r="O307" s="2">
        <v>2726.2066481766738</v>
      </c>
    </row>
    <row r="308" spans="1:15" x14ac:dyDescent="0.25">
      <c r="A308" t="s">
        <v>1836</v>
      </c>
      <c r="B308" t="s">
        <v>1837</v>
      </c>
      <c r="C308" s="2">
        <v>3928.3871660000004</v>
      </c>
      <c r="D308" s="2">
        <v>3810.5355510200002</v>
      </c>
      <c r="E308" s="2">
        <v>3696.2194844894002</v>
      </c>
      <c r="F308" s="2">
        <v>3585.332899954718</v>
      </c>
      <c r="G308" s="2">
        <v>3477.7729129560762</v>
      </c>
      <c r="H308" s="2">
        <v>3373.4397255673939</v>
      </c>
      <c r="I308" s="2">
        <v>3272.2365338003719</v>
      </c>
      <c r="J308" s="2">
        <v>3174.0694377863606</v>
      </c>
      <c r="K308" s="2">
        <v>3078.8473546527698</v>
      </c>
      <c r="L308" s="2">
        <v>2986.4819340131867</v>
      </c>
      <c r="M308" s="2">
        <v>2896.8874759927908</v>
      </c>
      <c r="N308" s="2">
        <v>2809.9808517130068</v>
      </c>
      <c r="O308" s="2">
        <v>2725.6814261616164</v>
      </c>
    </row>
    <row r="309" spans="1:15" x14ac:dyDescent="0.25">
      <c r="A309" t="s">
        <v>1099</v>
      </c>
      <c r="B309" t="s">
        <v>1838</v>
      </c>
      <c r="C309" s="2">
        <v>3923.8195040000005</v>
      </c>
      <c r="D309" s="2">
        <v>3806.1049188800002</v>
      </c>
      <c r="E309" s="2">
        <v>3691.9217713135999</v>
      </c>
      <c r="F309" s="2">
        <v>3581.164118174192</v>
      </c>
      <c r="G309" s="2">
        <v>3473.7291946289661</v>
      </c>
      <c r="H309" s="2">
        <v>3369.5173187900969</v>
      </c>
      <c r="I309" s="2">
        <v>3268.4317992263937</v>
      </c>
      <c r="J309" s="2">
        <v>3170.3788452496019</v>
      </c>
      <c r="K309" s="2">
        <v>3075.2674798921139</v>
      </c>
      <c r="L309" s="2">
        <v>2983.0094554953503</v>
      </c>
      <c r="M309" s="2">
        <v>2893.5191718304895</v>
      </c>
      <c r="N309" s="2">
        <v>2806.713596675575</v>
      </c>
      <c r="O309" s="2">
        <v>2722.5121887753075</v>
      </c>
    </row>
    <row r="310" spans="1:15" x14ac:dyDescent="0.25">
      <c r="A310" t="s">
        <v>1839</v>
      </c>
      <c r="B310" t="s">
        <v>1840</v>
      </c>
      <c r="C310" s="2">
        <v>3921.2814079999998</v>
      </c>
      <c r="D310" s="2">
        <v>3803.6429657599997</v>
      </c>
      <c r="E310" s="2">
        <v>3689.5336767871995</v>
      </c>
      <c r="F310" s="2">
        <v>3578.8476664835835</v>
      </c>
      <c r="G310" s="2">
        <v>3471.4822364890761</v>
      </c>
      <c r="H310" s="2">
        <v>3367.3377693944035</v>
      </c>
      <c r="I310" s="2">
        <v>3266.3176363125713</v>
      </c>
      <c r="J310" s="2">
        <v>3168.3281072231939</v>
      </c>
      <c r="K310" s="2">
        <v>3073.2782640064979</v>
      </c>
      <c r="L310" s="2">
        <v>2981.079916086303</v>
      </c>
      <c r="M310" s="2">
        <v>2891.6475186037137</v>
      </c>
      <c r="N310" s="2">
        <v>2804.8980930456023</v>
      </c>
      <c r="O310" s="2">
        <v>2720.7511502542343</v>
      </c>
    </row>
    <row r="311" spans="1:15" x14ac:dyDescent="0.25">
      <c r="A311" t="s">
        <v>1841</v>
      </c>
      <c r="B311" t="s">
        <v>1842</v>
      </c>
      <c r="C311" s="2">
        <v>3914.3998080000006</v>
      </c>
      <c r="D311" s="2">
        <v>3796.9678137600004</v>
      </c>
      <c r="E311" s="2">
        <v>3683.0587793472</v>
      </c>
      <c r="F311" s="2">
        <v>3572.5670159667839</v>
      </c>
      <c r="G311" s="2">
        <v>3465.3900054877804</v>
      </c>
      <c r="H311" s="2">
        <v>3361.428305323147</v>
      </c>
      <c r="I311" s="2">
        <v>3260.5854561634524</v>
      </c>
      <c r="J311" s="2">
        <v>3162.7678924785487</v>
      </c>
      <c r="K311" s="2">
        <v>3067.884855704192</v>
      </c>
      <c r="L311" s="2">
        <v>2975.8483100330664</v>
      </c>
      <c r="M311" s="2">
        <v>2886.5728607320743</v>
      </c>
      <c r="N311" s="2">
        <v>2799.975674910112</v>
      </c>
      <c r="O311" s="2">
        <v>2715.9764046628088</v>
      </c>
    </row>
    <row r="312" spans="1:15" x14ac:dyDescent="0.25">
      <c r="A312" t="s">
        <v>1843</v>
      </c>
      <c r="B312" t="s">
        <v>1844</v>
      </c>
      <c r="C312" s="2">
        <v>3913.3594720000001</v>
      </c>
      <c r="D312" s="2">
        <v>3795.95868784</v>
      </c>
      <c r="E312" s="2">
        <v>3682.0799272047998</v>
      </c>
      <c r="F312" s="2">
        <v>3571.6175293886558</v>
      </c>
      <c r="G312" s="2">
        <v>3464.4690035069962</v>
      </c>
      <c r="H312" s="2">
        <v>3360.534933401786</v>
      </c>
      <c r="I312" s="2">
        <v>3259.7188853997322</v>
      </c>
      <c r="J312" s="2">
        <v>3161.9273188377401</v>
      </c>
      <c r="K312" s="2">
        <v>3067.069499272608</v>
      </c>
      <c r="L312" s="2">
        <v>2975.0574142944297</v>
      </c>
      <c r="M312" s="2">
        <v>2885.8056918655966</v>
      </c>
      <c r="N312" s="2">
        <v>2799.2315211096288</v>
      </c>
      <c r="O312" s="2">
        <v>2715.2545754763401</v>
      </c>
    </row>
    <row r="313" spans="1:15" x14ac:dyDescent="0.25">
      <c r="A313" t="s">
        <v>1845</v>
      </c>
      <c r="B313" t="s">
        <v>1846</v>
      </c>
      <c r="C313" s="2">
        <v>3910.8476880000003</v>
      </c>
      <c r="D313" s="2">
        <v>3793.5222573600004</v>
      </c>
      <c r="E313" s="2">
        <v>3679.7165896392003</v>
      </c>
      <c r="F313" s="2">
        <v>3569.3250919500242</v>
      </c>
      <c r="G313" s="2">
        <v>3462.2453391915233</v>
      </c>
      <c r="H313" s="2">
        <v>3358.3779790157773</v>
      </c>
      <c r="I313" s="2">
        <v>3257.6266396453038</v>
      </c>
      <c r="J313" s="2">
        <v>3159.8978404559448</v>
      </c>
      <c r="K313" s="2">
        <v>3065.1009052422664</v>
      </c>
      <c r="L313" s="2">
        <v>2973.1478780849984</v>
      </c>
      <c r="M313" s="2">
        <v>2883.9534417424484</v>
      </c>
      <c r="N313" s="2">
        <v>2797.434838490175</v>
      </c>
      <c r="O313" s="2">
        <v>2713.5117933354695</v>
      </c>
    </row>
    <row r="314" spans="1:15" x14ac:dyDescent="0.25">
      <c r="A314" t="s">
        <v>1847</v>
      </c>
      <c r="B314" t="s">
        <v>1848</v>
      </c>
      <c r="C314" s="2">
        <v>3901.0070000000005</v>
      </c>
      <c r="D314" s="2">
        <v>3783.9767900000006</v>
      </c>
      <c r="E314" s="2">
        <v>3670.4574863000007</v>
      </c>
      <c r="F314" s="2">
        <v>3560.3437617110008</v>
      </c>
      <c r="G314" s="2">
        <v>3453.5334488596704</v>
      </c>
      <c r="H314" s="2">
        <v>3349.9274453938801</v>
      </c>
      <c r="I314" s="2">
        <v>3249.4296220320634</v>
      </c>
      <c r="J314" s="2">
        <v>3151.9467333711013</v>
      </c>
      <c r="K314" s="2">
        <v>3057.388331369968</v>
      </c>
      <c r="L314" s="2">
        <v>2965.6666814288687</v>
      </c>
      <c r="M314" s="2">
        <v>2876.6966809860028</v>
      </c>
      <c r="N314" s="2">
        <v>2790.3957805564228</v>
      </c>
      <c r="O314" s="2">
        <v>2706.6839071397299</v>
      </c>
    </row>
    <row r="315" spans="1:15" x14ac:dyDescent="0.25">
      <c r="A315" t="s">
        <v>1849</v>
      </c>
      <c r="B315" t="s">
        <v>1850</v>
      </c>
      <c r="C315" s="2">
        <v>3894.7265280000006</v>
      </c>
      <c r="D315" s="2">
        <v>3777.8847321600006</v>
      </c>
      <c r="E315" s="2">
        <v>3664.5481901952003</v>
      </c>
      <c r="F315" s="2">
        <v>3554.6117444893443</v>
      </c>
      <c r="G315" s="2">
        <v>3447.973392154664</v>
      </c>
      <c r="H315" s="2">
        <v>3344.5341903900239</v>
      </c>
      <c r="I315" s="2">
        <v>3244.1981646783233</v>
      </c>
      <c r="J315" s="2">
        <v>3146.8722197379734</v>
      </c>
      <c r="K315" s="2">
        <v>3052.4660531458339</v>
      </c>
      <c r="L315" s="2">
        <v>2960.8920715514587</v>
      </c>
      <c r="M315" s="2">
        <v>2872.0653094049148</v>
      </c>
      <c r="N315" s="2">
        <v>2785.9033501227673</v>
      </c>
      <c r="O315" s="2">
        <v>2702.3262496190841</v>
      </c>
    </row>
    <row r="316" spans="1:15" x14ac:dyDescent="0.25">
      <c r="A316" t="s">
        <v>1851</v>
      </c>
      <c r="B316" t="s">
        <v>1852</v>
      </c>
      <c r="C316" s="2">
        <v>3888.7031040000006</v>
      </c>
      <c r="D316" s="2">
        <v>3772.0420108800004</v>
      </c>
      <c r="E316" s="2">
        <v>3658.8807505536001</v>
      </c>
      <c r="F316" s="2">
        <v>3549.114328036992</v>
      </c>
      <c r="G316" s="2">
        <v>3442.6408981958821</v>
      </c>
      <c r="H316" s="2">
        <v>3339.3616712500057</v>
      </c>
      <c r="I316" s="2">
        <v>3239.1808211125053</v>
      </c>
      <c r="J316" s="2">
        <v>3142.00539647913</v>
      </c>
      <c r="K316" s="2">
        <v>3047.745234584756</v>
      </c>
      <c r="L316" s="2">
        <v>2956.3128775472132</v>
      </c>
      <c r="M316" s="2">
        <v>2867.623491220797</v>
      </c>
      <c r="N316" s="2">
        <v>2781.5947864841728</v>
      </c>
      <c r="O316" s="2">
        <v>2698.1469428896476</v>
      </c>
    </row>
    <row r="317" spans="1:15" x14ac:dyDescent="0.25">
      <c r="A317" t="s">
        <v>1853</v>
      </c>
      <c r="B317" t="s">
        <v>1854</v>
      </c>
      <c r="C317" s="2">
        <v>3874.89993</v>
      </c>
      <c r="D317" s="2">
        <v>3758.6529320999998</v>
      </c>
      <c r="E317" s="2">
        <v>3645.8933441369995</v>
      </c>
      <c r="F317" s="2">
        <v>3536.5165438128893</v>
      </c>
      <c r="G317" s="2">
        <v>3430.4210474985025</v>
      </c>
      <c r="H317" s="2">
        <v>3327.5084160735473</v>
      </c>
      <c r="I317" s="2">
        <v>3227.6831635913409</v>
      </c>
      <c r="J317" s="2">
        <v>3130.8526686836008</v>
      </c>
      <c r="K317" s="2">
        <v>3036.9270886230925</v>
      </c>
      <c r="L317" s="2">
        <v>2945.8192759643998</v>
      </c>
      <c r="M317" s="2">
        <v>2857.4446976854679</v>
      </c>
      <c r="N317" s="2">
        <v>2771.7213567549038</v>
      </c>
      <c r="O317" s="2">
        <v>2688.5697160522568</v>
      </c>
    </row>
    <row r="318" spans="1:15" x14ac:dyDescent="0.25">
      <c r="A318" t="s">
        <v>1855</v>
      </c>
      <c r="B318" t="s">
        <v>1856</v>
      </c>
      <c r="C318" s="2">
        <v>3868.4570320000003</v>
      </c>
      <c r="D318" s="2">
        <v>3752.4033210400003</v>
      </c>
      <c r="E318" s="2">
        <v>3639.8312214088</v>
      </c>
      <c r="F318" s="2">
        <v>3530.6362847665359</v>
      </c>
      <c r="G318" s="2">
        <v>3424.7171962235398</v>
      </c>
      <c r="H318" s="2">
        <v>3321.9756803368336</v>
      </c>
      <c r="I318" s="2">
        <v>3222.3164099267287</v>
      </c>
      <c r="J318" s="2">
        <v>3125.646917628927</v>
      </c>
      <c r="K318" s="2">
        <v>3031.8775101000592</v>
      </c>
      <c r="L318" s="2">
        <v>2940.9211847970573</v>
      </c>
      <c r="M318" s="2">
        <v>2852.6935492531456</v>
      </c>
      <c r="N318" s="2">
        <v>2767.1127427755514</v>
      </c>
      <c r="O318" s="2">
        <v>2684.0993604922846</v>
      </c>
    </row>
    <row r="319" spans="1:15" x14ac:dyDescent="0.25">
      <c r="A319" t="s">
        <v>1857</v>
      </c>
      <c r="B319" t="s">
        <v>1858</v>
      </c>
      <c r="C319" s="2">
        <v>3868.1559620000007</v>
      </c>
      <c r="D319" s="2">
        <v>3752.1112831400005</v>
      </c>
      <c r="E319" s="2">
        <v>3639.5479446458003</v>
      </c>
      <c r="F319" s="2">
        <v>3530.3615063064262</v>
      </c>
      <c r="G319" s="2">
        <v>3424.4506611172333</v>
      </c>
      <c r="H319" s="2">
        <v>3321.717141283716</v>
      </c>
      <c r="I319" s="2">
        <v>3222.0656270452046</v>
      </c>
      <c r="J319" s="2">
        <v>3125.4036582338485</v>
      </c>
      <c r="K319" s="2">
        <v>3031.641548486833</v>
      </c>
      <c r="L319" s="2">
        <v>2940.6923020322279</v>
      </c>
      <c r="M319" s="2">
        <v>2852.4715329712608</v>
      </c>
      <c r="N319" s="2">
        <v>2766.897386982123</v>
      </c>
      <c r="O319" s="2">
        <v>2683.890465372659</v>
      </c>
    </row>
    <row r="320" spans="1:15" x14ac:dyDescent="0.25">
      <c r="A320" t="s">
        <v>1859</v>
      </c>
      <c r="B320" t="s">
        <v>1860</v>
      </c>
      <c r="C320" s="2">
        <v>3865.3623360000011</v>
      </c>
      <c r="D320" s="2">
        <v>3749.4014659200011</v>
      </c>
      <c r="E320" s="2">
        <v>3636.9194219424012</v>
      </c>
      <c r="F320" s="2">
        <v>3527.8118392841288</v>
      </c>
      <c r="G320" s="2">
        <v>3421.9774841056051</v>
      </c>
      <c r="H320" s="2">
        <v>3319.3181595824367</v>
      </c>
      <c r="I320" s="2">
        <v>3219.7386147949637</v>
      </c>
      <c r="J320" s="2">
        <v>3123.1464563511149</v>
      </c>
      <c r="K320" s="2">
        <v>3029.4520626605813</v>
      </c>
      <c r="L320" s="2">
        <v>2938.5685007807638</v>
      </c>
      <c r="M320" s="2">
        <v>2850.411445757341</v>
      </c>
      <c r="N320" s="2">
        <v>2764.8991023846206</v>
      </c>
      <c r="O320" s="2">
        <v>2681.952129313082</v>
      </c>
    </row>
    <row r="321" spans="1:15" x14ac:dyDescent="0.25">
      <c r="A321" t="s">
        <v>1861</v>
      </c>
      <c r="B321" t="s">
        <v>1862</v>
      </c>
      <c r="C321" s="2">
        <v>3852.4006400000003</v>
      </c>
      <c r="D321" s="2">
        <v>3736.8286208000004</v>
      </c>
      <c r="E321" s="2">
        <v>3624.7237621760005</v>
      </c>
      <c r="F321" s="2">
        <v>3515.9820493107204</v>
      </c>
      <c r="G321" s="2">
        <v>3410.5025878313986</v>
      </c>
      <c r="H321" s="2">
        <v>3308.1875101964565</v>
      </c>
      <c r="I321" s="2">
        <v>3208.9418848905625</v>
      </c>
      <c r="J321" s="2">
        <v>3112.6736283438454</v>
      </c>
      <c r="K321" s="2">
        <v>3019.2934194935301</v>
      </c>
      <c r="L321" s="2">
        <v>2928.7146169087241</v>
      </c>
      <c r="M321" s="2">
        <v>2840.8531784014622</v>
      </c>
      <c r="N321" s="2">
        <v>2755.6275830494183</v>
      </c>
      <c r="O321" s="2">
        <v>2672.9587555579355</v>
      </c>
    </row>
    <row r="322" spans="1:15" x14ac:dyDescent="0.25">
      <c r="A322" t="s">
        <v>1863</v>
      </c>
      <c r="B322" t="s">
        <v>1864</v>
      </c>
      <c r="C322" s="2">
        <v>3852.0201280000006</v>
      </c>
      <c r="D322" s="2">
        <v>3736.4595241600005</v>
      </c>
      <c r="E322" s="2">
        <v>3624.3657384352005</v>
      </c>
      <c r="F322" s="2">
        <v>3515.6347662821445</v>
      </c>
      <c r="G322" s="2">
        <v>3410.16572329368</v>
      </c>
      <c r="H322" s="2">
        <v>3307.8607515948697</v>
      </c>
      <c r="I322" s="2">
        <v>3208.6249290470237</v>
      </c>
      <c r="J322" s="2">
        <v>3112.3661811756128</v>
      </c>
      <c r="K322" s="2">
        <v>3018.9951957403446</v>
      </c>
      <c r="L322" s="2">
        <v>2928.425339868134</v>
      </c>
      <c r="M322" s="2">
        <v>2840.5725796720899</v>
      </c>
      <c r="N322" s="2">
        <v>2755.3554022819271</v>
      </c>
      <c r="O322" s="2">
        <v>2672.6947402134692</v>
      </c>
    </row>
    <row r="323" spans="1:15" x14ac:dyDescent="0.25">
      <c r="A323" t="s">
        <v>1865</v>
      </c>
      <c r="B323" t="s">
        <v>1866</v>
      </c>
      <c r="C323" s="2">
        <v>3850.093280000001</v>
      </c>
      <c r="D323" s="2">
        <v>3734.5904816000007</v>
      </c>
      <c r="E323" s="2">
        <v>3622.5527671520003</v>
      </c>
      <c r="F323" s="2">
        <v>3513.8761841374403</v>
      </c>
      <c r="G323" s="2">
        <v>3408.4598986133169</v>
      </c>
      <c r="H323" s="2">
        <v>3306.2061016549173</v>
      </c>
      <c r="I323" s="2">
        <v>3207.0199186052696</v>
      </c>
      <c r="J323" s="2">
        <v>3110.8093210471116</v>
      </c>
      <c r="K323" s="2">
        <v>3017.4850414156981</v>
      </c>
      <c r="L323" s="2">
        <v>2926.9604901732273</v>
      </c>
      <c r="M323" s="2">
        <v>2839.1516754680306</v>
      </c>
      <c r="N323" s="2">
        <v>2753.9771252039895</v>
      </c>
      <c r="O323" s="2">
        <v>2671.3578114478696</v>
      </c>
    </row>
    <row r="324" spans="1:15" x14ac:dyDescent="0.25">
      <c r="A324" t="s">
        <v>1867</v>
      </c>
      <c r="B324" t="s">
        <v>1868</v>
      </c>
      <c r="C324" s="2">
        <v>3847.8830720000001</v>
      </c>
      <c r="D324" s="2">
        <v>3732.4465798400001</v>
      </c>
      <c r="E324" s="2">
        <v>3620.4731824447999</v>
      </c>
      <c r="F324" s="2">
        <v>3511.858986971456</v>
      </c>
      <c r="G324" s="2">
        <v>3406.5032173623122</v>
      </c>
      <c r="H324" s="2">
        <v>3304.3081208414428</v>
      </c>
      <c r="I324" s="2">
        <v>3205.1788772161995</v>
      </c>
      <c r="J324" s="2">
        <v>3109.0235108997135</v>
      </c>
      <c r="K324" s="2">
        <v>3015.7528055727221</v>
      </c>
      <c r="L324" s="2">
        <v>2925.2802214055405</v>
      </c>
      <c r="M324" s="2">
        <v>2837.5218147633741</v>
      </c>
      <c r="N324" s="2">
        <v>2752.396160320473</v>
      </c>
      <c r="O324" s="2">
        <v>2669.8242755108586</v>
      </c>
    </row>
    <row r="325" spans="1:15" x14ac:dyDescent="0.25">
      <c r="A325" t="s">
        <v>1869</v>
      </c>
      <c r="B325" t="s">
        <v>1870</v>
      </c>
      <c r="C325" s="2">
        <v>3844.0359540000009</v>
      </c>
      <c r="D325" s="2">
        <v>3728.7148753800006</v>
      </c>
      <c r="E325" s="2">
        <v>3616.8534291186006</v>
      </c>
      <c r="F325" s="2">
        <v>3508.3478262450426</v>
      </c>
      <c r="G325" s="2">
        <v>3403.0973914576912</v>
      </c>
      <c r="H325" s="2">
        <v>3301.0044697139601</v>
      </c>
      <c r="I325" s="2">
        <v>3201.9743356225413</v>
      </c>
      <c r="J325" s="2">
        <v>3105.915105553865</v>
      </c>
      <c r="K325" s="2">
        <v>3012.737652387249</v>
      </c>
      <c r="L325" s="2">
        <v>2922.3555228156315</v>
      </c>
      <c r="M325" s="2">
        <v>2834.6848571311625</v>
      </c>
      <c r="N325" s="2">
        <v>2749.6443114172275</v>
      </c>
      <c r="O325" s="2">
        <v>2667.1549820747105</v>
      </c>
    </row>
    <row r="326" spans="1:15" x14ac:dyDescent="0.25">
      <c r="A326" t="s">
        <v>1871</v>
      </c>
      <c r="B326" t="s">
        <v>1872</v>
      </c>
      <c r="C326" s="2">
        <v>3844.0131840000008</v>
      </c>
      <c r="D326" s="2">
        <v>3728.6927884800007</v>
      </c>
      <c r="E326" s="2">
        <v>3616.8320048256005</v>
      </c>
      <c r="F326" s="2">
        <v>3508.3270446808324</v>
      </c>
      <c r="G326" s="2">
        <v>3403.0772333404075</v>
      </c>
      <c r="H326" s="2">
        <v>3300.984916340195</v>
      </c>
      <c r="I326" s="2">
        <v>3201.9553688499891</v>
      </c>
      <c r="J326" s="2">
        <v>3105.8967077844895</v>
      </c>
      <c r="K326" s="2">
        <v>3012.7198065509547</v>
      </c>
      <c r="L326" s="2">
        <v>2922.3382123544261</v>
      </c>
      <c r="M326" s="2">
        <v>2834.6680659837934</v>
      </c>
      <c r="N326" s="2">
        <v>2749.6280240042797</v>
      </c>
      <c r="O326" s="2">
        <v>2667.1391832841514</v>
      </c>
    </row>
    <row r="327" spans="1:15" x14ac:dyDescent="0.25">
      <c r="A327" t="s">
        <v>1873</v>
      </c>
      <c r="B327" t="s">
        <v>1874</v>
      </c>
      <c r="C327" s="2">
        <v>3842.6125760000009</v>
      </c>
      <c r="D327" s="2">
        <v>3727.3341987200006</v>
      </c>
      <c r="E327" s="2">
        <v>3615.5141727584005</v>
      </c>
      <c r="F327" s="2">
        <v>3507.0487475756486</v>
      </c>
      <c r="G327" s="2">
        <v>3401.8372851483791</v>
      </c>
      <c r="H327" s="2">
        <v>3299.7821665939277</v>
      </c>
      <c r="I327" s="2">
        <v>3200.7887015961096</v>
      </c>
      <c r="J327" s="2">
        <v>3104.7650405482264</v>
      </c>
      <c r="K327" s="2">
        <v>3011.6220893317795</v>
      </c>
      <c r="L327" s="2">
        <v>2921.273426651826</v>
      </c>
      <c r="M327" s="2">
        <v>2833.6352238522709</v>
      </c>
      <c r="N327" s="2">
        <v>2748.6261671367029</v>
      </c>
      <c r="O327" s="2">
        <v>2666.1673821226018</v>
      </c>
    </row>
    <row r="328" spans="1:15" x14ac:dyDescent="0.25">
      <c r="A328" t="s">
        <v>1875</v>
      </c>
      <c r="B328" t="s">
        <v>1876</v>
      </c>
      <c r="C328" s="2">
        <v>3840.9528960000007</v>
      </c>
      <c r="D328" s="2">
        <v>3725.7243091200007</v>
      </c>
      <c r="E328" s="2">
        <v>3613.9525798464006</v>
      </c>
      <c r="F328" s="2">
        <v>3505.5340024510083</v>
      </c>
      <c r="G328" s="2">
        <v>3400.3679823774778</v>
      </c>
      <c r="H328" s="2">
        <v>3298.3569429061536</v>
      </c>
      <c r="I328" s="2">
        <v>3199.4062346189689</v>
      </c>
      <c r="J328" s="2">
        <v>3103.4240475803999</v>
      </c>
      <c r="K328" s="2">
        <v>3010.3213261529877</v>
      </c>
      <c r="L328" s="2">
        <v>2920.0116863683979</v>
      </c>
      <c r="M328" s="2">
        <v>2832.4113357773458</v>
      </c>
      <c r="N328" s="2">
        <v>2747.4389957040253</v>
      </c>
      <c r="O328" s="2">
        <v>2665.0158258329043</v>
      </c>
    </row>
    <row r="329" spans="1:15" x14ac:dyDescent="0.25">
      <c r="A329" t="s">
        <v>1877</v>
      </c>
      <c r="B329" t="s">
        <v>1878</v>
      </c>
      <c r="C329" s="2">
        <v>3840.6371520000002</v>
      </c>
      <c r="D329" s="2">
        <v>3725.4180374400003</v>
      </c>
      <c r="E329" s="2">
        <v>3613.6554963168001</v>
      </c>
      <c r="F329" s="2">
        <v>3505.2458314272958</v>
      </c>
      <c r="G329" s="2">
        <v>3400.0884564844769</v>
      </c>
      <c r="H329" s="2">
        <v>3298.0858027899426</v>
      </c>
      <c r="I329" s="2">
        <v>3199.1432287062444</v>
      </c>
      <c r="J329" s="2">
        <v>3103.1689318450572</v>
      </c>
      <c r="K329" s="2">
        <v>3010.0738638897055</v>
      </c>
      <c r="L329" s="2">
        <v>2919.7716479730143</v>
      </c>
      <c r="M329" s="2">
        <v>2832.1784985338236</v>
      </c>
      <c r="N329" s="2">
        <v>2747.2131435778088</v>
      </c>
      <c r="O329" s="2">
        <v>2664.7967492704743</v>
      </c>
    </row>
    <row r="330" spans="1:15" x14ac:dyDescent="0.25">
      <c r="A330" t="s">
        <v>1879</v>
      </c>
      <c r="B330" t="s">
        <v>1880</v>
      </c>
      <c r="C330" s="2">
        <v>3834.1441600000007</v>
      </c>
      <c r="D330" s="2">
        <v>3719.1198352000006</v>
      </c>
      <c r="E330" s="2">
        <v>3607.5462401440004</v>
      </c>
      <c r="F330" s="2">
        <v>3499.3198529396805</v>
      </c>
      <c r="G330" s="2">
        <v>3394.34025735149</v>
      </c>
      <c r="H330" s="2">
        <v>3292.5100496309451</v>
      </c>
      <c r="I330" s="2">
        <v>3193.7347481420165</v>
      </c>
      <c r="J330" s="2">
        <v>3097.9227056977561</v>
      </c>
      <c r="K330" s="2">
        <v>3004.9850245268235</v>
      </c>
      <c r="L330" s="2">
        <v>2914.8354737910186</v>
      </c>
      <c r="M330" s="2">
        <v>2827.3904095772878</v>
      </c>
      <c r="N330" s="2">
        <v>2742.5686972899689</v>
      </c>
      <c r="O330" s="2">
        <v>2660.2916363712698</v>
      </c>
    </row>
    <row r="331" spans="1:15" x14ac:dyDescent="0.25">
      <c r="A331" t="s">
        <v>1881</v>
      </c>
      <c r="B331" t="s">
        <v>1882</v>
      </c>
      <c r="C331" s="2">
        <v>3833.2318420000006</v>
      </c>
      <c r="D331" s="2">
        <v>3718.2348867400005</v>
      </c>
      <c r="E331" s="2">
        <v>3606.6878401378003</v>
      </c>
      <c r="F331" s="2">
        <v>3498.4872049336664</v>
      </c>
      <c r="G331" s="2">
        <v>3393.5325887856561</v>
      </c>
      <c r="H331" s="2">
        <v>3291.7266111220865</v>
      </c>
      <c r="I331" s="2">
        <v>3192.9748127884241</v>
      </c>
      <c r="J331" s="2">
        <v>3097.1855684047714</v>
      </c>
      <c r="K331" s="2">
        <v>3004.2700013526282</v>
      </c>
      <c r="L331" s="2">
        <v>2914.1419013120494</v>
      </c>
      <c r="M331" s="2">
        <v>2826.7176442726877</v>
      </c>
      <c r="N331" s="2">
        <v>2741.9161149445072</v>
      </c>
      <c r="O331" s="2">
        <v>2659.6586314961719</v>
      </c>
    </row>
    <row r="332" spans="1:15" x14ac:dyDescent="0.25">
      <c r="A332" t="s">
        <v>1883</v>
      </c>
      <c r="B332" t="s">
        <v>1884</v>
      </c>
      <c r="C332" s="2">
        <v>3831.9845520000008</v>
      </c>
      <c r="D332" s="2">
        <v>3717.0250154400005</v>
      </c>
      <c r="E332" s="2">
        <v>3605.5142649768004</v>
      </c>
      <c r="F332" s="2">
        <v>3497.3488370274963</v>
      </c>
      <c r="G332" s="2">
        <v>3392.4283719166715</v>
      </c>
      <c r="H332" s="2">
        <v>3290.6555207591714</v>
      </c>
      <c r="I332" s="2">
        <v>3191.9358551363962</v>
      </c>
      <c r="J332" s="2">
        <v>3096.1777794823042</v>
      </c>
      <c r="K332" s="2">
        <v>3003.2924460978352</v>
      </c>
      <c r="L332" s="2">
        <v>2913.1936727149</v>
      </c>
      <c r="M332" s="2">
        <v>2825.7978625334531</v>
      </c>
      <c r="N332" s="2">
        <v>2741.0239266574495</v>
      </c>
      <c r="O332" s="2">
        <v>2658.7932088577259</v>
      </c>
    </row>
    <row r="333" spans="1:15" x14ac:dyDescent="0.25">
      <c r="A333" t="s">
        <v>1885</v>
      </c>
      <c r="B333" t="s">
        <v>1886</v>
      </c>
      <c r="C333" s="2">
        <v>3831.9845520000008</v>
      </c>
      <c r="D333" s="2">
        <v>3717.0250154400005</v>
      </c>
      <c r="E333" s="2">
        <v>3605.5142649768004</v>
      </c>
      <c r="F333" s="2">
        <v>3497.3488370274963</v>
      </c>
      <c r="G333" s="2">
        <v>3392.4283719166715</v>
      </c>
      <c r="H333" s="2">
        <v>3290.6555207591714</v>
      </c>
      <c r="I333" s="2">
        <v>3191.9358551363962</v>
      </c>
      <c r="J333" s="2">
        <v>3096.1777794823042</v>
      </c>
      <c r="K333" s="2">
        <v>3003.2924460978352</v>
      </c>
      <c r="L333" s="2">
        <v>2913.1936727149</v>
      </c>
      <c r="M333" s="2">
        <v>2825.7978625334531</v>
      </c>
      <c r="N333" s="2">
        <v>2741.0239266574495</v>
      </c>
      <c r="O333" s="2">
        <v>2658.7932088577259</v>
      </c>
    </row>
    <row r="334" spans="1:15" x14ac:dyDescent="0.25">
      <c r="A334" t="s">
        <v>1887</v>
      </c>
      <c r="B334" t="s">
        <v>1888</v>
      </c>
      <c r="C334" s="2">
        <v>3831.9845520000008</v>
      </c>
      <c r="D334" s="2">
        <v>3717.0250154400005</v>
      </c>
      <c r="E334" s="2">
        <v>3605.5142649768004</v>
      </c>
      <c r="F334" s="2">
        <v>3497.3488370274963</v>
      </c>
      <c r="G334" s="2">
        <v>3392.4283719166715</v>
      </c>
      <c r="H334" s="2">
        <v>3290.6555207591714</v>
      </c>
      <c r="I334" s="2">
        <v>3191.9358551363962</v>
      </c>
      <c r="J334" s="2">
        <v>3096.1777794823042</v>
      </c>
      <c r="K334" s="2">
        <v>3003.2924460978352</v>
      </c>
      <c r="L334" s="2">
        <v>2913.1936727149</v>
      </c>
      <c r="M334" s="2">
        <v>2825.7978625334531</v>
      </c>
      <c r="N334" s="2">
        <v>2741.0239266574495</v>
      </c>
      <c r="O334" s="2">
        <v>2658.7932088577259</v>
      </c>
    </row>
    <row r="335" spans="1:15" x14ac:dyDescent="0.25">
      <c r="A335" t="s">
        <v>1889</v>
      </c>
      <c r="B335" t="s">
        <v>1890</v>
      </c>
      <c r="C335" s="2">
        <v>3831.9845520000008</v>
      </c>
      <c r="D335" s="2">
        <v>3717.0250154400005</v>
      </c>
      <c r="E335" s="2">
        <v>3605.5142649768004</v>
      </c>
      <c r="F335" s="2">
        <v>3497.3488370274963</v>
      </c>
      <c r="G335" s="2">
        <v>3392.4283719166715</v>
      </c>
      <c r="H335" s="2">
        <v>3290.6555207591714</v>
      </c>
      <c r="I335" s="2">
        <v>3191.9358551363962</v>
      </c>
      <c r="J335" s="2">
        <v>3096.1777794823042</v>
      </c>
      <c r="K335" s="2">
        <v>3003.2924460978352</v>
      </c>
      <c r="L335" s="2">
        <v>2913.1936727149</v>
      </c>
      <c r="M335" s="2">
        <v>2825.7978625334531</v>
      </c>
      <c r="N335" s="2">
        <v>2741.0239266574495</v>
      </c>
      <c r="O335" s="2">
        <v>2658.7932088577259</v>
      </c>
    </row>
    <row r="336" spans="1:15" x14ac:dyDescent="0.25">
      <c r="A336" t="s">
        <v>1891</v>
      </c>
      <c r="B336" t="s">
        <v>1892</v>
      </c>
      <c r="C336" s="2">
        <v>3827.5545219999999</v>
      </c>
      <c r="D336" s="2">
        <v>3712.7278863399997</v>
      </c>
      <c r="E336" s="2">
        <v>3601.3460497497995</v>
      </c>
      <c r="F336" s="2">
        <v>3493.3056682573056</v>
      </c>
      <c r="G336" s="2">
        <v>3388.5064982095864</v>
      </c>
      <c r="H336" s="2">
        <v>3286.8513032632986</v>
      </c>
      <c r="I336" s="2">
        <v>3188.2457641653996</v>
      </c>
      <c r="J336" s="2">
        <v>3092.5983912404376</v>
      </c>
      <c r="K336" s="2">
        <v>2999.8204395032244</v>
      </c>
      <c r="L336" s="2">
        <v>2909.8258263181274</v>
      </c>
      <c r="M336" s="2">
        <v>2822.5310515285837</v>
      </c>
      <c r="N336" s="2">
        <v>2737.8551199827261</v>
      </c>
      <c r="O336" s="2">
        <v>2655.7194663832443</v>
      </c>
    </row>
    <row r="337" spans="1:15" x14ac:dyDescent="0.25">
      <c r="A337" t="s">
        <v>1893</v>
      </c>
      <c r="B337" t="s">
        <v>1894</v>
      </c>
      <c r="C337" s="2">
        <v>3815.80672</v>
      </c>
      <c r="D337" s="2">
        <v>3701.3325184</v>
      </c>
      <c r="E337" s="2">
        <v>3590.2925428479998</v>
      </c>
      <c r="F337" s="2">
        <v>3482.5837665625595</v>
      </c>
      <c r="G337" s="2">
        <v>3378.1062535656824</v>
      </c>
      <c r="H337" s="2">
        <v>3276.7630659587116</v>
      </c>
      <c r="I337" s="2">
        <v>3178.46017397995</v>
      </c>
      <c r="J337" s="2">
        <v>3083.1063687605515</v>
      </c>
      <c r="K337" s="2">
        <v>2990.613177697735</v>
      </c>
      <c r="L337" s="2">
        <v>2900.8947823668027</v>
      </c>
      <c r="M337" s="2">
        <v>2813.8679388957985</v>
      </c>
      <c r="N337" s="2">
        <v>2729.4519007289246</v>
      </c>
      <c r="O337" s="2">
        <v>2647.5683437070566</v>
      </c>
    </row>
    <row r="338" spans="1:15" x14ac:dyDescent="0.25">
      <c r="A338" t="s">
        <v>1895</v>
      </c>
      <c r="B338" t="s">
        <v>1896</v>
      </c>
      <c r="C338" s="2">
        <v>3812.6644600000004</v>
      </c>
      <c r="D338" s="2">
        <v>3698.2845262000005</v>
      </c>
      <c r="E338" s="2">
        <v>3587.3359904140002</v>
      </c>
      <c r="F338" s="2">
        <v>3479.71591070158</v>
      </c>
      <c r="G338" s="2">
        <v>3375.3244333805324</v>
      </c>
      <c r="H338" s="2">
        <v>3274.0647003791164</v>
      </c>
      <c r="I338" s="2">
        <v>3175.8427593677429</v>
      </c>
      <c r="J338" s="2">
        <v>3080.5674765867107</v>
      </c>
      <c r="K338" s="2">
        <v>2988.1504522891091</v>
      </c>
      <c r="L338" s="2">
        <v>2898.5059387204356</v>
      </c>
      <c r="M338" s="2">
        <v>2811.5507605588223</v>
      </c>
      <c r="N338" s="2">
        <v>2727.2042377420576</v>
      </c>
      <c r="O338" s="2">
        <v>2645.3881106097956</v>
      </c>
    </row>
    <row r="339" spans="1:15" x14ac:dyDescent="0.25">
      <c r="A339" t="s">
        <v>1897</v>
      </c>
      <c r="B339" t="s">
        <v>1898</v>
      </c>
      <c r="C339" s="2">
        <v>3811.7612500000005</v>
      </c>
      <c r="D339" s="2">
        <v>3697.4084125000004</v>
      </c>
      <c r="E339" s="2">
        <v>3586.4861601250004</v>
      </c>
      <c r="F339" s="2">
        <v>3478.8915753212505</v>
      </c>
      <c r="G339" s="2">
        <v>3374.5248280616129</v>
      </c>
      <c r="H339" s="2">
        <v>3273.2890832197645</v>
      </c>
      <c r="I339" s="2">
        <v>3175.0904107231713</v>
      </c>
      <c r="J339" s="2">
        <v>3079.8376984014762</v>
      </c>
      <c r="K339" s="2">
        <v>2987.4425674494319</v>
      </c>
      <c r="L339" s="2">
        <v>2897.819290425949</v>
      </c>
      <c r="M339" s="2">
        <v>2810.8847117131704</v>
      </c>
      <c r="N339" s="2">
        <v>2726.5581703617754</v>
      </c>
      <c r="O339" s="2">
        <v>2644.761425250922</v>
      </c>
    </row>
    <row r="340" spans="1:15" x14ac:dyDescent="0.25">
      <c r="A340" t="s">
        <v>1899</v>
      </c>
      <c r="B340" t="s">
        <v>1900</v>
      </c>
      <c r="C340" s="2">
        <v>3810.592896000001</v>
      </c>
      <c r="D340" s="2">
        <v>3696.2751091200007</v>
      </c>
      <c r="E340" s="2">
        <v>3585.3868558464005</v>
      </c>
      <c r="F340" s="2">
        <v>3477.8252501710085</v>
      </c>
      <c r="G340" s="2">
        <v>3373.4904926658783</v>
      </c>
      <c r="H340" s="2">
        <v>3272.285777885902</v>
      </c>
      <c r="I340" s="2">
        <v>3174.1172045493249</v>
      </c>
      <c r="J340" s="2">
        <v>3078.8936884128452</v>
      </c>
      <c r="K340" s="2">
        <v>2986.5268777604597</v>
      </c>
      <c r="L340" s="2">
        <v>2896.9310714276457</v>
      </c>
      <c r="M340" s="2">
        <v>2810.0231392848164</v>
      </c>
      <c r="N340" s="2">
        <v>2725.7224451062716</v>
      </c>
      <c r="O340" s="2">
        <v>2643.9507717530832</v>
      </c>
    </row>
    <row r="341" spans="1:15" x14ac:dyDescent="0.25">
      <c r="A341" t="s">
        <v>1901</v>
      </c>
      <c r="B341" t="s">
        <v>1902</v>
      </c>
      <c r="C341" s="2">
        <v>3806.8525440000008</v>
      </c>
      <c r="D341" s="2">
        <v>3692.6469676800007</v>
      </c>
      <c r="E341" s="2">
        <v>3581.8675586496006</v>
      </c>
      <c r="F341" s="2">
        <v>3474.4115318901127</v>
      </c>
      <c r="G341" s="2">
        <v>3370.1791859334094</v>
      </c>
      <c r="H341" s="2">
        <v>3269.0738103554072</v>
      </c>
      <c r="I341" s="2">
        <v>3171.0015960447449</v>
      </c>
      <c r="J341" s="2">
        <v>3075.8715481634026</v>
      </c>
      <c r="K341" s="2">
        <v>2983.5954017185004</v>
      </c>
      <c r="L341" s="2">
        <v>2894.0875396669453</v>
      </c>
      <c r="M341" s="2">
        <v>2807.2649134769367</v>
      </c>
      <c r="N341" s="2">
        <v>2723.0469660726285</v>
      </c>
      <c r="O341" s="2">
        <v>2641.3555570904496</v>
      </c>
    </row>
    <row r="342" spans="1:15" x14ac:dyDescent="0.25">
      <c r="A342" t="s">
        <v>1903</v>
      </c>
      <c r="B342" t="s">
        <v>1904</v>
      </c>
      <c r="C342" s="2">
        <v>3801.3442280000008</v>
      </c>
      <c r="D342" s="2">
        <v>3687.3039011600008</v>
      </c>
      <c r="E342" s="2">
        <v>3576.6847841252006</v>
      </c>
      <c r="F342" s="2">
        <v>3469.3842406014446</v>
      </c>
      <c r="G342" s="2">
        <v>3365.3027133834012</v>
      </c>
      <c r="H342" s="2">
        <v>3264.3436319818989</v>
      </c>
      <c r="I342" s="2">
        <v>3166.413323022442</v>
      </c>
      <c r="J342" s="2">
        <v>3071.4209233317688</v>
      </c>
      <c r="K342" s="2">
        <v>2979.2782956318156</v>
      </c>
      <c r="L342" s="2">
        <v>2889.899946762861</v>
      </c>
      <c r="M342" s="2">
        <v>2803.2029483599749</v>
      </c>
      <c r="N342" s="2">
        <v>2719.1068599091755</v>
      </c>
      <c r="O342" s="2">
        <v>2637.5336541119</v>
      </c>
    </row>
    <row r="343" spans="1:15" x14ac:dyDescent="0.25">
      <c r="A343" t="s">
        <v>1905</v>
      </c>
      <c r="B343" t="s">
        <v>1906</v>
      </c>
      <c r="C343" s="2">
        <v>3800.6995840000004</v>
      </c>
      <c r="D343" s="2">
        <v>3686.6785964800001</v>
      </c>
      <c r="E343" s="2">
        <v>3576.0782385856</v>
      </c>
      <c r="F343" s="2">
        <v>3468.7958914280321</v>
      </c>
      <c r="G343" s="2">
        <v>3364.7320146851912</v>
      </c>
      <c r="H343" s="2">
        <v>3263.7900542446355</v>
      </c>
      <c r="I343" s="2">
        <v>3165.8763526172961</v>
      </c>
      <c r="J343" s="2">
        <v>3070.9000620387769</v>
      </c>
      <c r="K343" s="2">
        <v>2978.7730601776134</v>
      </c>
      <c r="L343" s="2">
        <v>2889.409868372285</v>
      </c>
      <c r="M343" s="2">
        <v>2802.7275723211164</v>
      </c>
      <c r="N343" s="2">
        <v>2718.645745151483</v>
      </c>
      <c r="O343" s="2">
        <v>2637.0863727969386</v>
      </c>
    </row>
    <row r="344" spans="1:15" x14ac:dyDescent="0.25">
      <c r="A344" t="s">
        <v>1907</v>
      </c>
      <c r="B344" t="s">
        <v>1908</v>
      </c>
      <c r="C344" s="2">
        <v>3791.9078340000001</v>
      </c>
      <c r="D344" s="2">
        <v>3678.1505989799998</v>
      </c>
      <c r="E344" s="2">
        <v>3567.8060810105999</v>
      </c>
      <c r="F344" s="2">
        <v>3460.7718985802817</v>
      </c>
      <c r="G344" s="2">
        <v>3356.9487416228731</v>
      </c>
      <c r="H344" s="2">
        <v>3256.2402793741867</v>
      </c>
      <c r="I344" s="2">
        <v>3158.5530709929608</v>
      </c>
      <c r="J344" s="2">
        <v>3063.7964788631721</v>
      </c>
      <c r="K344" s="2">
        <v>2971.8825844972766</v>
      </c>
      <c r="L344" s="2">
        <v>2882.7261069623582</v>
      </c>
      <c r="M344" s="2">
        <v>2796.2443237534876</v>
      </c>
      <c r="N344" s="2">
        <v>2712.3569940408829</v>
      </c>
      <c r="O344" s="2">
        <v>2630.9862842196562</v>
      </c>
    </row>
    <row r="345" spans="1:15" x14ac:dyDescent="0.25">
      <c r="A345" t="s">
        <v>1909</v>
      </c>
      <c r="B345" t="s">
        <v>1910</v>
      </c>
      <c r="C345" s="2">
        <v>3790.4419520000006</v>
      </c>
      <c r="D345" s="2">
        <v>3676.7286934400004</v>
      </c>
      <c r="E345" s="2">
        <v>3566.4268326368001</v>
      </c>
      <c r="F345" s="2">
        <v>3459.4340276576959</v>
      </c>
      <c r="G345" s="2">
        <v>3355.6510068279649</v>
      </c>
      <c r="H345" s="2">
        <v>3254.9814766231257</v>
      </c>
      <c r="I345" s="2">
        <v>3157.332032324432</v>
      </c>
      <c r="J345" s="2">
        <v>3062.6120713546989</v>
      </c>
      <c r="K345" s="2">
        <v>2970.7337092140579</v>
      </c>
      <c r="L345" s="2">
        <v>2881.6116979376361</v>
      </c>
      <c r="M345" s="2">
        <v>2795.1633469995068</v>
      </c>
      <c r="N345" s="2">
        <v>2711.3084465895213</v>
      </c>
      <c r="O345" s="2">
        <v>2629.9691931918355</v>
      </c>
    </row>
    <row r="346" spans="1:15" x14ac:dyDescent="0.25">
      <c r="A346" t="s">
        <v>1911</v>
      </c>
      <c r="B346" t="s">
        <v>1912</v>
      </c>
      <c r="C346" s="2">
        <v>3788.5798720000003</v>
      </c>
      <c r="D346" s="2">
        <v>3674.9224758400001</v>
      </c>
      <c r="E346" s="2">
        <v>3564.6748015648</v>
      </c>
      <c r="F346" s="2">
        <v>3457.734557517856</v>
      </c>
      <c r="G346" s="2">
        <v>3354.0025207923204</v>
      </c>
      <c r="H346" s="2">
        <v>3253.3824451685509</v>
      </c>
      <c r="I346" s="2">
        <v>3155.7809718134945</v>
      </c>
      <c r="J346" s="2">
        <v>3061.1075426590896</v>
      </c>
      <c r="K346" s="2">
        <v>2969.274316379317</v>
      </c>
      <c r="L346" s="2">
        <v>2880.1960868879373</v>
      </c>
      <c r="M346" s="2">
        <v>2793.7902042812993</v>
      </c>
      <c r="N346" s="2">
        <v>2709.9764981528601</v>
      </c>
      <c r="O346" s="2">
        <v>2628.6772032082745</v>
      </c>
    </row>
    <row r="347" spans="1:15" x14ac:dyDescent="0.25">
      <c r="A347" t="s">
        <v>1913</v>
      </c>
      <c r="B347" t="s">
        <v>1914</v>
      </c>
      <c r="C347" s="2">
        <v>3782.1531660000005</v>
      </c>
      <c r="D347" s="2">
        <v>3668.6885710200004</v>
      </c>
      <c r="E347" s="2">
        <v>3558.6279138894001</v>
      </c>
      <c r="F347" s="2">
        <v>3451.869076472718</v>
      </c>
      <c r="G347" s="2">
        <v>3348.3130041785362</v>
      </c>
      <c r="H347" s="2">
        <v>3247.8636140531798</v>
      </c>
      <c r="I347" s="2">
        <v>3150.4277056315846</v>
      </c>
      <c r="J347" s="2">
        <v>3055.9148744626368</v>
      </c>
      <c r="K347" s="2">
        <v>2964.2374282287578</v>
      </c>
      <c r="L347" s="2">
        <v>2875.310305381895</v>
      </c>
      <c r="M347" s="2">
        <v>2789.0509962204383</v>
      </c>
      <c r="N347" s="2">
        <v>2705.3794663338249</v>
      </c>
      <c r="O347" s="2">
        <v>2624.2180823438102</v>
      </c>
    </row>
    <row r="348" spans="1:15" x14ac:dyDescent="0.25">
      <c r="A348" t="s">
        <v>1915</v>
      </c>
      <c r="B348" t="s">
        <v>1916</v>
      </c>
      <c r="C348" s="2">
        <v>3777.1402240000002</v>
      </c>
      <c r="D348" s="2">
        <v>3663.8260172800001</v>
      </c>
      <c r="E348" s="2">
        <v>3553.9112367615999</v>
      </c>
      <c r="F348" s="2">
        <v>3447.2938996587518</v>
      </c>
      <c r="G348" s="2">
        <v>3343.8750826689893</v>
      </c>
      <c r="H348" s="2">
        <v>3243.5588301889197</v>
      </c>
      <c r="I348" s="2">
        <v>3146.2520652832523</v>
      </c>
      <c r="J348" s="2">
        <v>3051.8645033247544</v>
      </c>
      <c r="K348" s="2">
        <v>2960.3085682250116</v>
      </c>
      <c r="L348" s="2">
        <v>2871.499311178261</v>
      </c>
      <c r="M348" s="2">
        <v>2785.3543318429129</v>
      </c>
      <c r="N348" s="2">
        <v>2701.7937018876255</v>
      </c>
      <c r="O348" s="2">
        <v>2620.7398908309965</v>
      </c>
    </row>
    <row r="349" spans="1:15" x14ac:dyDescent="0.25">
      <c r="A349" t="s">
        <v>1917</v>
      </c>
      <c r="B349" t="s">
        <v>1918</v>
      </c>
      <c r="C349" s="2">
        <v>3774.5899840000006</v>
      </c>
      <c r="D349" s="2">
        <v>3661.3522844800004</v>
      </c>
      <c r="E349" s="2">
        <v>3551.5117159456004</v>
      </c>
      <c r="F349" s="2">
        <v>3444.9663644672323</v>
      </c>
      <c r="G349" s="2">
        <v>3341.6173735332154</v>
      </c>
      <c r="H349" s="2">
        <v>3241.368852327219</v>
      </c>
      <c r="I349" s="2">
        <v>3144.1277867574022</v>
      </c>
      <c r="J349" s="2">
        <v>3049.8039531546801</v>
      </c>
      <c r="K349" s="2">
        <v>2958.3098345600397</v>
      </c>
      <c r="L349" s="2">
        <v>2869.5605395232383</v>
      </c>
      <c r="M349" s="2">
        <v>2783.4737233375408</v>
      </c>
      <c r="N349" s="2">
        <v>2699.9695116374146</v>
      </c>
      <c r="O349" s="2">
        <v>2618.9704262882919</v>
      </c>
    </row>
    <row r="350" spans="1:15" x14ac:dyDescent="0.25">
      <c r="A350" t="s">
        <v>1919</v>
      </c>
      <c r="B350" t="s">
        <v>1920</v>
      </c>
      <c r="C350" s="2">
        <v>3771.5377920000014</v>
      </c>
      <c r="D350" s="2">
        <v>3658.3916582400011</v>
      </c>
      <c r="E350" s="2">
        <v>3548.6399084928012</v>
      </c>
      <c r="F350" s="2">
        <v>3442.180711238017</v>
      </c>
      <c r="G350" s="2">
        <v>3338.9152899008764</v>
      </c>
      <c r="H350" s="2">
        <v>3238.7478312038502</v>
      </c>
      <c r="I350" s="2">
        <v>3141.5853962677347</v>
      </c>
      <c r="J350" s="2">
        <v>3047.3378343797026</v>
      </c>
      <c r="K350" s="2">
        <v>2955.9176993483115</v>
      </c>
      <c r="L350" s="2">
        <v>2867.2401683678622</v>
      </c>
      <c r="M350" s="2">
        <v>2781.2229633168263</v>
      </c>
      <c r="N350" s="2">
        <v>2697.7862744173212</v>
      </c>
      <c r="O350" s="2">
        <v>2616.8526861848013</v>
      </c>
    </row>
    <row r="351" spans="1:15" x14ac:dyDescent="0.25">
      <c r="A351" t="s">
        <v>1921</v>
      </c>
      <c r="B351" t="s">
        <v>1922</v>
      </c>
      <c r="C351" s="2">
        <v>3771.4694820000004</v>
      </c>
      <c r="D351" s="2">
        <v>3658.3253975400003</v>
      </c>
      <c r="E351" s="2">
        <v>3548.5756356138004</v>
      </c>
      <c r="F351" s="2">
        <v>3442.1183665453864</v>
      </c>
      <c r="G351" s="2">
        <v>3338.8548155490248</v>
      </c>
      <c r="H351" s="2">
        <v>3238.6891710825539</v>
      </c>
      <c r="I351" s="2">
        <v>3141.5284959500773</v>
      </c>
      <c r="J351" s="2">
        <v>3047.2826410715747</v>
      </c>
      <c r="K351" s="2">
        <v>2955.8641618394272</v>
      </c>
      <c r="L351" s="2">
        <v>2867.1882369842442</v>
      </c>
      <c r="M351" s="2">
        <v>2781.1725898747168</v>
      </c>
      <c r="N351" s="2">
        <v>2697.7374121784751</v>
      </c>
      <c r="O351" s="2">
        <v>2616.8052898131209</v>
      </c>
    </row>
    <row r="352" spans="1:15" x14ac:dyDescent="0.25">
      <c r="A352" t="s">
        <v>1923</v>
      </c>
      <c r="B352" t="s">
        <v>1924</v>
      </c>
      <c r="C352" s="2">
        <v>3761.0954700000011</v>
      </c>
      <c r="D352" s="2">
        <v>3648.2626059000008</v>
      </c>
      <c r="E352" s="2">
        <v>3538.8147277230005</v>
      </c>
      <c r="F352" s="2">
        <v>3432.6502858913104</v>
      </c>
      <c r="G352" s="2">
        <v>3329.6707773145708</v>
      </c>
      <c r="H352" s="2">
        <v>3229.7806539951334</v>
      </c>
      <c r="I352" s="2">
        <v>3132.8872343752791</v>
      </c>
      <c r="J352" s="2">
        <v>3038.9006173440207</v>
      </c>
      <c r="K352" s="2">
        <v>2947.7335988237</v>
      </c>
      <c r="L352" s="2">
        <v>2859.3015908589891</v>
      </c>
      <c r="M352" s="2">
        <v>2773.5225431332192</v>
      </c>
      <c r="N352" s="2">
        <v>2690.3168668392227</v>
      </c>
      <c r="O352" s="2">
        <v>2609.6073608340462</v>
      </c>
    </row>
    <row r="353" spans="1:15" x14ac:dyDescent="0.25">
      <c r="A353" t="s">
        <v>1925</v>
      </c>
      <c r="B353" t="s">
        <v>1926</v>
      </c>
      <c r="C353" s="2">
        <v>3749.6300160000005</v>
      </c>
      <c r="D353" s="2">
        <v>3637.1411155200003</v>
      </c>
      <c r="E353" s="2">
        <v>3528.0268820544002</v>
      </c>
      <c r="F353" s="2">
        <v>3422.1860755927682</v>
      </c>
      <c r="G353" s="2">
        <v>3319.5204933249852</v>
      </c>
      <c r="H353" s="2">
        <v>3219.9348785252355</v>
      </c>
      <c r="I353" s="2">
        <v>3123.3368321694784</v>
      </c>
      <c r="J353" s="2">
        <v>3029.636727204394</v>
      </c>
      <c r="K353" s="2">
        <v>2938.7476253882619</v>
      </c>
      <c r="L353" s="2">
        <v>2850.5851966266141</v>
      </c>
      <c r="M353" s="2">
        <v>2765.0676407278156</v>
      </c>
      <c r="N353" s="2">
        <v>2682.1156115059812</v>
      </c>
      <c r="O353" s="2">
        <v>2601.6521431608016</v>
      </c>
    </row>
    <row r="354" spans="1:15" x14ac:dyDescent="0.25">
      <c r="A354" t="s">
        <v>1927</v>
      </c>
      <c r="B354" t="s">
        <v>1928</v>
      </c>
      <c r="C354" s="2">
        <v>3744.4075900000003</v>
      </c>
      <c r="D354" s="2">
        <v>3632.0753623000001</v>
      </c>
      <c r="E354" s="2">
        <v>3523.1131014309999</v>
      </c>
      <c r="F354" s="2">
        <v>3417.4197083880699</v>
      </c>
      <c r="G354" s="2">
        <v>3314.8971171364278</v>
      </c>
      <c r="H354" s="2">
        <v>3215.4502036223348</v>
      </c>
      <c r="I354" s="2">
        <v>3118.9866975136647</v>
      </c>
      <c r="J354" s="2">
        <v>3025.4170965882545</v>
      </c>
      <c r="K354" s="2">
        <v>2934.6545836906066</v>
      </c>
      <c r="L354" s="2">
        <v>2846.6149461798882</v>
      </c>
      <c r="M354" s="2">
        <v>2761.2164977944913</v>
      </c>
      <c r="N354" s="2">
        <v>2678.3800028606565</v>
      </c>
      <c r="O354" s="2">
        <v>2598.0286027748366</v>
      </c>
    </row>
    <row r="355" spans="1:15" x14ac:dyDescent="0.25">
      <c r="A355" t="s">
        <v>1929</v>
      </c>
      <c r="B355" t="s">
        <v>1930</v>
      </c>
      <c r="C355" s="2">
        <v>3734.1099840000006</v>
      </c>
      <c r="D355" s="2">
        <v>3622.0866844800007</v>
      </c>
      <c r="E355" s="2">
        <v>3513.4240839456006</v>
      </c>
      <c r="F355" s="2">
        <v>3408.0213614272325</v>
      </c>
      <c r="G355" s="2">
        <v>3305.7807205844156</v>
      </c>
      <c r="H355" s="2">
        <v>3206.6072989668828</v>
      </c>
      <c r="I355" s="2">
        <v>3110.4090799978762</v>
      </c>
      <c r="J355" s="2">
        <v>3017.0968075979399</v>
      </c>
      <c r="K355" s="2">
        <v>2926.5839033700017</v>
      </c>
      <c r="L355" s="2">
        <v>2838.7863862689014</v>
      </c>
      <c r="M355" s="2">
        <v>2753.6227946808344</v>
      </c>
      <c r="N355" s="2">
        <v>2671.0141108404091</v>
      </c>
      <c r="O355" s="2">
        <v>2590.8836875151969</v>
      </c>
    </row>
    <row r="356" spans="1:15" x14ac:dyDescent="0.25">
      <c r="A356" t="s">
        <v>1931</v>
      </c>
      <c r="B356" t="s">
        <v>1932</v>
      </c>
      <c r="C356" s="2">
        <v>3732.7012800000011</v>
      </c>
      <c r="D356" s="2">
        <v>3620.7202416000009</v>
      </c>
      <c r="E356" s="2">
        <v>3512.0986343520008</v>
      </c>
      <c r="F356" s="2">
        <v>3406.7356753214408</v>
      </c>
      <c r="G356" s="2">
        <v>3304.5336050617975</v>
      </c>
      <c r="H356" s="2">
        <v>3205.3975969099433</v>
      </c>
      <c r="I356" s="2">
        <v>3109.235669002645</v>
      </c>
      <c r="J356" s="2">
        <v>3015.9585989325656</v>
      </c>
      <c r="K356" s="2">
        <v>2925.4798409645887</v>
      </c>
      <c r="L356" s="2">
        <v>2837.715445735651</v>
      </c>
      <c r="M356" s="2">
        <v>2752.5839823635815</v>
      </c>
      <c r="N356" s="2">
        <v>2670.0064628926739</v>
      </c>
      <c r="O356" s="2">
        <v>2589.9062690058936</v>
      </c>
    </row>
    <row r="357" spans="1:15" x14ac:dyDescent="0.25">
      <c r="A357" t="s">
        <v>1933</v>
      </c>
      <c r="B357" t="s">
        <v>1934</v>
      </c>
      <c r="C357" s="2">
        <v>3732.5231680000006</v>
      </c>
      <c r="D357" s="2">
        <v>3620.5474729600005</v>
      </c>
      <c r="E357" s="2">
        <v>3511.9310487712005</v>
      </c>
      <c r="F357" s="2">
        <v>3406.5731173080644</v>
      </c>
      <c r="G357" s="2">
        <v>3304.3759237888225</v>
      </c>
      <c r="H357" s="2">
        <v>3205.2446460751576</v>
      </c>
      <c r="I357" s="2">
        <v>3109.0873066929025</v>
      </c>
      <c r="J357" s="2">
        <v>3015.8146874921154</v>
      </c>
      <c r="K357" s="2">
        <v>2925.3402468673517</v>
      </c>
      <c r="L357" s="2">
        <v>2837.5800394613311</v>
      </c>
      <c r="M357" s="2">
        <v>2752.4526382774911</v>
      </c>
      <c r="N357" s="2">
        <v>2669.8790591291663</v>
      </c>
      <c r="O357" s="2">
        <v>2589.7826873552913</v>
      </c>
    </row>
    <row r="358" spans="1:15" x14ac:dyDescent="0.25">
      <c r="A358" t="s">
        <v>1935</v>
      </c>
      <c r="B358" t="s">
        <v>1936</v>
      </c>
      <c r="C358" s="2">
        <v>3721.682624</v>
      </c>
      <c r="D358" s="2">
        <v>3610.0321452799999</v>
      </c>
      <c r="E358" s="2">
        <v>3501.7311809215998</v>
      </c>
      <c r="F358" s="2">
        <v>3396.6792454939518</v>
      </c>
      <c r="G358" s="2">
        <v>3294.7788681291331</v>
      </c>
      <c r="H358" s="2">
        <v>3195.935502085259</v>
      </c>
      <c r="I358" s="2">
        <v>3100.0574370227014</v>
      </c>
      <c r="J358" s="2">
        <v>3007.0557139120201</v>
      </c>
      <c r="K358" s="2">
        <v>2916.8440424946593</v>
      </c>
      <c r="L358" s="2">
        <v>2829.3387212198195</v>
      </c>
      <c r="M358" s="2">
        <v>2744.458559583225</v>
      </c>
      <c r="N358" s="2">
        <v>2662.1248027957281</v>
      </c>
      <c r="O358" s="2">
        <v>2582.2610587118561</v>
      </c>
    </row>
    <row r="359" spans="1:15" x14ac:dyDescent="0.25">
      <c r="A359" t="s">
        <v>1937</v>
      </c>
      <c r="B359" t="s">
        <v>1926</v>
      </c>
      <c r="C359" s="2">
        <v>3719.1080960000008</v>
      </c>
      <c r="D359" s="2">
        <v>3607.5348531200007</v>
      </c>
      <c r="E359" s="2">
        <v>3499.3088075264004</v>
      </c>
      <c r="F359" s="2">
        <v>3394.3295433006083</v>
      </c>
      <c r="G359" s="2">
        <v>3292.4996570015901</v>
      </c>
      <c r="H359" s="2">
        <v>3193.7246672915421</v>
      </c>
      <c r="I359" s="2">
        <v>3097.912927272796</v>
      </c>
      <c r="J359" s="2">
        <v>3004.9755394546119</v>
      </c>
      <c r="K359" s="2">
        <v>2914.8262732709736</v>
      </c>
      <c r="L359" s="2">
        <v>2827.3814850728445</v>
      </c>
      <c r="M359" s="2">
        <v>2742.5600405206592</v>
      </c>
      <c r="N359" s="2">
        <v>2660.2832393050394</v>
      </c>
      <c r="O359" s="2">
        <v>2580.474742125888</v>
      </c>
    </row>
    <row r="360" spans="1:15" x14ac:dyDescent="0.25">
      <c r="A360" t="s">
        <v>1938</v>
      </c>
      <c r="B360" t="s">
        <v>1939</v>
      </c>
      <c r="C360" s="2">
        <v>3713.8537920000012</v>
      </c>
      <c r="D360" s="2">
        <v>3602.438178240001</v>
      </c>
      <c r="E360" s="2">
        <v>3494.3650328928006</v>
      </c>
      <c r="F360" s="2">
        <v>3389.5340819060166</v>
      </c>
      <c r="G360" s="2">
        <v>3287.848059448836</v>
      </c>
      <c r="H360" s="2">
        <v>3189.212617665371</v>
      </c>
      <c r="I360" s="2">
        <v>3093.5362391354097</v>
      </c>
      <c r="J360" s="2">
        <v>3000.7301519613475</v>
      </c>
      <c r="K360" s="2">
        <v>2910.7082474025069</v>
      </c>
      <c r="L360" s="2">
        <v>2823.3869999804315</v>
      </c>
      <c r="M360" s="2">
        <v>2738.6853899810185</v>
      </c>
      <c r="N360" s="2">
        <v>2656.5248282815878</v>
      </c>
      <c r="O360" s="2">
        <v>2576.8290834331401</v>
      </c>
    </row>
    <row r="361" spans="1:15" x14ac:dyDescent="0.25">
      <c r="A361" t="s">
        <v>1940</v>
      </c>
      <c r="B361" t="s">
        <v>1941</v>
      </c>
      <c r="C361" s="2">
        <v>3705.1748800000009</v>
      </c>
      <c r="D361" s="2">
        <v>3594.0196336000008</v>
      </c>
      <c r="E361" s="2">
        <v>3486.1990445920005</v>
      </c>
      <c r="F361" s="2">
        <v>3381.6130732542406</v>
      </c>
      <c r="G361" s="2">
        <v>3280.1646810566131</v>
      </c>
      <c r="H361" s="2">
        <v>3181.7597406249147</v>
      </c>
      <c r="I361" s="2">
        <v>3086.3069484061671</v>
      </c>
      <c r="J361" s="2">
        <v>2993.7177399539819</v>
      </c>
      <c r="K361" s="2">
        <v>2903.9062077553622</v>
      </c>
      <c r="L361" s="2">
        <v>2816.7890215227012</v>
      </c>
      <c r="M361" s="2">
        <v>2732.2853508770199</v>
      </c>
      <c r="N361" s="2">
        <v>2650.3167903507092</v>
      </c>
      <c r="O361" s="2">
        <v>2570.8072866401881</v>
      </c>
    </row>
    <row r="362" spans="1:15" x14ac:dyDescent="0.25">
      <c r="A362" t="s">
        <v>1942</v>
      </c>
      <c r="B362" t="s">
        <v>1943</v>
      </c>
      <c r="C362" s="2">
        <v>3703.9867920000002</v>
      </c>
      <c r="D362" s="2">
        <v>3592.8671882399999</v>
      </c>
      <c r="E362" s="2">
        <v>3485.0811725927997</v>
      </c>
      <c r="F362" s="2">
        <v>3380.5287374150157</v>
      </c>
      <c r="G362" s="2">
        <v>3279.1128752925651</v>
      </c>
      <c r="H362" s="2">
        <v>3180.7394890337882</v>
      </c>
      <c r="I362" s="2">
        <v>3085.3173043627744</v>
      </c>
      <c r="J362" s="2">
        <v>2992.7577852318909</v>
      </c>
      <c r="K362" s="2">
        <v>2902.9750516749341</v>
      </c>
      <c r="L362" s="2">
        <v>2815.8858001246858</v>
      </c>
      <c r="M362" s="2">
        <v>2731.4092261209453</v>
      </c>
      <c r="N362" s="2">
        <v>2649.4669493373167</v>
      </c>
      <c r="O362" s="2">
        <v>2569.9829408571973</v>
      </c>
    </row>
    <row r="363" spans="1:15" x14ac:dyDescent="0.25">
      <c r="A363" t="s">
        <v>1944</v>
      </c>
      <c r="B363" t="s">
        <v>1945</v>
      </c>
      <c r="C363" s="2">
        <v>3702.8270400000001</v>
      </c>
      <c r="D363" s="2">
        <v>3591.7422288000002</v>
      </c>
      <c r="E363" s="2">
        <v>3483.9899619360003</v>
      </c>
      <c r="F363" s="2">
        <v>3379.4702630779202</v>
      </c>
      <c r="G363" s="2">
        <v>3278.0861551855824</v>
      </c>
      <c r="H363" s="2">
        <v>3179.7435705300149</v>
      </c>
      <c r="I363" s="2">
        <v>3084.3512634141143</v>
      </c>
      <c r="J363" s="2">
        <v>2991.8207255116909</v>
      </c>
      <c r="K363" s="2">
        <v>2902.0661037463401</v>
      </c>
      <c r="L363" s="2">
        <v>2815.0041206339497</v>
      </c>
      <c r="M363" s="2">
        <v>2730.5539970149312</v>
      </c>
      <c r="N363" s="2">
        <v>2648.6373771044832</v>
      </c>
      <c r="O363" s="2">
        <v>2569.1782557913489</v>
      </c>
    </row>
    <row r="364" spans="1:15" x14ac:dyDescent="0.25">
      <c r="A364" t="s">
        <v>1946</v>
      </c>
      <c r="B364" t="s">
        <v>1947</v>
      </c>
      <c r="C364" s="2">
        <v>3684.417242</v>
      </c>
      <c r="D364" s="2">
        <v>3573.8847247399999</v>
      </c>
      <c r="E364" s="2">
        <v>3466.6681829977997</v>
      </c>
      <c r="F364" s="2">
        <v>3362.6681375078656</v>
      </c>
      <c r="G364" s="2">
        <v>3261.7880933826295</v>
      </c>
      <c r="H364" s="2">
        <v>3163.9344505811505</v>
      </c>
      <c r="I364" s="2">
        <v>3069.0164170637158</v>
      </c>
      <c r="J364" s="2">
        <v>2976.9459245518042</v>
      </c>
      <c r="K364" s="2">
        <v>2887.6375468152501</v>
      </c>
      <c r="L364" s="2">
        <v>2801.0084204107925</v>
      </c>
      <c r="M364" s="2">
        <v>2716.9781677984688</v>
      </c>
      <c r="N364" s="2">
        <v>2635.4688227645147</v>
      </c>
      <c r="O364" s="2">
        <v>2556.4047580815791</v>
      </c>
    </row>
    <row r="365" spans="1:15" x14ac:dyDescent="0.25">
      <c r="A365" t="s">
        <v>1948</v>
      </c>
      <c r="B365" t="s">
        <v>1949</v>
      </c>
      <c r="C365" s="2">
        <v>3683.0495240000005</v>
      </c>
      <c r="D365" s="2">
        <v>3572.5580382800003</v>
      </c>
      <c r="E365" s="2">
        <v>3465.3812971316001</v>
      </c>
      <c r="F365" s="2">
        <v>3361.4198582176518</v>
      </c>
      <c r="G365" s="2">
        <v>3260.5772624711221</v>
      </c>
      <c r="H365" s="2">
        <v>3162.7599445969886</v>
      </c>
      <c r="I365" s="2">
        <v>3067.8771462590789</v>
      </c>
      <c r="J365" s="2">
        <v>2975.8408318713064</v>
      </c>
      <c r="K365" s="2">
        <v>2886.5656069151669</v>
      </c>
      <c r="L365" s="2">
        <v>2799.9686387077118</v>
      </c>
      <c r="M365" s="2">
        <v>2715.9695795464804</v>
      </c>
      <c r="N365" s="2">
        <v>2634.490492160086</v>
      </c>
      <c r="O365" s="2">
        <v>2555.4557773952833</v>
      </c>
    </row>
    <row r="366" spans="1:15" x14ac:dyDescent="0.25">
      <c r="A366" t="s">
        <v>1950</v>
      </c>
      <c r="B366" t="s">
        <v>1951</v>
      </c>
      <c r="C366" s="2">
        <v>3679.3405440000006</v>
      </c>
      <c r="D366" s="2">
        <v>3568.9603276800003</v>
      </c>
      <c r="E366" s="2">
        <v>3461.8915178496004</v>
      </c>
      <c r="F366" s="2">
        <v>3358.0347723141122</v>
      </c>
      <c r="G366" s="2">
        <v>3257.2937291446888</v>
      </c>
      <c r="H366" s="2">
        <v>3159.5749172703481</v>
      </c>
      <c r="I366" s="2">
        <v>3064.7876697522374</v>
      </c>
      <c r="J366" s="2">
        <v>2972.8440396596702</v>
      </c>
      <c r="K366" s="2">
        <v>2883.6587184698801</v>
      </c>
      <c r="L366" s="2">
        <v>2797.1489569157839</v>
      </c>
      <c r="M366" s="2">
        <v>2713.2344882083103</v>
      </c>
      <c r="N366" s="2">
        <v>2631.837453562061</v>
      </c>
      <c r="O366" s="2">
        <v>2552.8823299551991</v>
      </c>
    </row>
    <row r="367" spans="1:15" x14ac:dyDescent="0.25">
      <c r="A367" t="s">
        <v>1952</v>
      </c>
      <c r="B367" t="s">
        <v>1953</v>
      </c>
      <c r="C367" s="2">
        <v>3678.3447360000009</v>
      </c>
      <c r="D367" s="2">
        <v>3567.9943939200007</v>
      </c>
      <c r="E367" s="2">
        <v>3460.9545621024004</v>
      </c>
      <c r="F367" s="2">
        <v>3357.1259252393284</v>
      </c>
      <c r="G367" s="2">
        <v>3256.4121474821486</v>
      </c>
      <c r="H367" s="2">
        <v>3158.7197830576843</v>
      </c>
      <c r="I367" s="2">
        <v>3063.9581895659535</v>
      </c>
      <c r="J367" s="2">
        <v>2972.0394438789749</v>
      </c>
      <c r="K367" s="2">
        <v>2882.8782605626056</v>
      </c>
      <c r="L367" s="2">
        <v>2796.3919127457275</v>
      </c>
      <c r="M367" s="2">
        <v>2712.5001553633556</v>
      </c>
      <c r="N367" s="2">
        <v>2631.1251507024549</v>
      </c>
      <c r="O367" s="2">
        <v>2552.1913961813812</v>
      </c>
    </row>
    <row r="368" spans="1:15" x14ac:dyDescent="0.25">
      <c r="A368" t="s">
        <v>1954</v>
      </c>
      <c r="B368" t="s">
        <v>1955</v>
      </c>
      <c r="C368" s="2">
        <v>3674.0862400000001</v>
      </c>
      <c r="D368" s="2">
        <v>3563.8636528000002</v>
      </c>
      <c r="E368" s="2">
        <v>3456.9477432160002</v>
      </c>
      <c r="F368" s="2">
        <v>3353.23931091952</v>
      </c>
      <c r="G368" s="2">
        <v>3252.6421315919342</v>
      </c>
      <c r="H368" s="2">
        <v>3155.0628676441761</v>
      </c>
      <c r="I368" s="2">
        <v>3060.4109816148507</v>
      </c>
      <c r="J368" s="2">
        <v>2968.5986521664049</v>
      </c>
      <c r="K368" s="2">
        <v>2879.5406926014125</v>
      </c>
      <c r="L368" s="2">
        <v>2793.1544718233699</v>
      </c>
      <c r="M368" s="2">
        <v>2709.3598376686687</v>
      </c>
      <c r="N368" s="2">
        <v>2628.0790425386085</v>
      </c>
      <c r="O368" s="2">
        <v>2549.2366712624503</v>
      </c>
    </row>
    <row r="369" spans="1:15" x14ac:dyDescent="0.25">
      <c r="A369" t="s">
        <v>1956</v>
      </c>
      <c r="B369" t="s">
        <v>1957</v>
      </c>
      <c r="C369" s="2">
        <v>3673.4496920000006</v>
      </c>
      <c r="D369" s="2">
        <v>3563.2462012400006</v>
      </c>
      <c r="E369" s="2">
        <v>3456.3488152028003</v>
      </c>
      <c r="F369" s="2">
        <v>3352.6583507467162</v>
      </c>
      <c r="G369" s="2">
        <v>3252.0786002243149</v>
      </c>
      <c r="H369" s="2">
        <v>3154.5162422175854</v>
      </c>
      <c r="I369" s="2">
        <v>3059.880754951058</v>
      </c>
      <c r="J369" s="2">
        <v>2968.084332302526</v>
      </c>
      <c r="K369" s="2">
        <v>2879.0418023334501</v>
      </c>
      <c r="L369" s="2">
        <v>2792.6705482634466</v>
      </c>
      <c r="M369" s="2">
        <v>2708.8904318155433</v>
      </c>
      <c r="N369" s="2">
        <v>2627.6237188610767</v>
      </c>
      <c r="O369" s="2">
        <v>2548.7950072952444</v>
      </c>
    </row>
    <row r="370" spans="1:15" x14ac:dyDescent="0.25">
      <c r="A370" t="s">
        <v>1958</v>
      </c>
      <c r="B370" t="s">
        <v>1959</v>
      </c>
      <c r="C370" s="2">
        <v>3668.7347840000002</v>
      </c>
      <c r="D370" s="2">
        <v>3558.6727404799999</v>
      </c>
      <c r="E370" s="2">
        <v>3451.9125582655997</v>
      </c>
      <c r="F370" s="2">
        <v>3348.3551815176315</v>
      </c>
      <c r="G370" s="2">
        <v>3247.9045260721027</v>
      </c>
      <c r="H370" s="2">
        <v>3150.4673902899394</v>
      </c>
      <c r="I370" s="2">
        <v>3055.9533685812412</v>
      </c>
      <c r="J370" s="2">
        <v>2964.2747675238038</v>
      </c>
      <c r="K370" s="2">
        <v>2875.3465244980898</v>
      </c>
      <c r="L370" s="2">
        <v>2789.0861287631469</v>
      </c>
      <c r="M370" s="2">
        <v>2705.4135449002524</v>
      </c>
      <c r="N370" s="2">
        <v>2624.2511385532448</v>
      </c>
      <c r="O370" s="2">
        <v>2545.5236043966474</v>
      </c>
    </row>
    <row r="371" spans="1:15" x14ac:dyDescent="0.25">
      <c r="A371" t="s">
        <v>1960</v>
      </c>
      <c r="B371" t="s">
        <v>1961</v>
      </c>
      <c r="C371" s="2">
        <v>3665.1320640000008</v>
      </c>
      <c r="D371" s="2">
        <v>3555.1781020800008</v>
      </c>
      <c r="E371" s="2">
        <v>3448.5227590176005</v>
      </c>
      <c r="F371" s="2">
        <v>3345.0670762470722</v>
      </c>
      <c r="G371" s="2">
        <v>3244.7150639596598</v>
      </c>
      <c r="H371" s="2">
        <v>3147.3736120408698</v>
      </c>
      <c r="I371" s="2">
        <v>3052.9524036796438</v>
      </c>
      <c r="J371" s="2">
        <v>2961.3638315692542</v>
      </c>
      <c r="K371" s="2">
        <v>2872.5229166221766</v>
      </c>
      <c r="L371" s="2">
        <v>2786.3472291235112</v>
      </c>
      <c r="M371" s="2">
        <v>2702.7568122498055</v>
      </c>
      <c r="N371" s="2">
        <v>2621.6741078823111</v>
      </c>
      <c r="O371" s="2">
        <v>2543.0238846458415</v>
      </c>
    </row>
    <row r="372" spans="1:15" x14ac:dyDescent="0.25">
      <c r="A372" t="s">
        <v>1962</v>
      </c>
      <c r="B372" t="s">
        <v>1963</v>
      </c>
      <c r="C372" s="2">
        <v>3660.6873600000013</v>
      </c>
      <c r="D372" s="2">
        <v>3550.8667392000011</v>
      </c>
      <c r="E372" s="2">
        <v>3444.3407370240011</v>
      </c>
      <c r="F372" s="2">
        <v>3341.010514913281</v>
      </c>
      <c r="G372" s="2">
        <v>3240.7801994658826</v>
      </c>
      <c r="H372" s="2">
        <v>3143.556793481906</v>
      </c>
      <c r="I372" s="2">
        <v>3049.2500896774486</v>
      </c>
      <c r="J372" s="2">
        <v>2957.7725869871251</v>
      </c>
      <c r="K372" s="2">
        <v>2869.0394093775112</v>
      </c>
      <c r="L372" s="2">
        <v>2782.9682270961857</v>
      </c>
      <c r="M372" s="2">
        <v>2699.4791802833001</v>
      </c>
      <c r="N372" s="2">
        <v>2618.494804874801</v>
      </c>
      <c r="O372" s="2">
        <v>2539.9399607285568</v>
      </c>
    </row>
    <row r="373" spans="1:15" x14ac:dyDescent="0.25">
      <c r="A373" t="s">
        <v>1964</v>
      </c>
      <c r="B373" t="s">
        <v>1965</v>
      </c>
      <c r="C373" s="2">
        <v>3660.420192000001</v>
      </c>
      <c r="D373" s="2">
        <v>3550.6075862400007</v>
      </c>
      <c r="E373" s="2">
        <v>3444.0893586528005</v>
      </c>
      <c r="F373" s="2">
        <v>3340.7666778932162</v>
      </c>
      <c r="G373" s="2">
        <v>3240.5436775564194</v>
      </c>
      <c r="H373" s="2">
        <v>3143.3273672297269</v>
      </c>
      <c r="I373" s="2">
        <v>3049.0275462128347</v>
      </c>
      <c r="J373" s="2">
        <v>2957.5567198264498</v>
      </c>
      <c r="K373" s="2">
        <v>2868.8300182316561</v>
      </c>
      <c r="L373" s="2">
        <v>2782.7651176847062</v>
      </c>
      <c r="M373" s="2">
        <v>2699.282164154165</v>
      </c>
      <c r="N373" s="2">
        <v>2618.3036992295401</v>
      </c>
      <c r="O373" s="2">
        <v>2539.7545882526538</v>
      </c>
    </row>
    <row r="374" spans="1:15" x14ac:dyDescent="0.25">
      <c r="A374" t="s">
        <v>1966</v>
      </c>
      <c r="B374" t="s">
        <v>1967</v>
      </c>
      <c r="C374" s="2">
        <v>3654.671526000001</v>
      </c>
      <c r="D374" s="2">
        <v>3545.0313802200008</v>
      </c>
      <c r="E374" s="2">
        <v>3438.6804388134005</v>
      </c>
      <c r="F374" s="2">
        <v>3335.5200256489984</v>
      </c>
      <c r="G374" s="2">
        <v>3235.4544248795282</v>
      </c>
      <c r="H374" s="2">
        <v>3138.3907921331424</v>
      </c>
      <c r="I374" s="2">
        <v>3044.2390683691483</v>
      </c>
      <c r="J374" s="2">
        <v>2952.9118963180736</v>
      </c>
      <c r="K374" s="2">
        <v>2864.3245394285314</v>
      </c>
      <c r="L374" s="2">
        <v>2778.3948032456751</v>
      </c>
      <c r="M374" s="2">
        <v>2695.0429591483048</v>
      </c>
      <c r="N374" s="2">
        <v>2614.1916703738557</v>
      </c>
      <c r="O374" s="2">
        <v>2535.7659202626401</v>
      </c>
    </row>
    <row r="375" spans="1:15" x14ac:dyDescent="0.25">
      <c r="A375" t="s">
        <v>1968</v>
      </c>
      <c r="B375" t="s">
        <v>1969</v>
      </c>
      <c r="C375" s="2">
        <v>3650.2931080000003</v>
      </c>
      <c r="D375" s="2">
        <v>3540.7843147600001</v>
      </c>
      <c r="E375" s="2">
        <v>3434.5607853172</v>
      </c>
      <c r="F375" s="2">
        <v>3331.523961757684</v>
      </c>
      <c r="G375" s="2">
        <v>3231.5782429049532</v>
      </c>
      <c r="H375" s="2">
        <v>3134.6308956178045</v>
      </c>
      <c r="I375" s="2">
        <v>3040.5919687492701</v>
      </c>
      <c r="J375" s="2">
        <v>2949.3742096867918</v>
      </c>
      <c r="K375" s="2">
        <v>2860.8929833961879</v>
      </c>
      <c r="L375" s="2">
        <v>2775.0661938943022</v>
      </c>
      <c r="M375" s="2">
        <v>2691.8142080774728</v>
      </c>
      <c r="N375" s="2">
        <v>2611.0597818351484</v>
      </c>
      <c r="O375" s="2">
        <v>2532.7279883800938</v>
      </c>
    </row>
    <row r="376" spans="1:15" x14ac:dyDescent="0.25">
      <c r="A376" t="s">
        <v>1970</v>
      </c>
      <c r="B376" t="s">
        <v>1971</v>
      </c>
      <c r="C376" s="2">
        <v>3648.1790400000004</v>
      </c>
      <c r="D376" s="2">
        <v>3538.7336688000005</v>
      </c>
      <c r="E376" s="2">
        <v>3432.5716587360002</v>
      </c>
      <c r="F376" s="2">
        <v>3329.5945089739203</v>
      </c>
      <c r="G376" s="2">
        <v>3229.7066737047026</v>
      </c>
      <c r="H376" s="2">
        <v>3132.8154734935615</v>
      </c>
      <c r="I376" s="2">
        <v>3038.8310092887546</v>
      </c>
      <c r="J376" s="2">
        <v>2947.6660790100918</v>
      </c>
      <c r="K376" s="2">
        <v>2859.2360966397891</v>
      </c>
      <c r="L376" s="2">
        <v>2773.4590137405953</v>
      </c>
      <c r="M376" s="2">
        <v>2690.2552433283772</v>
      </c>
      <c r="N376" s="2">
        <v>2609.547586028526</v>
      </c>
      <c r="O376" s="2">
        <v>2531.2611584476699</v>
      </c>
    </row>
    <row r="377" spans="1:15" x14ac:dyDescent="0.25">
      <c r="A377" t="s">
        <v>1972</v>
      </c>
      <c r="B377" t="s">
        <v>1973</v>
      </c>
      <c r="C377" s="2">
        <v>3644.7301440000015</v>
      </c>
      <c r="D377" s="2">
        <v>3535.3882396800013</v>
      </c>
      <c r="E377" s="2">
        <v>3429.3265924896014</v>
      </c>
      <c r="F377" s="2">
        <v>3326.4467947149133</v>
      </c>
      <c r="G377" s="2">
        <v>3226.6533908734659</v>
      </c>
      <c r="H377" s="2">
        <v>3129.853789147262</v>
      </c>
      <c r="I377" s="2">
        <v>3035.9581754728442</v>
      </c>
      <c r="J377" s="2">
        <v>2944.879430208659</v>
      </c>
      <c r="K377" s="2">
        <v>2856.5330473023992</v>
      </c>
      <c r="L377" s="2">
        <v>2770.8370558833271</v>
      </c>
      <c r="M377" s="2">
        <v>2687.7119442068274</v>
      </c>
      <c r="N377" s="2">
        <v>2607.0805858806225</v>
      </c>
      <c r="O377" s="2">
        <v>2528.8681683042037</v>
      </c>
    </row>
    <row r="378" spans="1:15" x14ac:dyDescent="0.25">
      <c r="A378" t="s">
        <v>1974</v>
      </c>
      <c r="B378" t="s">
        <v>1975</v>
      </c>
      <c r="C378" s="2">
        <v>3643.8557760000008</v>
      </c>
      <c r="D378" s="2">
        <v>3534.5401027200005</v>
      </c>
      <c r="E378" s="2">
        <v>3428.5038996384005</v>
      </c>
      <c r="F378" s="2">
        <v>3325.6487826492485</v>
      </c>
      <c r="G378" s="2">
        <v>3225.879319169771</v>
      </c>
      <c r="H378" s="2">
        <v>3129.1029395946775</v>
      </c>
      <c r="I378" s="2">
        <v>3035.229851406837</v>
      </c>
      <c r="J378" s="2">
        <v>2944.1729558646321</v>
      </c>
      <c r="K378" s="2">
        <v>2855.8477671886931</v>
      </c>
      <c r="L378" s="2">
        <v>2770.1723341730321</v>
      </c>
      <c r="M378" s="2">
        <v>2687.0671641478411</v>
      </c>
      <c r="N378" s="2">
        <v>2606.4551492234059</v>
      </c>
      <c r="O378" s="2">
        <v>2528.2614947467036</v>
      </c>
    </row>
    <row r="379" spans="1:15" x14ac:dyDescent="0.25">
      <c r="A379" t="s">
        <v>1976</v>
      </c>
      <c r="B379" t="s">
        <v>1977</v>
      </c>
      <c r="C379" s="2">
        <v>3641.3379200000004</v>
      </c>
      <c r="D379" s="2">
        <v>3532.0977824000001</v>
      </c>
      <c r="E379" s="2">
        <v>3426.1348489279999</v>
      </c>
      <c r="F379" s="2">
        <v>3323.3508034601596</v>
      </c>
      <c r="G379" s="2">
        <v>3223.6502793563545</v>
      </c>
      <c r="H379" s="2">
        <v>3126.9407709756638</v>
      </c>
      <c r="I379" s="2">
        <v>3033.1325478463937</v>
      </c>
      <c r="J379" s="2">
        <v>2942.138571411002</v>
      </c>
      <c r="K379" s="2">
        <v>2853.8744142686719</v>
      </c>
      <c r="L379" s="2">
        <v>2768.2581818406115</v>
      </c>
      <c r="M379" s="2">
        <v>2685.2104363853932</v>
      </c>
      <c r="N379" s="2">
        <v>2604.6541232938312</v>
      </c>
      <c r="O379" s="2">
        <v>2526.5144995950163</v>
      </c>
    </row>
    <row r="380" spans="1:15" x14ac:dyDescent="0.25">
      <c r="A380" t="s">
        <v>1978</v>
      </c>
      <c r="B380" t="s">
        <v>1979</v>
      </c>
      <c r="C380" s="2">
        <v>3636.7707639999999</v>
      </c>
      <c r="D380" s="2">
        <v>3527.6676410799996</v>
      </c>
      <c r="E380" s="2">
        <v>3421.8376118475994</v>
      </c>
      <c r="F380" s="2">
        <v>3319.1824834921713</v>
      </c>
      <c r="G380" s="2">
        <v>3219.6070089874061</v>
      </c>
      <c r="H380" s="2">
        <v>3123.0187987177837</v>
      </c>
      <c r="I380" s="2">
        <v>3029.3282347562504</v>
      </c>
      <c r="J380" s="2">
        <v>2938.4483877135626</v>
      </c>
      <c r="K380" s="2">
        <v>2850.2949360821558</v>
      </c>
      <c r="L380" s="2">
        <v>2764.7860879996911</v>
      </c>
      <c r="M380" s="2">
        <v>2681.8425053597002</v>
      </c>
      <c r="N380" s="2">
        <v>2601.387230198909</v>
      </c>
      <c r="O380" s="2">
        <v>2523.3456132929418</v>
      </c>
    </row>
    <row r="381" spans="1:15" x14ac:dyDescent="0.25">
      <c r="A381" t="s">
        <v>1980</v>
      </c>
      <c r="B381" t="s">
        <v>1981</v>
      </c>
      <c r="C381" s="2">
        <v>3627.8762960000004</v>
      </c>
      <c r="D381" s="2">
        <v>3519.0400071200002</v>
      </c>
      <c r="E381" s="2">
        <v>3413.4688069064</v>
      </c>
      <c r="F381" s="2">
        <v>3311.0647426992077</v>
      </c>
      <c r="G381" s="2">
        <v>3211.7328004182314</v>
      </c>
      <c r="H381" s="2">
        <v>3115.3808164056845</v>
      </c>
      <c r="I381" s="2">
        <v>3021.9193919135141</v>
      </c>
      <c r="J381" s="2">
        <v>2931.2618101561088</v>
      </c>
      <c r="K381" s="2">
        <v>2843.3239558514256</v>
      </c>
      <c r="L381" s="2">
        <v>2758.0242371758827</v>
      </c>
      <c r="M381" s="2">
        <v>2675.2835100606062</v>
      </c>
      <c r="N381" s="2">
        <v>2595.0250047587879</v>
      </c>
      <c r="O381" s="2">
        <v>2517.174254616024</v>
      </c>
    </row>
    <row r="382" spans="1:15" x14ac:dyDescent="0.25">
      <c r="A382" t="s">
        <v>1982</v>
      </c>
      <c r="B382" t="s">
        <v>1983</v>
      </c>
      <c r="C382" s="2">
        <v>3625.7288320000007</v>
      </c>
      <c r="D382" s="2">
        <v>3516.9569670400006</v>
      </c>
      <c r="E382" s="2">
        <v>3411.4482580288004</v>
      </c>
      <c r="F382" s="2">
        <v>3309.1048102879363</v>
      </c>
      <c r="G382" s="2">
        <v>3209.8316659792981</v>
      </c>
      <c r="H382" s="2">
        <v>3113.5367159999191</v>
      </c>
      <c r="I382" s="2">
        <v>3020.1306145199214</v>
      </c>
      <c r="J382" s="2">
        <v>2929.5266960843237</v>
      </c>
      <c r="K382" s="2">
        <v>2841.6408952017941</v>
      </c>
      <c r="L382" s="2">
        <v>2756.3916683457401</v>
      </c>
      <c r="M382" s="2">
        <v>2673.6999182953678</v>
      </c>
      <c r="N382" s="2">
        <v>2593.4889207465067</v>
      </c>
      <c r="O382" s="2">
        <v>2515.6842531241114</v>
      </c>
    </row>
    <row r="383" spans="1:15" x14ac:dyDescent="0.25">
      <c r="A383" t="s">
        <v>1984</v>
      </c>
      <c r="B383" t="s">
        <v>1985</v>
      </c>
      <c r="C383" s="2">
        <v>3621.4460480000007</v>
      </c>
      <c r="D383" s="2">
        <v>3512.8026665600005</v>
      </c>
      <c r="E383" s="2">
        <v>3407.4185865632003</v>
      </c>
      <c r="F383" s="2">
        <v>3305.1960289663043</v>
      </c>
      <c r="G383" s="2">
        <v>3206.0401480973151</v>
      </c>
      <c r="H383" s="2">
        <v>3109.8589436543957</v>
      </c>
      <c r="I383" s="2">
        <v>3016.5631753447637</v>
      </c>
      <c r="J383" s="2">
        <v>2926.0662800844207</v>
      </c>
      <c r="K383" s="2">
        <v>2838.2842916818881</v>
      </c>
      <c r="L383" s="2">
        <v>2753.1357629314316</v>
      </c>
      <c r="M383" s="2">
        <v>2670.5416900434884</v>
      </c>
      <c r="N383" s="2">
        <v>2590.4254393421838</v>
      </c>
      <c r="O383" s="2">
        <v>2512.7126761619184</v>
      </c>
    </row>
    <row r="384" spans="1:15" x14ac:dyDescent="0.25">
      <c r="A384" t="s">
        <v>1986</v>
      </c>
      <c r="B384" t="s">
        <v>1987</v>
      </c>
      <c r="C384" s="2">
        <v>3620.8226560000003</v>
      </c>
      <c r="D384" s="2">
        <v>3512.1979763200002</v>
      </c>
      <c r="E384" s="2">
        <v>3406.8320370304</v>
      </c>
      <c r="F384" s="2">
        <v>3304.6270759194881</v>
      </c>
      <c r="G384" s="2">
        <v>3205.4882636419034</v>
      </c>
      <c r="H384" s="2">
        <v>3109.323615732646</v>
      </c>
      <c r="I384" s="2">
        <v>3016.0439072606664</v>
      </c>
      <c r="J384" s="2">
        <v>2925.5625900428463</v>
      </c>
      <c r="K384" s="2">
        <v>2837.7957123415608</v>
      </c>
      <c r="L384" s="2">
        <v>2752.6618409713137</v>
      </c>
      <c r="M384" s="2">
        <v>2670.0819857421743</v>
      </c>
      <c r="N384" s="2">
        <v>2589.9795261699091</v>
      </c>
      <c r="O384" s="2">
        <v>2512.2801403848116</v>
      </c>
    </row>
    <row r="385" spans="1:15" x14ac:dyDescent="0.25">
      <c r="A385" t="s">
        <v>1988</v>
      </c>
      <c r="B385" t="s">
        <v>1989</v>
      </c>
      <c r="C385" s="2">
        <v>3620.3667500000006</v>
      </c>
      <c r="D385" s="2">
        <v>3511.7557475000003</v>
      </c>
      <c r="E385" s="2">
        <v>3406.4030750750003</v>
      </c>
      <c r="F385" s="2">
        <v>3304.2109828227503</v>
      </c>
      <c r="G385" s="2">
        <v>3205.0846533380677</v>
      </c>
      <c r="H385" s="2">
        <v>3108.9321137379256</v>
      </c>
      <c r="I385" s="2">
        <v>3015.6641503257879</v>
      </c>
      <c r="J385" s="2">
        <v>2925.1942258160143</v>
      </c>
      <c r="K385" s="2">
        <v>2837.438399041534</v>
      </c>
      <c r="L385" s="2">
        <v>2752.315247070288</v>
      </c>
      <c r="M385" s="2">
        <v>2669.7457896581791</v>
      </c>
      <c r="N385" s="2">
        <v>2589.6534159684338</v>
      </c>
      <c r="O385" s="2">
        <v>2511.9638134893808</v>
      </c>
    </row>
    <row r="386" spans="1:15" x14ac:dyDescent="0.25">
      <c r="A386" t="s">
        <v>1990</v>
      </c>
      <c r="B386" t="s">
        <v>1991</v>
      </c>
      <c r="C386" s="2">
        <v>3619.3517140000004</v>
      </c>
      <c r="D386" s="2">
        <v>3510.7711625800002</v>
      </c>
      <c r="E386" s="2">
        <v>3405.4480277026</v>
      </c>
      <c r="F386" s="2">
        <v>3303.2845868715222</v>
      </c>
      <c r="G386" s="2">
        <v>3204.1860492653764</v>
      </c>
      <c r="H386" s="2">
        <v>3108.0604677874148</v>
      </c>
      <c r="I386" s="2">
        <v>3014.8186537537922</v>
      </c>
      <c r="J386" s="2">
        <v>2924.3740941411784</v>
      </c>
      <c r="K386" s="2">
        <v>2836.642871316943</v>
      </c>
      <c r="L386" s="2">
        <v>2751.5435851774346</v>
      </c>
      <c r="M386" s="2">
        <v>2668.9972776221116</v>
      </c>
      <c r="N386" s="2">
        <v>2588.9273592934483</v>
      </c>
      <c r="O386" s="2">
        <v>2511.2595385146446</v>
      </c>
    </row>
    <row r="387" spans="1:15" x14ac:dyDescent="0.25">
      <c r="A387" t="s">
        <v>1992</v>
      </c>
      <c r="B387" t="s">
        <v>1993</v>
      </c>
      <c r="C387" s="2">
        <v>3618.9362880000008</v>
      </c>
      <c r="D387" s="2">
        <v>3510.3681993600007</v>
      </c>
      <c r="E387" s="2">
        <v>3405.0571533792008</v>
      </c>
      <c r="F387" s="2">
        <v>3302.9054387778247</v>
      </c>
      <c r="G387" s="2">
        <v>3203.8182756144897</v>
      </c>
      <c r="H387" s="2">
        <v>3107.7037273460551</v>
      </c>
      <c r="I387" s="2">
        <v>3014.4726155256735</v>
      </c>
      <c r="J387" s="2">
        <v>2924.0384370599031</v>
      </c>
      <c r="K387" s="2">
        <v>2836.3172839481058</v>
      </c>
      <c r="L387" s="2">
        <v>2751.2277654296627</v>
      </c>
      <c r="M387" s="2">
        <v>2668.6909324667727</v>
      </c>
      <c r="N387" s="2">
        <v>2588.6302044927693</v>
      </c>
      <c r="O387" s="2">
        <v>2510.9712983579861</v>
      </c>
    </row>
    <row r="388" spans="1:15" x14ac:dyDescent="0.25">
      <c r="A388" t="s">
        <v>1994</v>
      </c>
      <c r="B388" t="s">
        <v>1995</v>
      </c>
      <c r="C388" s="2">
        <v>3615.7221760000007</v>
      </c>
      <c r="D388" s="2">
        <v>3507.2505107200004</v>
      </c>
      <c r="E388" s="2">
        <v>3402.0329953984001</v>
      </c>
      <c r="F388" s="2">
        <v>3299.9720055364478</v>
      </c>
      <c r="G388" s="2">
        <v>3200.9728453703542</v>
      </c>
      <c r="H388" s="2">
        <v>3104.9436600092436</v>
      </c>
      <c r="I388" s="2">
        <v>3011.7953502089663</v>
      </c>
      <c r="J388" s="2">
        <v>2921.4414897026973</v>
      </c>
      <c r="K388" s="2">
        <v>2833.7982450116165</v>
      </c>
      <c r="L388" s="2">
        <v>2748.7842976612678</v>
      </c>
      <c r="M388" s="2">
        <v>2666.3207687314298</v>
      </c>
      <c r="N388" s="2">
        <v>2586.3311456694869</v>
      </c>
      <c r="O388" s="2">
        <v>2508.741211299402</v>
      </c>
    </row>
    <row r="389" spans="1:15" x14ac:dyDescent="0.25">
      <c r="A389" t="s">
        <v>1996</v>
      </c>
      <c r="B389" t="s">
        <v>1997</v>
      </c>
      <c r="C389" s="2">
        <v>3614.9935360000009</v>
      </c>
      <c r="D389" s="2">
        <v>3506.5437299200007</v>
      </c>
      <c r="E389" s="2">
        <v>3401.3474180224007</v>
      </c>
      <c r="F389" s="2">
        <v>3299.3069954817288</v>
      </c>
      <c r="G389" s="2">
        <v>3200.3277856172767</v>
      </c>
      <c r="H389" s="2">
        <v>3104.3179520487583</v>
      </c>
      <c r="I389" s="2">
        <v>3011.1884134872953</v>
      </c>
      <c r="J389" s="2">
        <v>2920.8527610826764</v>
      </c>
      <c r="K389" s="2">
        <v>2833.2271782501962</v>
      </c>
      <c r="L389" s="2">
        <v>2748.2303629026901</v>
      </c>
      <c r="M389" s="2">
        <v>2665.7834520156093</v>
      </c>
      <c r="N389" s="2">
        <v>2585.8099484551408</v>
      </c>
      <c r="O389" s="2">
        <v>2508.2356500014866</v>
      </c>
    </row>
    <row r="390" spans="1:15" x14ac:dyDescent="0.25">
      <c r="A390" t="s">
        <v>1998</v>
      </c>
      <c r="B390" t="s">
        <v>1999</v>
      </c>
      <c r="C390" s="2">
        <v>3608.1767040000004</v>
      </c>
      <c r="D390" s="2">
        <v>3499.9314028800004</v>
      </c>
      <c r="E390" s="2">
        <v>3394.9334607936003</v>
      </c>
      <c r="F390" s="2">
        <v>3293.0854569697922</v>
      </c>
      <c r="G390" s="2">
        <v>3194.2928932606983</v>
      </c>
      <c r="H390" s="2">
        <v>3098.4641064628772</v>
      </c>
      <c r="I390" s="2">
        <v>3005.5101832689907</v>
      </c>
      <c r="J390" s="2">
        <v>2915.3448777709209</v>
      </c>
      <c r="K390" s="2">
        <v>2827.8845314377932</v>
      </c>
      <c r="L390" s="2">
        <v>2743.0479954946591</v>
      </c>
      <c r="M390" s="2">
        <v>2660.7565556298191</v>
      </c>
      <c r="N390" s="2">
        <v>2580.9338589609247</v>
      </c>
      <c r="O390" s="2">
        <v>2503.505843192097</v>
      </c>
    </row>
    <row r="391" spans="1:15" x14ac:dyDescent="0.25">
      <c r="A391" t="s">
        <v>2000</v>
      </c>
      <c r="B391" t="s">
        <v>2001</v>
      </c>
      <c r="C391" s="2">
        <v>3606.7669879999999</v>
      </c>
      <c r="D391" s="2">
        <v>3498.56397836</v>
      </c>
      <c r="E391" s="2">
        <v>3393.6070590091999</v>
      </c>
      <c r="F391" s="2">
        <v>3291.7988472389238</v>
      </c>
      <c r="G391" s="2">
        <v>3193.044881821756</v>
      </c>
      <c r="H391" s="2">
        <v>3097.2535353671033</v>
      </c>
      <c r="I391" s="2">
        <v>3004.3359293060903</v>
      </c>
      <c r="J391" s="2">
        <v>2914.2058514269074</v>
      </c>
      <c r="K391" s="2">
        <v>2826.7796758841</v>
      </c>
      <c r="L391" s="2">
        <v>2741.9762856075768</v>
      </c>
      <c r="M391" s="2">
        <v>2659.7169970393493</v>
      </c>
      <c r="N391" s="2">
        <v>2579.9254871281687</v>
      </c>
      <c r="O391" s="2">
        <v>2502.5277225143236</v>
      </c>
    </row>
    <row r="392" spans="1:15" x14ac:dyDescent="0.25">
      <c r="A392" t="s">
        <v>2002</v>
      </c>
      <c r="B392" t="s">
        <v>2003</v>
      </c>
      <c r="C392" s="2">
        <v>3601.7262160000005</v>
      </c>
      <c r="D392" s="2">
        <v>3493.6744295200006</v>
      </c>
      <c r="E392" s="2">
        <v>3388.8641966344003</v>
      </c>
      <c r="F392" s="2">
        <v>3287.1982707353682</v>
      </c>
      <c r="G392" s="2">
        <v>3188.582322613307</v>
      </c>
      <c r="H392" s="2">
        <v>3092.9248529349079</v>
      </c>
      <c r="I392" s="2">
        <v>3000.1371073468604</v>
      </c>
      <c r="J392" s="2">
        <v>2910.1329941264544</v>
      </c>
      <c r="K392" s="2">
        <v>2822.8290043026605</v>
      </c>
      <c r="L392" s="2">
        <v>2738.1441341735804</v>
      </c>
      <c r="M392" s="2">
        <v>2655.9998101483729</v>
      </c>
      <c r="N392" s="2">
        <v>2576.3198158439218</v>
      </c>
      <c r="O392" s="2">
        <v>2499.0302213686041</v>
      </c>
    </row>
    <row r="393" spans="1:15" x14ac:dyDescent="0.25">
      <c r="A393" t="s">
        <v>1111</v>
      </c>
      <c r="B393" t="s">
        <v>2004</v>
      </c>
      <c r="C393" s="2">
        <v>3601.3735340000007</v>
      </c>
      <c r="D393" s="2">
        <v>3493.3323279800006</v>
      </c>
      <c r="E393" s="2">
        <v>3388.5323581406005</v>
      </c>
      <c r="F393" s="2">
        <v>3286.8763873963826</v>
      </c>
      <c r="G393" s="2">
        <v>3188.270095774491</v>
      </c>
      <c r="H393" s="2">
        <v>3092.6219929012564</v>
      </c>
      <c r="I393" s="2">
        <v>2999.8433331142187</v>
      </c>
      <c r="J393" s="2">
        <v>2909.848033120792</v>
      </c>
      <c r="K393" s="2">
        <v>2822.5525921271683</v>
      </c>
      <c r="L393" s="2">
        <v>2737.8760143633531</v>
      </c>
      <c r="M393" s="2">
        <v>2655.7397339324525</v>
      </c>
      <c r="N393" s="2">
        <v>2576.0675419144791</v>
      </c>
      <c r="O393" s="2">
        <v>2498.7855156570445</v>
      </c>
    </row>
    <row r="394" spans="1:15" x14ac:dyDescent="0.25">
      <c r="A394" t="s">
        <v>2005</v>
      </c>
      <c r="B394" t="s">
        <v>2006</v>
      </c>
      <c r="C394" s="2">
        <v>3598.7327200000009</v>
      </c>
      <c r="D394" s="2">
        <v>3490.7707384000009</v>
      </c>
      <c r="E394" s="2">
        <v>3386.0476162480008</v>
      </c>
      <c r="F394" s="2">
        <v>3284.4661877605608</v>
      </c>
      <c r="G394" s="2">
        <v>3185.9322021277439</v>
      </c>
      <c r="H394" s="2">
        <v>3090.3542360639117</v>
      </c>
      <c r="I394" s="2">
        <v>2997.6436089819945</v>
      </c>
      <c r="J394" s="2">
        <v>2907.7143007125346</v>
      </c>
      <c r="K394" s="2">
        <v>2820.4828716911584</v>
      </c>
      <c r="L394" s="2">
        <v>2735.8683855404233</v>
      </c>
      <c r="M394" s="2">
        <v>2653.7923339742106</v>
      </c>
      <c r="N394" s="2">
        <v>2574.1785639549844</v>
      </c>
      <c r="O394" s="2">
        <v>2496.9532070363348</v>
      </c>
    </row>
    <row r="395" spans="1:15" x14ac:dyDescent="0.25">
      <c r="A395" t="s">
        <v>2007</v>
      </c>
      <c r="B395" t="s">
        <v>2008</v>
      </c>
      <c r="C395" s="2">
        <v>3592.146624</v>
      </c>
      <c r="D395" s="2">
        <v>3484.3822252800001</v>
      </c>
      <c r="E395" s="2">
        <v>3379.8507585215998</v>
      </c>
      <c r="F395" s="2">
        <v>3278.4552357659518</v>
      </c>
      <c r="G395" s="2">
        <v>3180.1015786929734</v>
      </c>
      <c r="H395" s="2">
        <v>3084.6985313321843</v>
      </c>
      <c r="I395" s="2">
        <v>2992.1575753922189</v>
      </c>
      <c r="J395" s="2">
        <v>2902.3928481304524</v>
      </c>
      <c r="K395" s="2">
        <v>2815.3210626865389</v>
      </c>
      <c r="L395" s="2">
        <v>2730.8614308059427</v>
      </c>
      <c r="M395" s="2">
        <v>2648.9355878817646</v>
      </c>
      <c r="N395" s="2">
        <v>2569.4675202453118</v>
      </c>
      <c r="O395" s="2">
        <v>2492.3834946379525</v>
      </c>
    </row>
    <row r="396" spans="1:15" x14ac:dyDescent="0.25">
      <c r="A396" t="s">
        <v>2009</v>
      </c>
      <c r="B396" t="s">
        <v>2010</v>
      </c>
      <c r="C396" s="2">
        <v>3588.9694500000005</v>
      </c>
      <c r="D396" s="2">
        <v>3481.3003665000006</v>
      </c>
      <c r="E396" s="2">
        <v>3376.8613555050006</v>
      </c>
      <c r="F396" s="2">
        <v>3275.5555148398503</v>
      </c>
      <c r="G396" s="2">
        <v>3177.2888493946548</v>
      </c>
      <c r="H396" s="2">
        <v>3081.9701839128152</v>
      </c>
      <c r="I396" s="2">
        <v>2989.5110783954306</v>
      </c>
      <c r="J396" s="2">
        <v>2899.8257460435675</v>
      </c>
      <c r="K396" s="2">
        <v>2812.8309736622605</v>
      </c>
      <c r="L396" s="2">
        <v>2728.4460444523925</v>
      </c>
      <c r="M396" s="2">
        <v>2646.5926631188208</v>
      </c>
      <c r="N396" s="2">
        <v>2567.194883225256</v>
      </c>
      <c r="O396" s="2">
        <v>2490.1790367284984</v>
      </c>
    </row>
    <row r="397" spans="1:15" x14ac:dyDescent="0.25">
      <c r="A397" t="s">
        <v>2011</v>
      </c>
      <c r="B397" t="s">
        <v>2012</v>
      </c>
      <c r="C397" s="2">
        <v>3587.876996</v>
      </c>
      <c r="D397" s="2">
        <v>3480.2406861199997</v>
      </c>
      <c r="E397" s="2">
        <v>3375.8334655363997</v>
      </c>
      <c r="F397" s="2">
        <v>3274.5584615703074</v>
      </c>
      <c r="G397" s="2">
        <v>3176.321707723198</v>
      </c>
      <c r="H397" s="2">
        <v>3081.0320564915019</v>
      </c>
      <c r="I397" s="2">
        <v>2988.6010947967566</v>
      </c>
      <c r="J397" s="2">
        <v>2898.9430619528539</v>
      </c>
      <c r="K397" s="2">
        <v>2811.974770094268</v>
      </c>
      <c r="L397" s="2">
        <v>2727.6155269914398</v>
      </c>
      <c r="M397" s="2">
        <v>2645.7870611816966</v>
      </c>
      <c r="N397" s="2">
        <v>2566.4134493462457</v>
      </c>
      <c r="O397" s="2">
        <v>2489.4210458658581</v>
      </c>
    </row>
    <row r="398" spans="1:15" x14ac:dyDescent="0.25">
      <c r="A398" t="s">
        <v>2013</v>
      </c>
      <c r="B398" t="s">
        <v>2014</v>
      </c>
      <c r="C398" s="2">
        <v>3574.5783040000006</v>
      </c>
      <c r="D398" s="2">
        <v>3467.3409548800005</v>
      </c>
      <c r="E398" s="2">
        <v>3363.3207262336005</v>
      </c>
      <c r="F398" s="2">
        <v>3262.4211044465924</v>
      </c>
      <c r="G398" s="2">
        <v>3164.5484713131946</v>
      </c>
      <c r="H398" s="2">
        <v>3069.6120171737984</v>
      </c>
      <c r="I398" s="2">
        <v>2977.5236566585845</v>
      </c>
      <c r="J398" s="2">
        <v>2888.1979469588268</v>
      </c>
      <c r="K398" s="2">
        <v>2801.5520085500621</v>
      </c>
      <c r="L398" s="2">
        <v>2717.5054482935602</v>
      </c>
      <c r="M398" s="2">
        <v>2635.9802848447534</v>
      </c>
      <c r="N398" s="2">
        <v>2556.9008762994108</v>
      </c>
      <c r="O398" s="2">
        <v>2480.1938500104284</v>
      </c>
    </row>
    <row r="399" spans="1:15" x14ac:dyDescent="0.25">
      <c r="A399" t="s">
        <v>2015</v>
      </c>
      <c r="B399" t="s">
        <v>2016</v>
      </c>
      <c r="C399" s="2">
        <v>3573.2910400000005</v>
      </c>
      <c r="D399" s="2">
        <v>3466.0923088000004</v>
      </c>
      <c r="E399" s="2">
        <v>3362.1095395360003</v>
      </c>
      <c r="F399" s="2">
        <v>3261.2462533499202</v>
      </c>
      <c r="G399" s="2">
        <v>3163.4088657494226</v>
      </c>
      <c r="H399" s="2">
        <v>3068.5065997769398</v>
      </c>
      <c r="I399" s="2">
        <v>2976.4514017836314</v>
      </c>
      <c r="J399" s="2">
        <v>2887.1578597301223</v>
      </c>
      <c r="K399" s="2">
        <v>2800.5431239382183</v>
      </c>
      <c r="L399" s="2">
        <v>2716.5268302200716</v>
      </c>
      <c r="M399" s="2">
        <v>2635.0310253134694</v>
      </c>
      <c r="N399" s="2">
        <v>2555.9800945540651</v>
      </c>
      <c r="O399" s="2">
        <v>2479.300691717443</v>
      </c>
    </row>
    <row r="400" spans="1:15" x14ac:dyDescent="0.25">
      <c r="A400" t="s">
        <v>2017</v>
      </c>
      <c r="B400" t="s">
        <v>2018</v>
      </c>
      <c r="C400" s="2">
        <v>3571.0565440000009</v>
      </c>
      <c r="D400" s="2">
        <v>3463.9248476800008</v>
      </c>
      <c r="E400" s="2">
        <v>3360.0071022496008</v>
      </c>
      <c r="F400" s="2">
        <v>3259.2068891821127</v>
      </c>
      <c r="G400" s="2">
        <v>3161.4306825066492</v>
      </c>
      <c r="H400" s="2">
        <v>3066.5877620314495</v>
      </c>
      <c r="I400" s="2">
        <v>2974.5901291705059</v>
      </c>
      <c r="J400" s="2">
        <v>2885.3524252953907</v>
      </c>
      <c r="K400" s="2">
        <v>2798.7918525365289</v>
      </c>
      <c r="L400" s="2">
        <v>2714.828096960433</v>
      </c>
      <c r="M400" s="2">
        <v>2633.38325405162</v>
      </c>
      <c r="N400" s="2">
        <v>2554.3817564300712</v>
      </c>
      <c r="O400" s="2">
        <v>2477.7503037371689</v>
      </c>
    </row>
    <row r="401" spans="1:15" x14ac:dyDescent="0.25">
      <c r="A401" t="s">
        <v>2019</v>
      </c>
      <c r="B401" t="s">
        <v>2020</v>
      </c>
      <c r="C401" s="2">
        <v>3569.6478400000001</v>
      </c>
      <c r="D401" s="2">
        <v>3462.5584048000001</v>
      </c>
      <c r="E401" s="2">
        <v>3358.6816526560001</v>
      </c>
      <c r="F401" s="2">
        <v>3257.9212030763201</v>
      </c>
      <c r="G401" s="2">
        <v>3160.1835669840302</v>
      </c>
      <c r="H401" s="2">
        <v>3065.3780599745091</v>
      </c>
      <c r="I401" s="2">
        <v>2973.4167181752737</v>
      </c>
      <c r="J401" s="2">
        <v>2884.2142166300155</v>
      </c>
      <c r="K401" s="2">
        <v>2797.687790131115</v>
      </c>
      <c r="L401" s="2">
        <v>2713.7571564271816</v>
      </c>
      <c r="M401" s="2">
        <v>2632.3444417343662</v>
      </c>
      <c r="N401" s="2">
        <v>2553.374108482335</v>
      </c>
      <c r="O401" s="2">
        <v>2476.7728852278651</v>
      </c>
    </row>
    <row r="402" spans="1:15" x14ac:dyDescent="0.25">
      <c r="A402" t="s">
        <v>2021</v>
      </c>
      <c r="B402" t="s">
        <v>2022</v>
      </c>
      <c r="C402" s="2">
        <v>3561.1794240000004</v>
      </c>
      <c r="D402" s="2">
        <v>3454.3440412800001</v>
      </c>
      <c r="E402" s="2">
        <v>3350.7137200416</v>
      </c>
      <c r="F402" s="2">
        <v>3250.192308440352</v>
      </c>
      <c r="G402" s="2">
        <v>3152.6865391871415</v>
      </c>
      <c r="H402" s="2">
        <v>3058.1059430115274</v>
      </c>
      <c r="I402" s="2">
        <v>2966.3627647211815</v>
      </c>
      <c r="J402" s="2">
        <v>2877.3718817795461</v>
      </c>
      <c r="K402" s="2">
        <v>2791.0507253261599</v>
      </c>
      <c r="L402" s="2">
        <v>2707.3192035663751</v>
      </c>
      <c r="M402" s="2">
        <v>2626.099627459384</v>
      </c>
      <c r="N402" s="2">
        <v>2547.3166386356024</v>
      </c>
      <c r="O402" s="2">
        <v>2470.8971394765344</v>
      </c>
    </row>
    <row r="403" spans="1:15" x14ac:dyDescent="0.25">
      <c r="A403" t="s">
        <v>2023</v>
      </c>
      <c r="B403" t="s">
        <v>2024</v>
      </c>
      <c r="C403" s="2">
        <v>3559.8354880000002</v>
      </c>
      <c r="D403" s="2">
        <v>3453.0404233600002</v>
      </c>
      <c r="E403" s="2">
        <v>3349.4492106592002</v>
      </c>
      <c r="F403" s="2">
        <v>3248.9657343394242</v>
      </c>
      <c r="G403" s="2">
        <v>3151.4967623092416</v>
      </c>
      <c r="H403" s="2">
        <v>3056.9518594399642</v>
      </c>
      <c r="I403" s="2">
        <v>2965.2433036567654</v>
      </c>
      <c r="J403" s="2">
        <v>2876.2860045470625</v>
      </c>
      <c r="K403" s="2">
        <v>2789.9974244106506</v>
      </c>
      <c r="L403" s="2">
        <v>2706.2975016783312</v>
      </c>
      <c r="M403" s="2">
        <v>2625.1085766279812</v>
      </c>
      <c r="N403" s="2">
        <v>2546.3553193291418</v>
      </c>
      <c r="O403" s="2">
        <v>2469.9646597492674</v>
      </c>
    </row>
    <row r="404" spans="1:15" x14ac:dyDescent="0.25">
      <c r="A404" t="s">
        <v>2025</v>
      </c>
      <c r="B404" t="s">
        <v>2012</v>
      </c>
      <c r="C404" s="2">
        <v>3558.9398680000008</v>
      </c>
      <c r="D404" s="2">
        <v>3452.1716719600008</v>
      </c>
      <c r="E404" s="2">
        <v>3348.6065218012009</v>
      </c>
      <c r="F404" s="2">
        <v>3248.1483261471649</v>
      </c>
      <c r="G404" s="2">
        <v>3150.7038763627497</v>
      </c>
      <c r="H404" s="2">
        <v>3056.1827600718671</v>
      </c>
      <c r="I404" s="2">
        <v>2964.497277269711</v>
      </c>
      <c r="J404" s="2">
        <v>2875.5623589516194</v>
      </c>
      <c r="K404" s="2">
        <v>2789.2954881830706</v>
      </c>
      <c r="L404" s="2">
        <v>2705.6166235375786</v>
      </c>
      <c r="M404" s="2">
        <v>2624.448124831451</v>
      </c>
      <c r="N404" s="2">
        <v>2545.7146810865074</v>
      </c>
      <c r="O404" s="2">
        <v>2469.3432406539123</v>
      </c>
    </row>
    <row r="405" spans="1:15" x14ac:dyDescent="0.25">
      <c r="A405" t="s">
        <v>2026</v>
      </c>
      <c r="B405" t="s">
        <v>2027</v>
      </c>
      <c r="C405" s="2">
        <v>3555.0264640000009</v>
      </c>
      <c r="D405" s="2">
        <v>3448.3756700800009</v>
      </c>
      <c r="E405" s="2">
        <v>3344.9243999776008</v>
      </c>
      <c r="F405" s="2">
        <v>3244.5766679782728</v>
      </c>
      <c r="G405" s="2">
        <v>3147.2393679389247</v>
      </c>
      <c r="H405" s="2">
        <v>3052.8221869007571</v>
      </c>
      <c r="I405" s="2">
        <v>2961.2375212937341</v>
      </c>
      <c r="J405" s="2">
        <v>2872.4003956549218</v>
      </c>
      <c r="K405" s="2">
        <v>2786.2283837852742</v>
      </c>
      <c r="L405" s="2">
        <v>2702.6415322717157</v>
      </c>
      <c r="M405" s="2">
        <v>2621.5622863035642</v>
      </c>
      <c r="N405" s="2">
        <v>2542.9154177144574</v>
      </c>
      <c r="O405" s="2">
        <v>2466.6279551830235</v>
      </c>
    </row>
    <row r="406" spans="1:15" x14ac:dyDescent="0.25">
      <c r="A406" t="s">
        <v>2028</v>
      </c>
      <c r="B406" t="s">
        <v>2029</v>
      </c>
      <c r="C406" s="2">
        <v>3554.7107200000005</v>
      </c>
      <c r="D406" s="2">
        <v>3448.0693984000004</v>
      </c>
      <c r="E406" s="2">
        <v>3344.6273164480003</v>
      </c>
      <c r="F406" s="2">
        <v>3244.2884969545603</v>
      </c>
      <c r="G406" s="2">
        <v>3146.9598420459233</v>
      </c>
      <c r="H406" s="2">
        <v>3052.5510467845456</v>
      </c>
      <c r="I406" s="2">
        <v>2960.974515381009</v>
      </c>
      <c r="J406" s="2">
        <v>2872.1452799195786</v>
      </c>
      <c r="K406" s="2">
        <v>2785.9809215219911</v>
      </c>
      <c r="L406" s="2">
        <v>2702.4014938763312</v>
      </c>
      <c r="M406" s="2">
        <v>2621.329449060041</v>
      </c>
      <c r="N406" s="2">
        <v>2542.6895655882399</v>
      </c>
      <c r="O406" s="2">
        <v>2466.4088786205925</v>
      </c>
    </row>
    <row r="407" spans="1:15" x14ac:dyDescent="0.25">
      <c r="A407" t="s">
        <v>2030</v>
      </c>
      <c r="B407" t="s">
        <v>2031</v>
      </c>
      <c r="C407" s="2">
        <v>3553.5610880000004</v>
      </c>
      <c r="D407" s="2">
        <v>3446.9542553600004</v>
      </c>
      <c r="E407" s="2">
        <v>3343.5456276992004</v>
      </c>
      <c r="F407" s="2">
        <v>3243.2392588682242</v>
      </c>
      <c r="G407" s="2">
        <v>3145.9420811021773</v>
      </c>
      <c r="H407" s="2">
        <v>3051.5638186691117</v>
      </c>
      <c r="I407" s="2">
        <v>2960.0169041090385</v>
      </c>
      <c r="J407" s="2">
        <v>2871.2163969857675</v>
      </c>
      <c r="K407" s="2">
        <v>2785.0799050761943</v>
      </c>
      <c r="L407" s="2">
        <v>2701.5275079239086</v>
      </c>
      <c r="M407" s="2">
        <v>2620.4816826861911</v>
      </c>
      <c r="N407" s="2">
        <v>2541.8672322056054</v>
      </c>
      <c r="O407" s="2">
        <v>2465.6112152394371</v>
      </c>
    </row>
    <row r="408" spans="1:15" x14ac:dyDescent="0.25">
      <c r="A408" t="s">
        <v>2032</v>
      </c>
      <c r="B408" t="s">
        <v>2033</v>
      </c>
      <c r="C408" s="2">
        <v>3534.5618000000004</v>
      </c>
      <c r="D408" s="2">
        <v>3428.5249460000005</v>
      </c>
      <c r="E408" s="2">
        <v>3325.6691976200004</v>
      </c>
      <c r="F408" s="2">
        <v>3225.8991216914005</v>
      </c>
      <c r="G408" s="2">
        <v>3129.1221480406584</v>
      </c>
      <c r="H408" s="2">
        <v>3035.2484835994387</v>
      </c>
      <c r="I408" s="2">
        <v>2944.1910290914557</v>
      </c>
      <c r="J408" s="2">
        <v>2855.8652982187118</v>
      </c>
      <c r="K408" s="2">
        <v>2770.1893392721504</v>
      </c>
      <c r="L408" s="2">
        <v>2687.0836590939857</v>
      </c>
      <c r="M408" s="2">
        <v>2606.4711493211662</v>
      </c>
      <c r="N408" s="2">
        <v>2528.2770148415311</v>
      </c>
      <c r="O408" s="2">
        <v>2452.428704396285</v>
      </c>
    </row>
    <row r="409" spans="1:15" x14ac:dyDescent="0.25">
      <c r="A409" t="s">
        <v>2034</v>
      </c>
      <c r="B409" t="s">
        <v>2035</v>
      </c>
      <c r="C409" s="2">
        <v>3533.8311360000007</v>
      </c>
      <c r="D409" s="2">
        <v>3427.8162019200004</v>
      </c>
      <c r="E409" s="2">
        <v>3324.9817158624001</v>
      </c>
      <c r="F409" s="2">
        <v>3225.2322643865282</v>
      </c>
      <c r="G409" s="2">
        <v>3128.475296454932</v>
      </c>
      <c r="H409" s="2">
        <v>3034.6210375612841</v>
      </c>
      <c r="I409" s="2">
        <v>2943.5824064344456</v>
      </c>
      <c r="J409" s="2">
        <v>2855.2749342414122</v>
      </c>
      <c r="K409" s="2">
        <v>2769.6166862141699</v>
      </c>
      <c r="L409" s="2">
        <v>2686.5281856277447</v>
      </c>
      <c r="M409" s="2">
        <v>2605.9323400589124</v>
      </c>
      <c r="N409" s="2">
        <v>2527.7543698571449</v>
      </c>
      <c r="O409" s="2">
        <v>2451.9217387614303</v>
      </c>
    </row>
    <row r="410" spans="1:15" x14ac:dyDescent="0.25">
      <c r="A410" t="s">
        <v>2036</v>
      </c>
      <c r="B410" t="s">
        <v>2037</v>
      </c>
      <c r="C410" s="2">
        <v>3533.3048960000006</v>
      </c>
      <c r="D410" s="2">
        <v>3427.3057491200007</v>
      </c>
      <c r="E410" s="2">
        <v>3324.4865766464004</v>
      </c>
      <c r="F410" s="2">
        <v>3224.7519793470083</v>
      </c>
      <c r="G410" s="2">
        <v>3128.0094199665978</v>
      </c>
      <c r="H410" s="2">
        <v>3034.1691373675999</v>
      </c>
      <c r="I410" s="2">
        <v>2943.1440632465719</v>
      </c>
      <c r="J410" s="2">
        <v>2854.8497413491746</v>
      </c>
      <c r="K410" s="2">
        <v>2769.2042491086991</v>
      </c>
      <c r="L410" s="2">
        <v>2686.1281216354382</v>
      </c>
      <c r="M410" s="2">
        <v>2605.5442779863752</v>
      </c>
      <c r="N410" s="2">
        <v>2527.3779496467837</v>
      </c>
      <c r="O410" s="2">
        <v>2451.5566111573803</v>
      </c>
    </row>
    <row r="411" spans="1:15" x14ac:dyDescent="0.25">
      <c r="A411" t="s">
        <v>2038</v>
      </c>
      <c r="B411" t="s">
        <v>2039</v>
      </c>
      <c r="C411" s="2">
        <v>3528.3096640000008</v>
      </c>
      <c r="D411" s="2">
        <v>3422.4603740800007</v>
      </c>
      <c r="E411" s="2">
        <v>3319.7865628576005</v>
      </c>
      <c r="F411" s="2">
        <v>3220.1929659718726</v>
      </c>
      <c r="G411" s="2">
        <v>3123.5871769927162</v>
      </c>
      <c r="H411" s="2">
        <v>3029.8795616829348</v>
      </c>
      <c r="I411" s="2">
        <v>2938.9831748324468</v>
      </c>
      <c r="J411" s="2">
        <v>2850.8136795874734</v>
      </c>
      <c r="K411" s="2">
        <v>2765.2892691998491</v>
      </c>
      <c r="L411" s="2">
        <v>2682.3305911238535</v>
      </c>
      <c r="M411" s="2">
        <v>2601.8606733901379</v>
      </c>
      <c r="N411" s="2">
        <v>2523.8048531884338</v>
      </c>
      <c r="O411" s="2">
        <v>2448.0907075927807</v>
      </c>
    </row>
    <row r="412" spans="1:15" x14ac:dyDescent="0.25">
      <c r="A412" t="s">
        <v>2040</v>
      </c>
      <c r="B412" t="s">
        <v>2041</v>
      </c>
      <c r="C412" s="2">
        <v>3526.4931240000001</v>
      </c>
      <c r="D412" s="2">
        <v>3420.6983302799999</v>
      </c>
      <c r="E412" s="2">
        <v>3318.0773803715997</v>
      </c>
      <c r="F412" s="2">
        <v>3218.5350589604518</v>
      </c>
      <c r="G412" s="2">
        <v>3121.9790071916382</v>
      </c>
      <c r="H412" s="2">
        <v>3028.3196369758889</v>
      </c>
      <c r="I412" s="2">
        <v>2937.4700478666123</v>
      </c>
      <c r="J412" s="2">
        <v>2849.3459464306138</v>
      </c>
      <c r="K412" s="2">
        <v>2763.8655680376955</v>
      </c>
      <c r="L412" s="2">
        <v>2680.9496009965646</v>
      </c>
      <c r="M412" s="2">
        <v>2600.5211129666677</v>
      </c>
      <c r="N412" s="2">
        <v>2522.5054795776678</v>
      </c>
      <c r="O412" s="2">
        <v>2446.8303151903378</v>
      </c>
    </row>
    <row r="413" spans="1:15" x14ac:dyDescent="0.25">
      <c r="A413" t="s">
        <v>2042</v>
      </c>
      <c r="B413" t="s">
        <v>2043</v>
      </c>
      <c r="C413" s="2">
        <v>3526.1642240000006</v>
      </c>
      <c r="D413" s="2">
        <v>3420.3792972800006</v>
      </c>
      <c r="E413" s="2">
        <v>3317.7679183616006</v>
      </c>
      <c r="F413" s="2">
        <v>3218.2348808107527</v>
      </c>
      <c r="G413" s="2">
        <v>3121.68783438643</v>
      </c>
      <c r="H413" s="2">
        <v>3028.037199354837</v>
      </c>
      <c r="I413" s="2">
        <v>2937.1960833741919</v>
      </c>
      <c r="J413" s="2">
        <v>2849.0802008729661</v>
      </c>
      <c r="K413" s="2">
        <v>2763.6077948467769</v>
      </c>
      <c r="L413" s="2">
        <v>2680.6995610013737</v>
      </c>
      <c r="M413" s="2">
        <v>2600.2785741713324</v>
      </c>
      <c r="N413" s="2">
        <v>2522.2702169461922</v>
      </c>
      <c r="O413" s="2">
        <v>2446.6021104378065</v>
      </c>
    </row>
    <row r="414" spans="1:15" x14ac:dyDescent="0.25">
      <c r="A414" t="s">
        <v>2044</v>
      </c>
      <c r="B414" t="s">
        <v>2045</v>
      </c>
      <c r="C414" s="2">
        <v>3522.1405120000004</v>
      </c>
      <c r="D414" s="2">
        <v>3416.4762966400003</v>
      </c>
      <c r="E414" s="2">
        <v>3313.9820077408003</v>
      </c>
      <c r="F414" s="2">
        <v>3214.5625475085762</v>
      </c>
      <c r="G414" s="2">
        <v>3118.125671083319</v>
      </c>
      <c r="H414" s="2">
        <v>3024.5819009508195</v>
      </c>
      <c r="I414" s="2">
        <v>2933.8444439222949</v>
      </c>
      <c r="J414" s="2">
        <v>2845.8291106046258</v>
      </c>
      <c r="K414" s="2">
        <v>2760.4542372864871</v>
      </c>
      <c r="L414" s="2">
        <v>2677.6406101678926</v>
      </c>
      <c r="M414" s="2">
        <v>2597.311391862856</v>
      </c>
      <c r="N414" s="2">
        <v>2519.3920501069701</v>
      </c>
      <c r="O414" s="2">
        <v>2443.8102886037609</v>
      </c>
    </row>
    <row r="415" spans="1:15" x14ac:dyDescent="0.25">
      <c r="A415" t="s">
        <v>2046</v>
      </c>
      <c r="B415" t="s">
        <v>2047</v>
      </c>
      <c r="C415" s="2">
        <v>3520.6913280000008</v>
      </c>
      <c r="D415" s="2">
        <v>3415.0705881600006</v>
      </c>
      <c r="E415" s="2">
        <v>3312.6184705152004</v>
      </c>
      <c r="F415" s="2">
        <v>3213.2399163997443</v>
      </c>
      <c r="G415" s="2">
        <v>3116.842718907752</v>
      </c>
      <c r="H415" s="2">
        <v>3023.3374373405195</v>
      </c>
      <c r="I415" s="2">
        <v>2932.6373142203038</v>
      </c>
      <c r="J415" s="2">
        <v>2844.6581947936947</v>
      </c>
      <c r="K415" s="2">
        <v>2759.318448949884</v>
      </c>
      <c r="L415" s="2">
        <v>2676.5388954813875</v>
      </c>
      <c r="M415" s="2">
        <v>2596.2427286169459</v>
      </c>
      <c r="N415" s="2">
        <v>2518.3554467584377</v>
      </c>
      <c r="O415" s="2">
        <v>2442.8047833556843</v>
      </c>
    </row>
    <row r="416" spans="1:15" x14ac:dyDescent="0.25">
      <c r="A416" t="s">
        <v>2048</v>
      </c>
      <c r="B416" t="s">
        <v>2049</v>
      </c>
      <c r="C416" s="2">
        <v>3516.7161920000008</v>
      </c>
      <c r="D416" s="2">
        <v>3411.2147062400009</v>
      </c>
      <c r="E416" s="2">
        <v>3308.8782650528005</v>
      </c>
      <c r="F416" s="2">
        <v>3209.6119171012165</v>
      </c>
      <c r="G416" s="2">
        <v>3113.3235595881797</v>
      </c>
      <c r="H416" s="2">
        <v>3019.9238528005344</v>
      </c>
      <c r="I416" s="2">
        <v>2929.3261372165184</v>
      </c>
      <c r="J416" s="2">
        <v>2841.4463531000229</v>
      </c>
      <c r="K416" s="2">
        <v>2756.2029625070222</v>
      </c>
      <c r="L416" s="2">
        <v>2673.5168736318114</v>
      </c>
      <c r="M416" s="2">
        <v>2593.3113674228571</v>
      </c>
      <c r="N416" s="2">
        <v>2515.5120264001712</v>
      </c>
      <c r="O416" s="2">
        <v>2440.0466656081658</v>
      </c>
    </row>
    <row r="417" spans="1:15" x14ac:dyDescent="0.25">
      <c r="A417" t="s">
        <v>2050</v>
      </c>
      <c r="B417" t="s">
        <v>2051</v>
      </c>
      <c r="C417" s="2">
        <v>3512.8589540000003</v>
      </c>
      <c r="D417" s="2">
        <v>3407.4731853800004</v>
      </c>
      <c r="E417" s="2">
        <v>3305.2489898186004</v>
      </c>
      <c r="F417" s="2">
        <v>3206.0915201240423</v>
      </c>
      <c r="G417" s="2">
        <v>3109.908774520321</v>
      </c>
      <c r="H417" s="2">
        <v>3016.6115112847115</v>
      </c>
      <c r="I417" s="2">
        <v>2926.1131659461698</v>
      </c>
      <c r="J417" s="2">
        <v>2838.3297709677845</v>
      </c>
      <c r="K417" s="2">
        <v>2753.1798778387511</v>
      </c>
      <c r="L417" s="2">
        <v>2670.5844815035884</v>
      </c>
      <c r="M417" s="2">
        <v>2590.4669470584809</v>
      </c>
      <c r="N417" s="2">
        <v>2512.7529386467263</v>
      </c>
      <c r="O417" s="2">
        <v>2437.3703504873242</v>
      </c>
    </row>
    <row r="418" spans="1:15" x14ac:dyDescent="0.25">
      <c r="A418" t="s">
        <v>2052</v>
      </c>
      <c r="B418" t="s">
        <v>2053</v>
      </c>
      <c r="C418" s="2">
        <v>3509.4955720000003</v>
      </c>
      <c r="D418" s="2">
        <v>3404.2107048400003</v>
      </c>
      <c r="E418" s="2">
        <v>3302.0843836948002</v>
      </c>
      <c r="F418" s="2">
        <v>3203.0218521839561</v>
      </c>
      <c r="G418" s="2">
        <v>3106.9311966184373</v>
      </c>
      <c r="H418" s="2">
        <v>3013.7232607198839</v>
      </c>
      <c r="I418" s="2">
        <v>2923.3115628982873</v>
      </c>
      <c r="J418" s="2">
        <v>2835.6122160113387</v>
      </c>
      <c r="K418" s="2">
        <v>2750.5438495309986</v>
      </c>
      <c r="L418" s="2">
        <v>2668.0275340450685</v>
      </c>
      <c r="M418" s="2">
        <v>2587.9867080237163</v>
      </c>
      <c r="N418" s="2">
        <v>2510.3471067830046</v>
      </c>
      <c r="O418" s="2">
        <v>2435.0366935795146</v>
      </c>
    </row>
    <row r="419" spans="1:15" x14ac:dyDescent="0.25">
      <c r="A419" t="s">
        <v>2054</v>
      </c>
      <c r="B419" t="s">
        <v>2055</v>
      </c>
      <c r="C419" s="2">
        <v>3503.5085800000006</v>
      </c>
      <c r="D419" s="2">
        <v>3398.4033226000006</v>
      </c>
      <c r="E419" s="2">
        <v>3296.4512229220004</v>
      </c>
      <c r="F419" s="2">
        <v>3197.5576862343405</v>
      </c>
      <c r="G419" s="2">
        <v>3101.6309556473102</v>
      </c>
      <c r="H419" s="2">
        <v>3008.582026977891</v>
      </c>
      <c r="I419" s="2">
        <v>2918.3245661685542</v>
      </c>
      <c r="J419" s="2">
        <v>2830.7748291834973</v>
      </c>
      <c r="K419" s="2">
        <v>2745.8515843079922</v>
      </c>
      <c r="L419" s="2">
        <v>2663.4760367787521</v>
      </c>
      <c r="M419" s="2">
        <v>2583.5717556753893</v>
      </c>
      <c r="N419" s="2">
        <v>2506.0646030051275</v>
      </c>
      <c r="O419" s="2">
        <v>2430.8826649149737</v>
      </c>
    </row>
    <row r="420" spans="1:15" x14ac:dyDescent="0.25">
      <c r="A420" t="s">
        <v>2056</v>
      </c>
      <c r="B420" t="s">
        <v>2057</v>
      </c>
      <c r="C420" s="2">
        <v>3500.7670720000001</v>
      </c>
      <c r="D420" s="2">
        <v>3395.7440598399999</v>
      </c>
      <c r="E420" s="2">
        <v>3293.8717380447997</v>
      </c>
      <c r="F420" s="2">
        <v>3195.0555859034557</v>
      </c>
      <c r="G420" s="2">
        <v>3099.2039183263519</v>
      </c>
      <c r="H420" s="2">
        <v>3006.2278007765613</v>
      </c>
      <c r="I420" s="2">
        <v>2916.0409667532645</v>
      </c>
      <c r="J420" s="2">
        <v>2828.5597377506665</v>
      </c>
      <c r="K420" s="2">
        <v>2743.7029456181463</v>
      </c>
      <c r="L420" s="2">
        <v>2661.3918572496018</v>
      </c>
      <c r="M420" s="2">
        <v>2581.5501015321138</v>
      </c>
      <c r="N420" s="2">
        <v>2504.1035984861501</v>
      </c>
      <c r="O420" s="2">
        <v>2428.9804905315655</v>
      </c>
    </row>
    <row r="421" spans="1:15" x14ac:dyDescent="0.25">
      <c r="A421" t="s">
        <v>2058</v>
      </c>
      <c r="B421" t="s">
        <v>2059</v>
      </c>
      <c r="C421" s="2">
        <v>3497.277696000001</v>
      </c>
      <c r="D421" s="2">
        <v>3392.3593651200008</v>
      </c>
      <c r="E421" s="2">
        <v>3290.5885841664008</v>
      </c>
      <c r="F421" s="2">
        <v>3191.8709266414085</v>
      </c>
      <c r="G421" s="2">
        <v>3096.1147988421662</v>
      </c>
      <c r="H421" s="2">
        <v>3003.2313548769012</v>
      </c>
      <c r="I421" s="2">
        <v>2913.1344142305938</v>
      </c>
      <c r="J421" s="2">
        <v>2825.740381803676</v>
      </c>
      <c r="K421" s="2">
        <v>2740.9681703495658</v>
      </c>
      <c r="L421" s="2">
        <v>2658.7391252390789</v>
      </c>
      <c r="M421" s="2">
        <v>2578.9769514819063</v>
      </c>
      <c r="N421" s="2">
        <v>2501.6076429374489</v>
      </c>
      <c r="O421" s="2">
        <v>2426.5594136493255</v>
      </c>
    </row>
    <row r="422" spans="1:15" x14ac:dyDescent="0.25">
      <c r="A422" t="s">
        <v>2060</v>
      </c>
      <c r="B422" t="s">
        <v>2061</v>
      </c>
      <c r="C422" s="2">
        <v>3495.8770880000002</v>
      </c>
      <c r="D422" s="2">
        <v>3391.0007753600003</v>
      </c>
      <c r="E422" s="2">
        <v>3289.2707520992003</v>
      </c>
      <c r="F422" s="2">
        <v>3190.5926295362242</v>
      </c>
      <c r="G422" s="2">
        <v>3094.8748506501374</v>
      </c>
      <c r="H422" s="2">
        <v>3002.0286051306334</v>
      </c>
      <c r="I422" s="2">
        <v>2911.9677469767144</v>
      </c>
      <c r="J422" s="2">
        <v>2824.6087145674128</v>
      </c>
      <c r="K422" s="2">
        <v>2739.8704531303902</v>
      </c>
      <c r="L422" s="2">
        <v>2657.6743395364783</v>
      </c>
      <c r="M422" s="2">
        <v>2577.9441093503838</v>
      </c>
      <c r="N422" s="2">
        <v>2500.605786069872</v>
      </c>
      <c r="O422" s="2">
        <v>2425.5876124877759</v>
      </c>
    </row>
    <row r="423" spans="1:15" x14ac:dyDescent="0.25">
      <c r="A423" t="s">
        <v>2062</v>
      </c>
      <c r="B423" t="s">
        <v>2063</v>
      </c>
      <c r="C423" s="2">
        <v>3494.1769280000008</v>
      </c>
      <c r="D423" s="2">
        <v>3389.3516201600005</v>
      </c>
      <c r="E423" s="2">
        <v>3287.6710715552003</v>
      </c>
      <c r="F423" s="2">
        <v>3189.0409394085441</v>
      </c>
      <c r="G423" s="2">
        <v>3093.3697112262876</v>
      </c>
      <c r="H423" s="2">
        <v>3000.5686198894987</v>
      </c>
      <c r="I423" s="2">
        <v>2910.5515612928139</v>
      </c>
      <c r="J423" s="2">
        <v>2823.2350144540292</v>
      </c>
      <c r="K423" s="2">
        <v>2738.5379640204083</v>
      </c>
      <c r="L423" s="2">
        <v>2656.3818250997961</v>
      </c>
      <c r="M423" s="2">
        <v>2576.690370346802</v>
      </c>
      <c r="N423" s="2">
        <v>2499.3896592363976</v>
      </c>
      <c r="O423" s="2">
        <v>2424.4079694593056</v>
      </c>
    </row>
    <row r="424" spans="1:15" x14ac:dyDescent="0.25">
      <c r="A424" t="s">
        <v>2064</v>
      </c>
      <c r="B424" t="s">
        <v>2065</v>
      </c>
      <c r="C424" s="2">
        <v>3493.9517580000002</v>
      </c>
      <c r="D424" s="2">
        <v>3389.1332052600001</v>
      </c>
      <c r="E424" s="2">
        <v>3287.4592091022</v>
      </c>
      <c r="F424" s="2">
        <v>3188.8354328291339</v>
      </c>
      <c r="G424" s="2">
        <v>3093.1703698442598</v>
      </c>
      <c r="H424" s="2">
        <v>3000.3752587489321</v>
      </c>
      <c r="I424" s="2">
        <v>2910.3640009864639</v>
      </c>
      <c r="J424" s="2">
        <v>2823.05308095687</v>
      </c>
      <c r="K424" s="2">
        <v>2738.3614885281636</v>
      </c>
      <c r="L424" s="2">
        <v>2656.2106438723185</v>
      </c>
      <c r="M424" s="2">
        <v>2576.5243245561487</v>
      </c>
      <c r="N424" s="2">
        <v>2499.228594819464</v>
      </c>
      <c r="O424" s="2">
        <v>2424.2517369748798</v>
      </c>
    </row>
    <row r="425" spans="1:15" x14ac:dyDescent="0.25">
      <c r="A425" t="s">
        <v>2066</v>
      </c>
      <c r="B425" t="s">
        <v>2067</v>
      </c>
      <c r="C425" s="2">
        <v>3493.4012300000004</v>
      </c>
      <c r="D425" s="2">
        <v>3388.5991931000003</v>
      </c>
      <c r="E425" s="2">
        <v>3286.9412173070004</v>
      </c>
      <c r="F425" s="2">
        <v>3188.3329807877903</v>
      </c>
      <c r="G425" s="2">
        <v>3092.6829913641564</v>
      </c>
      <c r="H425" s="2">
        <v>2999.9025016232317</v>
      </c>
      <c r="I425" s="2">
        <v>2909.9054265745349</v>
      </c>
      <c r="J425" s="2">
        <v>2822.6082637772988</v>
      </c>
      <c r="K425" s="2">
        <v>2737.9300158639799</v>
      </c>
      <c r="L425" s="2">
        <v>2655.7921153880602</v>
      </c>
      <c r="M425" s="2">
        <v>2576.1183519264182</v>
      </c>
      <c r="N425" s="2">
        <v>2498.8348013686254</v>
      </c>
      <c r="O425" s="2">
        <v>2423.8697573275667</v>
      </c>
    </row>
    <row r="426" spans="1:15" x14ac:dyDescent="0.25">
      <c r="A426" t="s">
        <v>2068</v>
      </c>
      <c r="B426" t="s">
        <v>2069</v>
      </c>
      <c r="C426" s="2">
        <v>3490.9238540000006</v>
      </c>
      <c r="D426" s="2">
        <v>3386.1961383800003</v>
      </c>
      <c r="E426" s="2">
        <v>3284.6102542286003</v>
      </c>
      <c r="F426" s="2">
        <v>3186.0719466017422</v>
      </c>
      <c r="G426" s="2">
        <v>3090.4897882036898</v>
      </c>
      <c r="H426" s="2">
        <v>2997.775094557579</v>
      </c>
      <c r="I426" s="2">
        <v>2907.8418417208513</v>
      </c>
      <c r="J426" s="2">
        <v>2820.6065864692259</v>
      </c>
      <c r="K426" s="2">
        <v>2735.9883888751492</v>
      </c>
      <c r="L426" s="2">
        <v>2653.9087372088948</v>
      </c>
      <c r="M426" s="2">
        <v>2574.2914750926279</v>
      </c>
      <c r="N426" s="2">
        <v>2497.0627308398489</v>
      </c>
      <c r="O426" s="2">
        <v>2422.1508489146531</v>
      </c>
    </row>
    <row r="427" spans="1:15" x14ac:dyDescent="0.25">
      <c r="A427" t="s">
        <v>2070</v>
      </c>
      <c r="B427" t="s">
        <v>2071</v>
      </c>
      <c r="C427" s="2">
        <v>3486.8207000000002</v>
      </c>
      <c r="D427" s="2">
        <v>3382.2160790000003</v>
      </c>
      <c r="E427" s="2">
        <v>3280.7495966300003</v>
      </c>
      <c r="F427" s="2">
        <v>3182.3271087311</v>
      </c>
      <c r="G427" s="2">
        <v>3086.8572954691667</v>
      </c>
      <c r="H427" s="2">
        <v>2994.2515766050915</v>
      </c>
      <c r="I427" s="2">
        <v>2904.4240293069388</v>
      </c>
      <c r="J427" s="2">
        <v>2817.2913084277307</v>
      </c>
      <c r="K427" s="2">
        <v>2732.7725691748988</v>
      </c>
      <c r="L427" s="2">
        <v>2650.7893920996516</v>
      </c>
      <c r="M427" s="2">
        <v>2571.2657103366619</v>
      </c>
      <c r="N427" s="2">
        <v>2494.1277390265618</v>
      </c>
      <c r="O427" s="2">
        <v>2419.303906855765</v>
      </c>
    </row>
    <row r="428" spans="1:15" x14ac:dyDescent="0.25">
      <c r="A428" t="s">
        <v>2072</v>
      </c>
      <c r="B428" t="s">
        <v>2073</v>
      </c>
      <c r="C428" s="2">
        <v>3486.5504960000012</v>
      </c>
      <c r="D428" s="2">
        <v>3381.9539811200011</v>
      </c>
      <c r="E428" s="2">
        <v>3280.4953616864009</v>
      </c>
      <c r="F428" s="2">
        <v>3182.0805008358088</v>
      </c>
      <c r="G428" s="2">
        <v>3086.6180858107346</v>
      </c>
      <c r="H428" s="2">
        <v>2994.0195432364126</v>
      </c>
      <c r="I428" s="2">
        <v>2904.1989569393199</v>
      </c>
      <c r="J428" s="2">
        <v>2817.0729882311402</v>
      </c>
      <c r="K428" s="2">
        <v>2732.5607985842062</v>
      </c>
      <c r="L428" s="2">
        <v>2650.5839746266797</v>
      </c>
      <c r="M428" s="2">
        <v>2571.0664553878792</v>
      </c>
      <c r="N428" s="2">
        <v>2493.9344617262427</v>
      </c>
      <c r="O428" s="2">
        <v>2419.1164278744554</v>
      </c>
    </row>
    <row r="429" spans="1:15" x14ac:dyDescent="0.25">
      <c r="A429" t="s">
        <v>2074</v>
      </c>
      <c r="B429" t="s">
        <v>2075</v>
      </c>
      <c r="C429" s="2">
        <v>3484.6013840000005</v>
      </c>
      <c r="D429" s="2">
        <v>3380.0633424800003</v>
      </c>
      <c r="E429" s="2">
        <v>3278.6614422056</v>
      </c>
      <c r="F429" s="2">
        <v>3180.3015989394321</v>
      </c>
      <c r="G429" s="2">
        <v>3084.892550971249</v>
      </c>
      <c r="H429" s="2">
        <v>2992.3457744421116</v>
      </c>
      <c r="I429" s="2">
        <v>2902.5754012088482</v>
      </c>
      <c r="J429" s="2">
        <v>2815.4981391725828</v>
      </c>
      <c r="K429" s="2">
        <v>2731.0331949974052</v>
      </c>
      <c r="L429" s="2">
        <v>2649.1021991474831</v>
      </c>
      <c r="M429" s="2">
        <v>2569.6291331730586</v>
      </c>
      <c r="N429" s="2">
        <v>2492.5402591778666</v>
      </c>
      <c r="O429" s="2">
        <v>2417.7640514025306</v>
      </c>
    </row>
    <row r="430" spans="1:15" x14ac:dyDescent="0.25">
      <c r="A430" t="s">
        <v>2076</v>
      </c>
      <c r="B430" t="s">
        <v>2077</v>
      </c>
      <c r="C430" s="2">
        <v>3482.672512000001</v>
      </c>
      <c r="D430" s="2">
        <v>3378.192336640001</v>
      </c>
      <c r="E430" s="2">
        <v>3276.8465665408007</v>
      </c>
      <c r="F430" s="2">
        <v>3178.5411695445764</v>
      </c>
      <c r="G430" s="2">
        <v>3083.1849344582392</v>
      </c>
      <c r="H430" s="2">
        <v>2990.6893864244921</v>
      </c>
      <c r="I430" s="2">
        <v>2900.9687048317573</v>
      </c>
      <c r="J430" s="2">
        <v>2813.9396436868046</v>
      </c>
      <c r="K430" s="2">
        <v>2729.5214543762004</v>
      </c>
      <c r="L430" s="2">
        <v>2647.6358107449141</v>
      </c>
      <c r="M430" s="2">
        <v>2568.2067364225668</v>
      </c>
      <c r="N430" s="2">
        <v>2491.1605343298897</v>
      </c>
      <c r="O430" s="2">
        <v>2416.4257182999932</v>
      </c>
    </row>
    <row r="431" spans="1:15" x14ac:dyDescent="0.25">
      <c r="A431" t="s">
        <v>2078</v>
      </c>
      <c r="B431" t="s">
        <v>2079</v>
      </c>
      <c r="C431" s="2">
        <v>3482.2434240000002</v>
      </c>
      <c r="D431" s="2">
        <v>3377.7761212800001</v>
      </c>
      <c r="E431" s="2">
        <v>3276.4428376415999</v>
      </c>
      <c r="F431" s="2">
        <v>3178.1495525123519</v>
      </c>
      <c r="G431" s="2">
        <v>3082.805065936981</v>
      </c>
      <c r="H431" s="2">
        <v>2990.3209139588716</v>
      </c>
      <c r="I431" s="2">
        <v>2900.6112865401055</v>
      </c>
      <c r="J431" s="2">
        <v>2813.5929479439023</v>
      </c>
      <c r="K431" s="2">
        <v>2729.185159505585</v>
      </c>
      <c r="L431" s="2">
        <v>2647.3096047204176</v>
      </c>
      <c r="M431" s="2">
        <v>2567.8903165788051</v>
      </c>
      <c r="N431" s="2">
        <v>2490.8536070814407</v>
      </c>
      <c r="O431" s="2">
        <v>2416.1279988689976</v>
      </c>
    </row>
    <row r="432" spans="1:15" x14ac:dyDescent="0.25">
      <c r="A432" t="s">
        <v>2080</v>
      </c>
      <c r="B432" t="s">
        <v>2081</v>
      </c>
      <c r="C432" s="2">
        <v>3460.3032640000006</v>
      </c>
      <c r="D432" s="2">
        <v>3356.4941660800005</v>
      </c>
      <c r="E432" s="2">
        <v>3255.7993410976005</v>
      </c>
      <c r="F432" s="2">
        <v>3158.1253608646725</v>
      </c>
      <c r="G432" s="2">
        <v>3063.3816000387324</v>
      </c>
      <c r="H432" s="2">
        <v>2971.4801520375704</v>
      </c>
      <c r="I432" s="2">
        <v>2882.3357474764434</v>
      </c>
      <c r="J432" s="2">
        <v>2795.86567505215</v>
      </c>
      <c r="K432" s="2">
        <v>2711.9897048005855</v>
      </c>
      <c r="L432" s="2">
        <v>2630.6300136565678</v>
      </c>
      <c r="M432" s="2">
        <v>2551.7111132468708</v>
      </c>
      <c r="N432" s="2">
        <v>2475.1597798494645</v>
      </c>
      <c r="O432" s="2">
        <v>2400.9049864539807</v>
      </c>
    </row>
    <row r="433" spans="1:15" x14ac:dyDescent="0.25">
      <c r="A433" t="s">
        <v>2082</v>
      </c>
      <c r="B433" t="s">
        <v>2083</v>
      </c>
      <c r="C433" s="2">
        <v>3450.2723200000005</v>
      </c>
      <c r="D433" s="2">
        <v>3346.7641504000003</v>
      </c>
      <c r="E433" s="2">
        <v>3246.3612258880003</v>
      </c>
      <c r="F433" s="2">
        <v>3148.97038911136</v>
      </c>
      <c r="G433" s="2">
        <v>3054.5012774380189</v>
      </c>
      <c r="H433" s="2">
        <v>2962.8662391148782</v>
      </c>
      <c r="I433" s="2">
        <v>2873.980251941432</v>
      </c>
      <c r="J433" s="2">
        <v>2787.7608443831891</v>
      </c>
      <c r="K433" s="2">
        <v>2704.1280190516932</v>
      </c>
      <c r="L433" s="2">
        <v>2623.0041784801424</v>
      </c>
      <c r="M433" s="2">
        <v>2544.3140531257382</v>
      </c>
      <c r="N433" s="2">
        <v>2467.984631531966</v>
      </c>
      <c r="O433" s="2">
        <v>2393.9450925860069</v>
      </c>
    </row>
    <row r="434" spans="1:15" x14ac:dyDescent="0.25">
      <c r="A434" t="s">
        <v>2084</v>
      </c>
      <c r="B434" t="s">
        <v>2085</v>
      </c>
      <c r="C434" s="2">
        <v>3447.7590180000002</v>
      </c>
      <c r="D434" s="2">
        <v>3344.3262474600001</v>
      </c>
      <c r="E434" s="2">
        <v>3243.9964600362</v>
      </c>
      <c r="F434" s="2">
        <v>3146.676566235114</v>
      </c>
      <c r="G434" s="2">
        <v>3052.2762692480605</v>
      </c>
      <c r="H434" s="2">
        <v>2960.7079811706185</v>
      </c>
      <c r="I434" s="2">
        <v>2871.8867417355</v>
      </c>
      <c r="J434" s="2">
        <v>2785.7301394834349</v>
      </c>
      <c r="K434" s="2">
        <v>2702.1582352989317</v>
      </c>
      <c r="L434" s="2">
        <v>2621.0934882399638</v>
      </c>
      <c r="M434" s="2">
        <v>2542.4606835927648</v>
      </c>
      <c r="N434" s="2">
        <v>2466.1868630849817</v>
      </c>
      <c r="O434" s="2">
        <v>2392.2012571924324</v>
      </c>
    </row>
    <row r="435" spans="1:15" x14ac:dyDescent="0.25">
      <c r="A435" t="s">
        <v>2086</v>
      </c>
      <c r="B435" t="s">
        <v>2087</v>
      </c>
      <c r="C435" s="2">
        <v>3447.4407440000004</v>
      </c>
      <c r="D435" s="2">
        <v>3344.0175216800003</v>
      </c>
      <c r="E435" s="2">
        <v>3243.6969960296001</v>
      </c>
      <c r="F435" s="2">
        <v>3146.3860861487119</v>
      </c>
      <c r="G435" s="2">
        <v>3051.9945035642504</v>
      </c>
      <c r="H435" s="2">
        <v>2960.4346684573229</v>
      </c>
      <c r="I435" s="2">
        <v>2871.6216284036032</v>
      </c>
      <c r="J435" s="2">
        <v>2785.472979551495</v>
      </c>
      <c r="K435" s="2">
        <v>2701.90879016495</v>
      </c>
      <c r="L435" s="2">
        <v>2620.8515264600014</v>
      </c>
      <c r="M435" s="2">
        <v>2542.2259806662014</v>
      </c>
      <c r="N435" s="2">
        <v>2465.9592012462153</v>
      </c>
      <c r="O435" s="2">
        <v>2391.9804252088288</v>
      </c>
    </row>
    <row r="436" spans="1:15" x14ac:dyDescent="0.25">
      <c r="A436" t="s">
        <v>2088</v>
      </c>
      <c r="B436" t="s">
        <v>2089</v>
      </c>
      <c r="C436" s="2">
        <v>3446.5724480000008</v>
      </c>
      <c r="D436" s="2">
        <v>3343.1752745600006</v>
      </c>
      <c r="E436" s="2">
        <v>3242.8800163232004</v>
      </c>
      <c r="F436" s="2">
        <v>3145.5936158335044</v>
      </c>
      <c r="G436" s="2">
        <v>3051.225807358499</v>
      </c>
      <c r="H436" s="2">
        <v>2959.689033137744</v>
      </c>
      <c r="I436" s="2">
        <v>2870.8983621436114</v>
      </c>
      <c r="J436" s="2">
        <v>2784.7714112793028</v>
      </c>
      <c r="K436" s="2">
        <v>2701.2282689409235</v>
      </c>
      <c r="L436" s="2">
        <v>2620.1914208726957</v>
      </c>
      <c r="M436" s="2">
        <v>2541.5856782465148</v>
      </c>
      <c r="N436" s="2">
        <v>2465.3381078991192</v>
      </c>
      <c r="O436" s="2">
        <v>2391.3779646621456</v>
      </c>
    </row>
    <row r="437" spans="1:15" x14ac:dyDescent="0.25">
      <c r="A437" t="s">
        <v>2090</v>
      </c>
      <c r="B437" t="s">
        <v>2091</v>
      </c>
      <c r="C437" s="2">
        <v>3446.3943360000007</v>
      </c>
      <c r="D437" s="2">
        <v>3343.0025059200007</v>
      </c>
      <c r="E437" s="2">
        <v>3242.7124307424006</v>
      </c>
      <c r="F437" s="2">
        <v>3145.4310578201284</v>
      </c>
      <c r="G437" s="2">
        <v>3051.0681260855245</v>
      </c>
      <c r="H437" s="2">
        <v>2959.5360823029587</v>
      </c>
      <c r="I437" s="2">
        <v>2870.7499998338699</v>
      </c>
      <c r="J437" s="2">
        <v>2784.6274998388535</v>
      </c>
      <c r="K437" s="2">
        <v>2701.0886748436878</v>
      </c>
      <c r="L437" s="2">
        <v>2620.0560145983773</v>
      </c>
      <c r="M437" s="2">
        <v>2541.4543341604258</v>
      </c>
      <c r="N437" s="2">
        <v>2465.210704135613</v>
      </c>
      <c r="O437" s="2">
        <v>2391.2543830115446</v>
      </c>
    </row>
    <row r="438" spans="1:15" x14ac:dyDescent="0.25">
      <c r="A438" t="s">
        <v>2092</v>
      </c>
      <c r="B438" t="s">
        <v>2093</v>
      </c>
      <c r="C438" s="2">
        <v>3442.8968640000007</v>
      </c>
      <c r="D438" s="2">
        <v>3339.6099580800005</v>
      </c>
      <c r="E438" s="2">
        <v>3239.4216593376004</v>
      </c>
      <c r="F438" s="2">
        <v>3142.2390095574724</v>
      </c>
      <c r="G438" s="2">
        <v>3047.9718392707482</v>
      </c>
      <c r="H438" s="2">
        <v>2956.5326840926255</v>
      </c>
      <c r="I438" s="2">
        <v>2867.8367035698466</v>
      </c>
      <c r="J438" s="2">
        <v>2781.8016024627509</v>
      </c>
      <c r="K438" s="2">
        <v>2698.3475543888685</v>
      </c>
      <c r="L438" s="2">
        <v>2617.3971277572023</v>
      </c>
      <c r="M438" s="2">
        <v>2538.8752139244862</v>
      </c>
      <c r="N438" s="2">
        <v>2462.7089575067516</v>
      </c>
      <c r="O438" s="2">
        <v>2388.8276887815491</v>
      </c>
    </row>
    <row r="439" spans="1:15" x14ac:dyDescent="0.25">
      <c r="A439" t="s">
        <v>2094</v>
      </c>
      <c r="B439" t="s">
        <v>2095</v>
      </c>
      <c r="C439" s="2">
        <v>3442.8968640000007</v>
      </c>
      <c r="D439" s="2">
        <v>3339.6099580800005</v>
      </c>
      <c r="E439" s="2">
        <v>3239.4216593376004</v>
      </c>
      <c r="F439" s="2">
        <v>3142.2390095574724</v>
      </c>
      <c r="G439" s="2">
        <v>3047.9718392707482</v>
      </c>
      <c r="H439" s="2">
        <v>2956.5326840926255</v>
      </c>
      <c r="I439" s="2">
        <v>2867.8367035698466</v>
      </c>
      <c r="J439" s="2">
        <v>2781.8016024627509</v>
      </c>
      <c r="K439" s="2">
        <v>2698.3475543888685</v>
      </c>
      <c r="L439" s="2">
        <v>2617.3971277572023</v>
      </c>
      <c r="M439" s="2">
        <v>2538.8752139244862</v>
      </c>
      <c r="N439" s="2">
        <v>2462.7089575067516</v>
      </c>
      <c r="O439" s="2">
        <v>2388.8276887815491</v>
      </c>
    </row>
    <row r="440" spans="1:15" x14ac:dyDescent="0.25">
      <c r="A440" t="s">
        <v>2096</v>
      </c>
      <c r="B440" t="s">
        <v>2097</v>
      </c>
      <c r="C440" s="2">
        <v>3442.8968640000007</v>
      </c>
      <c r="D440" s="2">
        <v>3339.6099580800005</v>
      </c>
      <c r="E440" s="2">
        <v>3239.4216593376004</v>
      </c>
      <c r="F440" s="2">
        <v>3142.2390095574724</v>
      </c>
      <c r="G440" s="2">
        <v>3047.9718392707482</v>
      </c>
      <c r="H440" s="2">
        <v>2956.5326840926255</v>
      </c>
      <c r="I440" s="2">
        <v>2867.8367035698466</v>
      </c>
      <c r="J440" s="2">
        <v>2781.8016024627509</v>
      </c>
      <c r="K440" s="2">
        <v>2698.3475543888685</v>
      </c>
      <c r="L440" s="2">
        <v>2617.3971277572023</v>
      </c>
      <c r="M440" s="2">
        <v>2538.8752139244862</v>
      </c>
      <c r="N440" s="2">
        <v>2462.7089575067516</v>
      </c>
      <c r="O440" s="2">
        <v>2388.8276887815491</v>
      </c>
    </row>
    <row r="441" spans="1:15" x14ac:dyDescent="0.25">
      <c r="A441" t="s">
        <v>2098</v>
      </c>
      <c r="B441" t="s">
        <v>2099</v>
      </c>
      <c r="C441" s="2">
        <v>3442.8968640000007</v>
      </c>
      <c r="D441" s="2">
        <v>3339.6099580800005</v>
      </c>
      <c r="E441" s="2">
        <v>3239.4216593376004</v>
      </c>
      <c r="F441" s="2">
        <v>3142.2390095574724</v>
      </c>
      <c r="G441" s="2">
        <v>3047.9718392707482</v>
      </c>
      <c r="H441" s="2">
        <v>2956.5326840926255</v>
      </c>
      <c r="I441" s="2">
        <v>2867.8367035698466</v>
      </c>
      <c r="J441" s="2">
        <v>2781.8016024627509</v>
      </c>
      <c r="K441" s="2">
        <v>2698.3475543888685</v>
      </c>
      <c r="L441" s="2">
        <v>2617.3971277572023</v>
      </c>
      <c r="M441" s="2">
        <v>2538.8752139244862</v>
      </c>
      <c r="N441" s="2">
        <v>2462.7089575067516</v>
      </c>
      <c r="O441" s="2">
        <v>2388.8276887815491</v>
      </c>
    </row>
    <row r="442" spans="1:15" x14ac:dyDescent="0.25">
      <c r="A442" t="s">
        <v>2100</v>
      </c>
      <c r="B442" t="s">
        <v>2101</v>
      </c>
      <c r="C442" s="2">
        <v>3442.508256000001</v>
      </c>
      <c r="D442" s="2">
        <v>3339.2330083200009</v>
      </c>
      <c r="E442" s="2">
        <v>3239.0560180704006</v>
      </c>
      <c r="F442" s="2">
        <v>3141.8843375282886</v>
      </c>
      <c r="G442" s="2">
        <v>3047.6278074024399</v>
      </c>
      <c r="H442" s="2">
        <v>2956.1989731803665</v>
      </c>
      <c r="I442" s="2">
        <v>2867.5130039849555</v>
      </c>
      <c r="J442" s="2">
        <v>2781.4876138654067</v>
      </c>
      <c r="K442" s="2">
        <v>2698.0429854494446</v>
      </c>
      <c r="L442" s="2">
        <v>2617.1016958859614</v>
      </c>
      <c r="M442" s="2">
        <v>2538.5886450093826</v>
      </c>
      <c r="N442" s="2">
        <v>2462.4309856591012</v>
      </c>
      <c r="O442" s="2">
        <v>2388.5580560893281</v>
      </c>
    </row>
    <row r="443" spans="1:15" x14ac:dyDescent="0.25">
      <c r="A443" t="s">
        <v>2102</v>
      </c>
      <c r="B443" t="s">
        <v>2103</v>
      </c>
      <c r="C443" s="2">
        <v>3442.3220480000009</v>
      </c>
      <c r="D443" s="2">
        <v>3339.0523865600007</v>
      </c>
      <c r="E443" s="2">
        <v>3238.8808149632005</v>
      </c>
      <c r="F443" s="2">
        <v>3141.7143905143043</v>
      </c>
      <c r="G443" s="2">
        <v>3047.4629587988752</v>
      </c>
      <c r="H443" s="2">
        <v>2956.0390700349089</v>
      </c>
      <c r="I443" s="2">
        <v>2867.3578979338618</v>
      </c>
      <c r="J443" s="2">
        <v>2781.3371609958458</v>
      </c>
      <c r="K443" s="2">
        <v>2697.8970461659706</v>
      </c>
      <c r="L443" s="2">
        <v>2616.9601347809912</v>
      </c>
      <c r="M443" s="2">
        <v>2538.4513307375614</v>
      </c>
      <c r="N443" s="2">
        <v>2462.2977908154344</v>
      </c>
      <c r="O443" s="2">
        <v>2388.4288570909712</v>
      </c>
    </row>
    <row r="444" spans="1:15" x14ac:dyDescent="0.25">
      <c r="A444" t="s">
        <v>2104</v>
      </c>
      <c r="B444" t="s">
        <v>2105</v>
      </c>
      <c r="C444" s="2">
        <v>3440.9700160000007</v>
      </c>
      <c r="D444" s="2">
        <v>3337.7409155200007</v>
      </c>
      <c r="E444" s="2">
        <v>3237.6086880544008</v>
      </c>
      <c r="F444" s="2">
        <v>3140.4804274127687</v>
      </c>
      <c r="G444" s="2">
        <v>3046.2660145903856</v>
      </c>
      <c r="H444" s="2">
        <v>2954.878034152674</v>
      </c>
      <c r="I444" s="2">
        <v>2866.2316931280939</v>
      </c>
      <c r="J444" s="2">
        <v>2780.244742334251</v>
      </c>
      <c r="K444" s="2">
        <v>2696.8374000642234</v>
      </c>
      <c r="L444" s="2">
        <v>2615.9322780622965</v>
      </c>
      <c r="M444" s="2">
        <v>2537.4543097204278</v>
      </c>
      <c r="N444" s="2">
        <v>2461.330680428815</v>
      </c>
      <c r="O444" s="2">
        <v>2387.4907600159504</v>
      </c>
    </row>
    <row r="445" spans="1:15" x14ac:dyDescent="0.25">
      <c r="A445" t="s">
        <v>2106</v>
      </c>
      <c r="B445" t="s">
        <v>2107</v>
      </c>
      <c r="C445" s="2">
        <v>3440.3612980000003</v>
      </c>
      <c r="D445" s="2">
        <v>3337.1504590600002</v>
      </c>
      <c r="E445" s="2">
        <v>3237.0359452882003</v>
      </c>
      <c r="F445" s="2">
        <v>3139.9248669295544</v>
      </c>
      <c r="G445" s="2">
        <v>3045.7271209216678</v>
      </c>
      <c r="H445" s="2">
        <v>2954.3553072940176</v>
      </c>
      <c r="I445" s="2">
        <v>2865.7246480751969</v>
      </c>
      <c r="J445" s="2">
        <v>2779.7529086329409</v>
      </c>
      <c r="K445" s="2">
        <v>2696.3603213739525</v>
      </c>
      <c r="L445" s="2">
        <v>2615.4695117327337</v>
      </c>
      <c r="M445" s="2">
        <v>2537.0054263807515</v>
      </c>
      <c r="N445" s="2">
        <v>2460.8952635893288</v>
      </c>
      <c r="O445" s="2">
        <v>2387.068405681649</v>
      </c>
    </row>
    <row r="446" spans="1:15" x14ac:dyDescent="0.25">
      <c r="A446" t="s">
        <v>2108</v>
      </c>
      <c r="B446" t="s">
        <v>2109</v>
      </c>
      <c r="C446" s="2">
        <v>3423.927936</v>
      </c>
      <c r="D446" s="2">
        <v>3321.21009792</v>
      </c>
      <c r="E446" s="2">
        <v>3221.5737949823997</v>
      </c>
      <c r="F446" s="2">
        <v>3124.9265811329278</v>
      </c>
      <c r="G446" s="2">
        <v>3031.1787836989397</v>
      </c>
      <c r="H446" s="2">
        <v>2940.2434201879714</v>
      </c>
      <c r="I446" s="2">
        <v>2852.0361175823323</v>
      </c>
      <c r="J446" s="2">
        <v>2766.4750340548621</v>
      </c>
      <c r="K446" s="2">
        <v>2683.4807830332161</v>
      </c>
      <c r="L446" s="2">
        <v>2602.9763595422196</v>
      </c>
      <c r="M446" s="2">
        <v>2524.8870687559529</v>
      </c>
      <c r="N446" s="2">
        <v>2449.1404566932742</v>
      </c>
      <c r="O446" s="2">
        <v>2375.6662429924759</v>
      </c>
    </row>
    <row r="447" spans="1:15" x14ac:dyDescent="0.25">
      <c r="A447" t="s">
        <v>2110</v>
      </c>
      <c r="B447" t="s">
        <v>2111</v>
      </c>
      <c r="C447" s="2">
        <v>3415.3866560000001</v>
      </c>
      <c r="D447" s="2">
        <v>3312.9250563199998</v>
      </c>
      <c r="E447" s="2">
        <v>3213.5373046303998</v>
      </c>
      <c r="F447" s="2">
        <v>3117.1311854914879</v>
      </c>
      <c r="G447" s="2">
        <v>3023.6172499267432</v>
      </c>
      <c r="H447" s="2">
        <v>2932.9087324289408</v>
      </c>
      <c r="I447" s="2">
        <v>2844.9214704560723</v>
      </c>
      <c r="J447" s="2">
        <v>2759.57382634239</v>
      </c>
      <c r="K447" s="2">
        <v>2676.7866115521183</v>
      </c>
      <c r="L447" s="2">
        <v>2596.4830132055545</v>
      </c>
      <c r="M447" s="2">
        <v>2518.5885228093875</v>
      </c>
      <c r="N447" s="2">
        <v>2443.0308671251059</v>
      </c>
      <c r="O447" s="2">
        <v>2369.7399411113529</v>
      </c>
    </row>
    <row r="448" spans="1:15" x14ac:dyDescent="0.25">
      <c r="A448" t="s">
        <v>2112</v>
      </c>
      <c r="B448" t="s">
        <v>2113</v>
      </c>
      <c r="C448" s="2">
        <v>3411.5815360000006</v>
      </c>
      <c r="D448" s="2">
        <v>3309.2340899200003</v>
      </c>
      <c r="E448" s="2">
        <v>3209.9570672224004</v>
      </c>
      <c r="F448" s="2">
        <v>3113.6583552057282</v>
      </c>
      <c r="G448" s="2">
        <v>3020.2486045495561</v>
      </c>
      <c r="H448" s="2">
        <v>2929.6411464130692</v>
      </c>
      <c r="I448" s="2">
        <v>2841.7519120206771</v>
      </c>
      <c r="J448" s="2">
        <v>2756.4993546600567</v>
      </c>
      <c r="K448" s="2">
        <v>2673.8043740202547</v>
      </c>
      <c r="L448" s="2">
        <v>2593.5902427996471</v>
      </c>
      <c r="M448" s="2">
        <v>2515.7825355156574</v>
      </c>
      <c r="N448" s="2">
        <v>2440.3090594501878</v>
      </c>
      <c r="O448" s="2">
        <v>2367.099787666682</v>
      </c>
    </row>
    <row r="449" spans="1:15" x14ac:dyDescent="0.25">
      <c r="A449" t="s">
        <v>2114</v>
      </c>
      <c r="B449" t="s">
        <v>2115</v>
      </c>
      <c r="C449" s="2">
        <v>3411.5815360000006</v>
      </c>
      <c r="D449" s="2">
        <v>3309.2340899200003</v>
      </c>
      <c r="E449" s="2">
        <v>3209.9570672224004</v>
      </c>
      <c r="F449" s="2">
        <v>3113.6583552057282</v>
      </c>
      <c r="G449" s="2">
        <v>3020.2486045495561</v>
      </c>
      <c r="H449" s="2">
        <v>2929.6411464130692</v>
      </c>
      <c r="I449" s="2">
        <v>2841.7519120206771</v>
      </c>
      <c r="J449" s="2">
        <v>2756.4993546600567</v>
      </c>
      <c r="K449" s="2">
        <v>2673.8043740202547</v>
      </c>
      <c r="L449" s="2">
        <v>2593.5902427996471</v>
      </c>
      <c r="M449" s="2">
        <v>2515.7825355156574</v>
      </c>
      <c r="N449" s="2">
        <v>2440.3090594501878</v>
      </c>
      <c r="O449" s="2">
        <v>2367.099787666682</v>
      </c>
    </row>
    <row r="450" spans="1:15" x14ac:dyDescent="0.25">
      <c r="A450" t="s">
        <v>2116</v>
      </c>
      <c r="B450" t="s">
        <v>2117</v>
      </c>
      <c r="C450" s="2">
        <v>3411.5815360000006</v>
      </c>
      <c r="D450" s="2">
        <v>3309.2340899200003</v>
      </c>
      <c r="E450" s="2">
        <v>3209.9570672224004</v>
      </c>
      <c r="F450" s="2">
        <v>3113.6583552057282</v>
      </c>
      <c r="G450" s="2">
        <v>3020.2486045495561</v>
      </c>
      <c r="H450" s="2">
        <v>2929.6411464130692</v>
      </c>
      <c r="I450" s="2">
        <v>2841.7519120206771</v>
      </c>
      <c r="J450" s="2">
        <v>2756.4993546600567</v>
      </c>
      <c r="K450" s="2">
        <v>2673.8043740202547</v>
      </c>
      <c r="L450" s="2">
        <v>2593.5902427996471</v>
      </c>
      <c r="M450" s="2">
        <v>2515.7825355156574</v>
      </c>
      <c r="N450" s="2">
        <v>2440.3090594501878</v>
      </c>
      <c r="O450" s="2">
        <v>2367.099787666682</v>
      </c>
    </row>
    <row r="451" spans="1:15" x14ac:dyDescent="0.25">
      <c r="A451" t="s">
        <v>2118</v>
      </c>
      <c r="B451" t="s">
        <v>2119</v>
      </c>
      <c r="C451" s="2">
        <v>3411.5815360000006</v>
      </c>
      <c r="D451" s="2">
        <v>3309.2340899200003</v>
      </c>
      <c r="E451" s="2">
        <v>3209.9570672224004</v>
      </c>
      <c r="F451" s="2">
        <v>3113.6583552057282</v>
      </c>
      <c r="G451" s="2">
        <v>3020.2486045495561</v>
      </c>
      <c r="H451" s="2">
        <v>2929.6411464130692</v>
      </c>
      <c r="I451" s="2">
        <v>2841.7519120206771</v>
      </c>
      <c r="J451" s="2">
        <v>2756.4993546600567</v>
      </c>
      <c r="K451" s="2">
        <v>2673.8043740202547</v>
      </c>
      <c r="L451" s="2">
        <v>2593.5902427996471</v>
      </c>
      <c r="M451" s="2">
        <v>2515.7825355156574</v>
      </c>
      <c r="N451" s="2">
        <v>2440.3090594501878</v>
      </c>
      <c r="O451" s="2">
        <v>2367.099787666682</v>
      </c>
    </row>
    <row r="452" spans="1:15" x14ac:dyDescent="0.25">
      <c r="A452" t="s">
        <v>2120</v>
      </c>
      <c r="B452" t="s">
        <v>2121</v>
      </c>
      <c r="C452" s="2">
        <v>3403.5260160000007</v>
      </c>
      <c r="D452" s="2">
        <v>3301.4202355200005</v>
      </c>
      <c r="E452" s="2">
        <v>3202.3776284544006</v>
      </c>
      <c r="F452" s="2">
        <v>3106.3062996007684</v>
      </c>
      <c r="G452" s="2">
        <v>3013.1171106127454</v>
      </c>
      <c r="H452" s="2">
        <v>2922.7235972943631</v>
      </c>
      <c r="I452" s="2">
        <v>2835.0418893755323</v>
      </c>
      <c r="J452" s="2">
        <v>2749.9906326942664</v>
      </c>
      <c r="K452" s="2">
        <v>2667.4909137134382</v>
      </c>
      <c r="L452" s="2">
        <v>2587.4661863020351</v>
      </c>
      <c r="M452" s="2">
        <v>2509.8422007129739</v>
      </c>
      <c r="N452" s="2">
        <v>2434.5469346915847</v>
      </c>
      <c r="O452" s="2">
        <v>2361.5105266508372</v>
      </c>
    </row>
    <row r="453" spans="1:15" x14ac:dyDescent="0.25">
      <c r="A453" t="s">
        <v>2122</v>
      </c>
      <c r="B453" t="s">
        <v>2123</v>
      </c>
      <c r="C453" s="2">
        <v>3395.7781440000012</v>
      </c>
      <c r="D453" s="2">
        <v>3293.9047996800009</v>
      </c>
      <c r="E453" s="2">
        <v>3195.087655689601</v>
      </c>
      <c r="F453" s="2">
        <v>3099.2350260189128</v>
      </c>
      <c r="G453" s="2">
        <v>3006.2579752383454</v>
      </c>
      <c r="H453" s="2">
        <v>2916.0702359811949</v>
      </c>
      <c r="I453" s="2">
        <v>2828.5881289017589</v>
      </c>
      <c r="J453" s="2">
        <v>2743.7304850347059</v>
      </c>
      <c r="K453" s="2">
        <v>2661.4185704836646</v>
      </c>
      <c r="L453" s="2">
        <v>2581.5760133691547</v>
      </c>
      <c r="M453" s="2">
        <v>2504.1287329680799</v>
      </c>
      <c r="N453" s="2">
        <v>2429.0048709790376</v>
      </c>
      <c r="O453" s="2">
        <v>2356.1347248496663</v>
      </c>
    </row>
    <row r="454" spans="1:15" x14ac:dyDescent="0.25">
      <c r="A454" t="s">
        <v>2124</v>
      </c>
      <c r="B454" t="s">
        <v>2125</v>
      </c>
      <c r="C454" s="2">
        <v>3383.2374400000003</v>
      </c>
      <c r="D454" s="2">
        <v>3281.7403168000001</v>
      </c>
      <c r="E454" s="2">
        <v>3183.2881072959999</v>
      </c>
      <c r="F454" s="2">
        <v>3087.7894640771196</v>
      </c>
      <c r="G454" s="2">
        <v>2995.1557801548061</v>
      </c>
      <c r="H454" s="2">
        <v>2905.3011067501616</v>
      </c>
      <c r="I454" s="2">
        <v>2818.1420735476568</v>
      </c>
      <c r="J454" s="2">
        <v>2733.597811341227</v>
      </c>
      <c r="K454" s="2">
        <v>2651.5898770009903</v>
      </c>
      <c r="L454" s="2">
        <v>2572.0421806909603</v>
      </c>
      <c r="M454" s="2">
        <v>2494.8809152702315</v>
      </c>
      <c r="N454" s="2">
        <v>2420.0344878121246</v>
      </c>
      <c r="O454" s="2">
        <v>2347.4334531777608</v>
      </c>
    </row>
    <row r="455" spans="1:15" x14ac:dyDescent="0.25">
      <c r="A455" t="s">
        <v>2126</v>
      </c>
      <c r="B455" t="s">
        <v>2127</v>
      </c>
      <c r="C455" s="2">
        <v>3374.0241920000012</v>
      </c>
      <c r="D455" s="2">
        <v>3272.8034662400009</v>
      </c>
      <c r="E455" s="2">
        <v>3174.6193622528008</v>
      </c>
      <c r="F455" s="2">
        <v>3079.3807813852168</v>
      </c>
      <c r="G455" s="2">
        <v>2986.99935794366</v>
      </c>
      <c r="H455" s="2">
        <v>2897.3893772053502</v>
      </c>
      <c r="I455" s="2">
        <v>2810.4676958891896</v>
      </c>
      <c r="J455" s="2">
        <v>2726.153665012514</v>
      </c>
      <c r="K455" s="2">
        <v>2644.3690550621386</v>
      </c>
      <c r="L455" s="2">
        <v>2565.0379834102746</v>
      </c>
      <c r="M455" s="2">
        <v>2488.0868439079663</v>
      </c>
      <c r="N455" s="2">
        <v>2413.4442385907273</v>
      </c>
      <c r="O455" s="2">
        <v>2341.0409114330055</v>
      </c>
    </row>
    <row r="456" spans="1:15" x14ac:dyDescent="0.25">
      <c r="A456" t="s">
        <v>2128</v>
      </c>
      <c r="B456" t="s">
        <v>2129</v>
      </c>
      <c r="C456" s="2">
        <v>3371.1744000000003</v>
      </c>
      <c r="D456" s="2">
        <v>3270.0391680000002</v>
      </c>
      <c r="E456" s="2">
        <v>3171.93799296</v>
      </c>
      <c r="F456" s="2">
        <v>3076.7798531712001</v>
      </c>
      <c r="G456" s="2">
        <v>2984.4764575760641</v>
      </c>
      <c r="H456" s="2">
        <v>2894.942163848782</v>
      </c>
      <c r="I456" s="2">
        <v>2808.0938989333185</v>
      </c>
      <c r="J456" s="2">
        <v>2723.8510819653188</v>
      </c>
      <c r="K456" s="2">
        <v>2642.135549506359</v>
      </c>
      <c r="L456" s="2">
        <v>2562.8714830211679</v>
      </c>
      <c r="M456" s="2">
        <v>2485.9853385305328</v>
      </c>
      <c r="N456" s="2">
        <v>2411.4057783746166</v>
      </c>
      <c r="O456" s="2">
        <v>2339.0636050233779</v>
      </c>
    </row>
    <row r="457" spans="1:15" x14ac:dyDescent="0.25">
      <c r="A457" t="s">
        <v>2130</v>
      </c>
      <c r="B457" t="s">
        <v>2131</v>
      </c>
      <c r="C457" s="2">
        <v>3370.3567039999998</v>
      </c>
      <c r="D457" s="2">
        <v>3269.2460028799997</v>
      </c>
      <c r="E457" s="2">
        <v>3171.1686227935998</v>
      </c>
      <c r="F457" s="2">
        <v>3076.0335641097918</v>
      </c>
      <c r="G457" s="2">
        <v>2983.7525571864981</v>
      </c>
      <c r="H457" s="2">
        <v>2894.239980470903</v>
      </c>
      <c r="I457" s="2">
        <v>2807.4127810567757</v>
      </c>
      <c r="J457" s="2">
        <v>2723.1903976250724</v>
      </c>
      <c r="K457" s="2">
        <v>2641.4946856963202</v>
      </c>
      <c r="L457" s="2">
        <v>2562.2498451254305</v>
      </c>
      <c r="M457" s="2">
        <v>2485.3823497716676</v>
      </c>
      <c r="N457" s="2">
        <v>2410.8208792785176</v>
      </c>
      <c r="O457" s="2">
        <v>2338.4962529001618</v>
      </c>
    </row>
    <row r="458" spans="1:15" x14ac:dyDescent="0.25">
      <c r="A458" t="s">
        <v>2132</v>
      </c>
      <c r="B458" t="s">
        <v>2133</v>
      </c>
      <c r="C458" s="2">
        <v>3370.2028800000007</v>
      </c>
      <c r="D458" s="2">
        <v>3269.0967936000006</v>
      </c>
      <c r="E458" s="2">
        <v>3171.0238897920003</v>
      </c>
      <c r="F458" s="2">
        <v>3075.8931730982404</v>
      </c>
      <c r="G458" s="2">
        <v>2983.6163779052931</v>
      </c>
      <c r="H458" s="2">
        <v>2894.1078865681343</v>
      </c>
      <c r="I458" s="2">
        <v>2807.2846499710904</v>
      </c>
      <c r="J458" s="2">
        <v>2723.0661104719575</v>
      </c>
      <c r="K458" s="2">
        <v>2641.3741271577987</v>
      </c>
      <c r="L458" s="2">
        <v>2562.1329033430648</v>
      </c>
      <c r="M458" s="2">
        <v>2485.2689162427728</v>
      </c>
      <c r="N458" s="2">
        <v>2410.7108487554897</v>
      </c>
      <c r="O458" s="2">
        <v>2338.3895232928248</v>
      </c>
    </row>
    <row r="459" spans="1:15" x14ac:dyDescent="0.25">
      <c r="A459" t="s">
        <v>2134</v>
      </c>
      <c r="B459" t="s">
        <v>2135</v>
      </c>
      <c r="C459" s="2">
        <v>3366.7135040000003</v>
      </c>
      <c r="D459" s="2">
        <v>3265.7120988800002</v>
      </c>
      <c r="E459" s="2">
        <v>3167.7407359136</v>
      </c>
      <c r="F459" s="2">
        <v>3072.7085138361917</v>
      </c>
      <c r="G459" s="2">
        <v>2980.5272584211061</v>
      </c>
      <c r="H459" s="2">
        <v>2891.1114406684728</v>
      </c>
      <c r="I459" s="2">
        <v>2804.3780974484184</v>
      </c>
      <c r="J459" s="2">
        <v>2720.2467545249656</v>
      </c>
      <c r="K459" s="2">
        <v>2638.6393518892164</v>
      </c>
      <c r="L459" s="2">
        <v>2559.4801713325401</v>
      </c>
      <c r="M459" s="2">
        <v>2482.695766192564</v>
      </c>
      <c r="N459" s="2">
        <v>2408.2148932067871</v>
      </c>
      <c r="O459" s="2">
        <v>2335.9684464105835</v>
      </c>
    </row>
    <row r="460" spans="1:15" x14ac:dyDescent="0.25">
      <c r="A460" t="s">
        <v>2136</v>
      </c>
      <c r="B460" t="s">
        <v>2137</v>
      </c>
      <c r="C460" s="2">
        <v>3366.5111040000006</v>
      </c>
      <c r="D460" s="2">
        <v>3265.5157708800007</v>
      </c>
      <c r="E460" s="2">
        <v>3167.5502977536007</v>
      </c>
      <c r="F460" s="2">
        <v>3072.5237888209926</v>
      </c>
      <c r="G460" s="2">
        <v>2980.3480751563629</v>
      </c>
      <c r="H460" s="2">
        <v>2890.9376329016718</v>
      </c>
      <c r="I460" s="2">
        <v>2804.2095039146216</v>
      </c>
      <c r="J460" s="2">
        <v>2720.0832187971828</v>
      </c>
      <c r="K460" s="2">
        <v>2638.4807222332674</v>
      </c>
      <c r="L460" s="2">
        <v>2559.3263005662693</v>
      </c>
      <c r="M460" s="2">
        <v>2482.5465115492811</v>
      </c>
      <c r="N460" s="2">
        <v>2408.0701162028026</v>
      </c>
      <c r="O460" s="2">
        <v>2335.8280127167186</v>
      </c>
    </row>
    <row r="461" spans="1:15" x14ac:dyDescent="0.25">
      <c r="A461" t="s">
        <v>2138</v>
      </c>
      <c r="B461" t="s">
        <v>2139</v>
      </c>
      <c r="C461" s="2">
        <v>3363.9689600000011</v>
      </c>
      <c r="D461" s="2">
        <v>3263.0498912000007</v>
      </c>
      <c r="E461" s="2">
        <v>3165.1583944640006</v>
      </c>
      <c r="F461" s="2">
        <v>3070.2036426300806</v>
      </c>
      <c r="G461" s="2">
        <v>2978.0975333511783</v>
      </c>
      <c r="H461" s="2">
        <v>2888.7546073506428</v>
      </c>
      <c r="I461" s="2">
        <v>2802.0919691301233</v>
      </c>
      <c r="J461" s="2">
        <v>2718.0292100562197</v>
      </c>
      <c r="K461" s="2">
        <v>2636.488333754533</v>
      </c>
      <c r="L461" s="2">
        <v>2557.3936837418969</v>
      </c>
      <c r="M461" s="2">
        <v>2480.6718732296399</v>
      </c>
      <c r="N461" s="2">
        <v>2406.2517170327505</v>
      </c>
      <c r="O461" s="2">
        <v>2334.0641655217678</v>
      </c>
    </row>
    <row r="462" spans="1:15" x14ac:dyDescent="0.25">
      <c r="A462" t="s">
        <v>2140</v>
      </c>
      <c r="B462" t="s">
        <v>2141</v>
      </c>
      <c r="C462" s="2">
        <v>3354.4445220000007</v>
      </c>
      <c r="D462" s="2">
        <v>3253.8111863400004</v>
      </c>
      <c r="E462" s="2">
        <v>3156.1968507498004</v>
      </c>
      <c r="F462" s="2">
        <v>3061.5109452273064</v>
      </c>
      <c r="G462" s="2">
        <v>2969.6656168704872</v>
      </c>
      <c r="H462" s="2">
        <v>2880.5756483643727</v>
      </c>
      <c r="I462" s="2">
        <v>2794.1583789134415</v>
      </c>
      <c r="J462" s="2">
        <v>2710.3336275460383</v>
      </c>
      <c r="K462" s="2">
        <v>2629.023618719657</v>
      </c>
      <c r="L462" s="2">
        <v>2550.1529101580672</v>
      </c>
      <c r="M462" s="2">
        <v>2473.6483228533252</v>
      </c>
      <c r="N462" s="2">
        <v>2399.4388731677254</v>
      </c>
      <c r="O462" s="2">
        <v>2327.4557069726934</v>
      </c>
    </row>
    <row r="463" spans="1:15" x14ac:dyDescent="0.25">
      <c r="A463" t="s">
        <v>2142</v>
      </c>
      <c r="B463" t="s">
        <v>2143</v>
      </c>
      <c r="C463" s="2">
        <v>3354.3757060000003</v>
      </c>
      <c r="D463" s="2">
        <v>3253.7444348200002</v>
      </c>
      <c r="E463" s="2">
        <v>3156.1321017753999</v>
      </c>
      <c r="F463" s="2">
        <v>3061.4481387221376</v>
      </c>
      <c r="G463" s="2">
        <v>2969.6046945604735</v>
      </c>
      <c r="H463" s="2">
        <v>2880.5165537236594</v>
      </c>
      <c r="I463" s="2">
        <v>2794.1010571119496</v>
      </c>
      <c r="J463" s="2">
        <v>2710.2780253985911</v>
      </c>
      <c r="K463" s="2">
        <v>2628.9696846366332</v>
      </c>
      <c r="L463" s="2">
        <v>2550.1005940975342</v>
      </c>
      <c r="M463" s="2">
        <v>2473.5975762746079</v>
      </c>
      <c r="N463" s="2">
        <v>2399.3896489863696</v>
      </c>
      <c r="O463" s="2">
        <v>2327.4079595167786</v>
      </c>
    </row>
    <row r="464" spans="1:15" x14ac:dyDescent="0.25">
      <c r="A464" t="s">
        <v>2144</v>
      </c>
      <c r="B464" t="s">
        <v>2145</v>
      </c>
      <c r="C464" s="2">
        <v>3353.5736960000008</v>
      </c>
      <c r="D464" s="2">
        <v>3252.9664851200009</v>
      </c>
      <c r="E464" s="2">
        <v>3155.3774905664009</v>
      </c>
      <c r="F464" s="2">
        <v>3060.7161658494088</v>
      </c>
      <c r="G464" s="2">
        <v>2968.8946808739265</v>
      </c>
      <c r="H464" s="2">
        <v>2879.8278404477087</v>
      </c>
      <c r="I464" s="2">
        <v>2793.4330052342775</v>
      </c>
      <c r="J464" s="2">
        <v>2709.630015077249</v>
      </c>
      <c r="K464" s="2">
        <v>2628.3411146249314</v>
      </c>
      <c r="L464" s="2">
        <v>2549.4908811861833</v>
      </c>
      <c r="M464" s="2">
        <v>2473.0061547505979</v>
      </c>
      <c r="N464" s="2">
        <v>2398.8159701080799</v>
      </c>
      <c r="O464" s="2">
        <v>2326.8514910048375</v>
      </c>
    </row>
    <row r="465" spans="1:15" x14ac:dyDescent="0.25">
      <c r="A465" t="s">
        <v>2146</v>
      </c>
      <c r="B465" t="s">
        <v>2145</v>
      </c>
      <c r="C465" s="2">
        <v>3353.5736960000008</v>
      </c>
      <c r="D465" s="2">
        <v>3252.9664851200009</v>
      </c>
      <c r="E465" s="2">
        <v>3155.3774905664009</v>
      </c>
      <c r="F465" s="2">
        <v>3060.7161658494088</v>
      </c>
      <c r="G465" s="2">
        <v>2968.8946808739265</v>
      </c>
      <c r="H465" s="2">
        <v>2879.8278404477087</v>
      </c>
      <c r="I465" s="2">
        <v>2793.4330052342775</v>
      </c>
      <c r="J465" s="2">
        <v>2709.630015077249</v>
      </c>
      <c r="K465" s="2">
        <v>2628.3411146249314</v>
      </c>
      <c r="L465" s="2">
        <v>2549.4908811861833</v>
      </c>
      <c r="M465" s="2">
        <v>2473.0061547505979</v>
      </c>
      <c r="N465" s="2">
        <v>2398.8159701080799</v>
      </c>
      <c r="O465" s="2">
        <v>2326.8514910048375</v>
      </c>
    </row>
    <row r="466" spans="1:15" x14ac:dyDescent="0.25">
      <c r="A466" t="s">
        <v>2147</v>
      </c>
      <c r="B466" t="s">
        <v>2148</v>
      </c>
      <c r="C466" s="2">
        <v>3351.5658880000005</v>
      </c>
      <c r="D466" s="2">
        <v>3251.0189113600004</v>
      </c>
      <c r="E466" s="2">
        <v>3153.4883440192002</v>
      </c>
      <c r="F466" s="2">
        <v>3058.883693698624</v>
      </c>
      <c r="G466" s="2">
        <v>2967.1171828876654</v>
      </c>
      <c r="H466" s="2">
        <v>2878.1036674010352</v>
      </c>
      <c r="I466" s="2">
        <v>2791.7605573790042</v>
      </c>
      <c r="J466" s="2">
        <v>2708.0077406576343</v>
      </c>
      <c r="K466" s="2">
        <v>2626.7675084379052</v>
      </c>
      <c r="L466" s="2">
        <v>2547.9644831847681</v>
      </c>
      <c r="M466" s="2">
        <v>2471.5255486892252</v>
      </c>
      <c r="N466" s="2">
        <v>2397.3797822285483</v>
      </c>
      <c r="O466" s="2">
        <v>2325.4583887616918</v>
      </c>
    </row>
    <row r="467" spans="1:15" x14ac:dyDescent="0.25">
      <c r="A467" t="s">
        <v>2149</v>
      </c>
      <c r="B467" t="s">
        <v>2150</v>
      </c>
      <c r="C467" s="2">
        <v>3335.4082960000001</v>
      </c>
      <c r="D467" s="2">
        <v>3235.3460471200001</v>
      </c>
      <c r="E467" s="2">
        <v>3138.2856657063999</v>
      </c>
      <c r="F467" s="2">
        <v>3044.1370957352078</v>
      </c>
      <c r="G467" s="2">
        <v>2952.8129828631513</v>
      </c>
      <c r="H467" s="2">
        <v>2864.2285933772569</v>
      </c>
      <c r="I467" s="2">
        <v>2778.3017355759389</v>
      </c>
      <c r="J467" s="2">
        <v>2694.9526835086608</v>
      </c>
      <c r="K467" s="2">
        <v>2614.1041030034007</v>
      </c>
      <c r="L467" s="2">
        <v>2535.6809799132984</v>
      </c>
      <c r="M467" s="2">
        <v>2459.6105505158994</v>
      </c>
      <c r="N467" s="2">
        <v>2385.8222340004222</v>
      </c>
      <c r="O467" s="2">
        <v>2314.2475669804094</v>
      </c>
    </row>
    <row r="468" spans="1:15" x14ac:dyDescent="0.25">
      <c r="A468" t="s">
        <v>2151</v>
      </c>
      <c r="B468" t="s">
        <v>2152</v>
      </c>
      <c r="C468" s="2">
        <v>3331.2530240000006</v>
      </c>
      <c r="D468" s="2">
        <v>3231.3154332800004</v>
      </c>
      <c r="E468" s="2">
        <v>3134.3759702816005</v>
      </c>
      <c r="F468" s="2">
        <v>3040.3446911731526</v>
      </c>
      <c r="G468" s="2">
        <v>2949.1343504379579</v>
      </c>
      <c r="H468" s="2">
        <v>2860.6603199248189</v>
      </c>
      <c r="I468" s="2">
        <v>2774.8405103270743</v>
      </c>
      <c r="J468" s="2">
        <v>2691.5952950172618</v>
      </c>
      <c r="K468" s="2">
        <v>2610.847436166744</v>
      </c>
      <c r="L468" s="2">
        <v>2532.5220130817415</v>
      </c>
      <c r="M468" s="2">
        <v>2456.5463526892891</v>
      </c>
      <c r="N468" s="2">
        <v>2382.8499621086103</v>
      </c>
      <c r="O468" s="2">
        <v>2311.364463245352</v>
      </c>
    </row>
    <row r="469" spans="1:15" x14ac:dyDescent="0.25">
      <c r="A469" t="s">
        <v>2153</v>
      </c>
      <c r="B469" t="s">
        <v>2154</v>
      </c>
      <c r="C469" s="2">
        <v>3329.2406620000006</v>
      </c>
      <c r="D469" s="2">
        <v>3229.3634421400006</v>
      </c>
      <c r="E469" s="2">
        <v>3132.4825388758004</v>
      </c>
      <c r="F469" s="2">
        <v>3038.5080627095263</v>
      </c>
      <c r="G469" s="2">
        <v>2947.3528208282405</v>
      </c>
      <c r="H469" s="2">
        <v>2858.9322362033931</v>
      </c>
      <c r="I469" s="2">
        <v>2773.164269117291</v>
      </c>
      <c r="J469" s="2">
        <v>2689.9693410437721</v>
      </c>
      <c r="K469" s="2">
        <v>2609.2702608124591</v>
      </c>
      <c r="L469" s="2">
        <v>2530.9921529880853</v>
      </c>
      <c r="M469" s="2">
        <v>2455.0623883984426</v>
      </c>
      <c r="N469" s="2">
        <v>2381.4105167464891</v>
      </c>
      <c r="O469" s="2">
        <v>2309.9682012440944</v>
      </c>
    </row>
    <row r="470" spans="1:15" x14ac:dyDescent="0.25">
      <c r="A470" t="s">
        <v>2155</v>
      </c>
      <c r="B470" t="s">
        <v>2156</v>
      </c>
      <c r="C470" s="2">
        <v>3327.5126720000003</v>
      </c>
      <c r="D470" s="2">
        <v>3227.6872918400004</v>
      </c>
      <c r="E470" s="2">
        <v>3130.8566730848001</v>
      </c>
      <c r="F470" s="2">
        <v>3036.9309728922562</v>
      </c>
      <c r="G470" s="2">
        <v>2945.8230437054885</v>
      </c>
      <c r="H470" s="2">
        <v>2857.4483523943236</v>
      </c>
      <c r="I470" s="2">
        <v>2771.7249018224938</v>
      </c>
      <c r="J470" s="2">
        <v>2688.5731547678188</v>
      </c>
      <c r="K470" s="2">
        <v>2607.9159601247843</v>
      </c>
      <c r="L470" s="2">
        <v>2529.6784813210406</v>
      </c>
      <c r="M470" s="2">
        <v>2453.7881268814094</v>
      </c>
      <c r="N470" s="2">
        <v>2380.1744830749672</v>
      </c>
      <c r="O470" s="2">
        <v>2308.7692485827179</v>
      </c>
    </row>
    <row r="471" spans="1:15" x14ac:dyDescent="0.25">
      <c r="A471" t="s">
        <v>2157</v>
      </c>
      <c r="B471" t="s">
        <v>2156</v>
      </c>
      <c r="C471" s="2">
        <v>3327.5126720000003</v>
      </c>
      <c r="D471" s="2">
        <v>3227.6872918400004</v>
      </c>
      <c r="E471" s="2">
        <v>3130.8566730848001</v>
      </c>
      <c r="F471" s="2">
        <v>3036.9309728922562</v>
      </c>
      <c r="G471" s="2">
        <v>2945.8230437054885</v>
      </c>
      <c r="H471" s="2">
        <v>2857.4483523943236</v>
      </c>
      <c r="I471" s="2">
        <v>2771.7249018224938</v>
      </c>
      <c r="J471" s="2">
        <v>2688.5731547678188</v>
      </c>
      <c r="K471" s="2">
        <v>2607.9159601247843</v>
      </c>
      <c r="L471" s="2">
        <v>2529.6784813210406</v>
      </c>
      <c r="M471" s="2">
        <v>2453.7881268814094</v>
      </c>
      <c r="N471" s="2">
        <v>2380.1744830749672</v>
      </c>
      <c r="O471" s="2">
        <v>2308.7692485827179</v>
      </c>
    </row>
    <row r="472" spans="1:15" x14ac:dyDescent="0.25">
      <c r="A472" t="s">
        <v>2158</v>
      </c>
      <c r="B472" t="s">
        <v>2156</v>
      </c>
      <c r="C472" s="2">
        <v>3327.5126720000003</v>
      </c>
      <c r="D472" s="2">
        <v>3227.6872918400004</v>
      </c>
      <c r="E472" s="2">
        <v>3130.8566730848001</v>
      </c>
      <c r="F472" s="2">
        <v>3036.9309728922562</v>
      </c>
      <c r="G472" s="2">
        <v>2945.8230437054885</v>
      </c>
      <c r="H472" s="2">
        <v>2857.4483523943236</v>
      </c>
      <c r="I472" s="2">
        <v>2771.7249018224938</v>
      </c>
      <c r="J472" s="2">
        <v>2688.5731547678188</v>
      </c>
      <c r="K472" s="2">
        <v>2607.9159601247843</v>
      </c>
      <c r="L472" s="2">
        <v>2529.6784813210406</v>
      </c>
      <c r="M472" s="2">
        <v>2453.7881268814094</v>
      </c>
      <c r="N472" s="2">
        <v>2380.1744830749672</v>
      </c>
      <c r="O472" s="2">
        <v>2308.7692485827179</v>
      </c>
    </row>
    <row r="473" spans="1:15" x14ac:dyDescent="0.25">
      <c r="A473" t="s">
        <v>2159</v>
      </c>
      <c r="B473" t="s">
        <v>2156</v>
      </c>
      <c r="C473" s="2">
        <v>3327.5126720000003</v>
      </c>
      <c r="D473" s="2">
        <v>3227.6872918400004</v>
      </c>
      <c r="E473" s="2">
        <v>3130.8566730848001</v>
      </c>
      <c r="F473" s="2">
        <v>3036.9309728922562</v>
      </c>
      <c r="G473" s="2">
        <v>2945.8230437054885</v>
      </c>
      <c r="H473" s="2">
        <v>2857.4483523943236</v>
      </c>
      <c r="I473" s="2">
        <v>2771.7249018224938</v>
      </c>
      <c r="J473" s="2">
        <v>2688.5731547678188</v>
      </c>
      <c r="K473" s="2">
        <v>2607.9159601247843</v>
      </c>
      <c r="L473" s="2">
        <v>2529.6784813210406</v>
      </c>
      <c r="M473" s="2">
        <v>2453.7881268814094</v>
      </c>
      <c r="N473" s="2">
        <v>2380.1744830749672</v>
      </c>
      <c r="O473" s="2">
        <v>2308.7692485827179</v>
      </c>
    </row>
    <row r="474" spans="1:15" x14ac:dyDescent="0.25">
      <c r="A474" t="s">
        <v>2160</v>
      </c>
      <c r="B474" t="s">
        <v>2156</v>
      </c>
      <c r="C474" s="2">
        <v>3327.5126720000003</v>
      </c>
      <c r="D474" s="2">
        <v>3227.6872918400004</v>
      </c>
      <c r="E474" s="2">
        <v>3130.8566730848001</v>
      </c>
      <c r="F474" s="2">
        <v>3036.9309728922562</v>
      </c>
      <c r="G474" s="2">
        <v>2945.8230437054885</v>
      </c>
      <c r="H474" s="2">
        <v>2857.4483523943236</v>
      </c>
      <c r="I474" s="2">
        <v>2771.7249018224938</v>
      </c>
      <c r="J474" s="2">
        <v>2688.5731547678188</v>
      </c>
      <c r="K474" s="2">
        <v>2607.9159601247843</v>
      </c>
      <c r="L474" s="2">
        <v>2529.6784813210406</v>
      </c>
      <c r="M474" s="2">
        <v>2453.7881268814094</v>
      </c>
      <c r="N474" s="2">
        <v>2380.1744830749672</v>
      </c>
      <c r="O474" s="2">
        <v>2308.7692485827179</v>
      </c>
    </row>
    <row r="475" spans="1:15" x14ac:dyDescent="0.25">
      <c r="A475" t="s">
        <v>2161</v>
      </c>
      <c r="B475" t="s">
        <v>2162</v>
      </c>
      <c r="C475" s="2">
        <v>3326.7840320000005</v>
      </c>
      <c r="D475" s="2">
        <v>3226.9805110400002</v>
      </c>
      <c r="E475" s="2">
        <v>3130.1710957088003</v>
      </c>
      <c r="F475" s="2">
        <v>3036.2659628375363</v>
      </c>
      <c r="G475" s="2">
        <v>2945.1779839524102</v>
      </c>
      <c r="H475" s="2">
        <v>2856.8226444338379</v>
      </c>
      <c r="I475" s="2">
        <v>2771.1179651008229</v>
      </c>
      <c r="J475" s="2">
        <v>2687.9844261477979</v>
      </c>
      <c r="K475" s="2">
        <v>2607.344893363364</v>
      </c>
      <c r="L475" s="2">
        <v>2529.1245465624629</v>
      </c>
      <c r="M475" s="2">
        <v>2453.250810165589</v>
      </c>
      <c r="N475" s="2">
        <v>2379.6532858606211</v>
      </c>
      <c r="O475" s="2">
        <v>2308.2636872848025</v>
      </c>
    </row>
    <row r="476" spans="1:15" x14ac:dyDescent="0.25">
      <c r="A476" t="s">
        <v>2163</v>
      </c>
      <c r="B476" t="s">
        <v>2164</v>
      </c>
      <c r="C476" s="2">
        <v>3321.9183360000006</v>
      </c>
      <c r="D476" s="2">
        <v>3222.2607859200007</v>
      </c>
      <c r="E476" s="2">
        <v>3125.5929623424004</v>
      </c>
      <c r="F476" s="2">
        <v>3031.8251734721284</v>
      </c>
      <c r="G476" s="2">
        <v>2940.8704182679644</v>
      </c>
      <c r="H476" s="2">
        <v>2852.6443057199253</v>
      </c>
      <c r="I476" s="2">
        <v>2767.0649765483276</v>
      </c>
      <c r="J476" s="2">
        <v>2684.0530272518777</v>
      </c>
      <c r="K476" s="2">
        <v>2603.5314364343212</v>
      </c>
      <c r="L476" s="2">
        <v>2525.4254933412917</v>
      </c>
      <c r="M476" s="2">
        <v>2449.6627285410527</v>
      </c>
      <c r="N476" s="2">
        <v>2376.1728466848213</v>
      </c>
      <c r="O476" s="2">
        <v>2304.8876612842764</v>
      </c>
    </row>
    <row r="477" spans="1:15" x14ac:dyDescent="0.25">
      <c r="A477" t="s">
        <v>2165</v>
      </c>
      <c r="B477" t="s">
        <v>2164</v>
      </c>
      <c r="C477" s="2">
        <v>3321.9183360000006</v>
      </c>
      <c r="D477" s="2">
        <v>3222.2607859200007</v>
      </c>
      <c r="E477" s="2">
        <v>3125.5929623424004</v>
      </c>
      <c r="F477" s="2">
        <v>3031.8251734721284</v>
      </c>
      <c r="G477" s="2">
        <v>2940.8704182679644</v>
      </c>
      <c r="H477" s="2">
        <v>2852.6443057199253</v>
      </c>
      <c r="I477" s="2">
        <v>2767.0649765483276</v>
      </c>
      <c r="J477" s="2">
        <v>2684.0530272518777</v>
      </c>
      <c r="K477" s="2">
        <v>2603.5314364343212</v>
      </c>
      <c r="L477" s="2">
        <v>2525.4254933412917</v>
      </c>
      <c r="M477" s="2">
        <v>2449.6627285410527</v>
      </c>
      <c r="N477" s="2">
        <v>2376.1728466848213</v>
      </c>
      <c r="O477" s="2">
        <v>2304.8876612842764</v>
      </c>
    </row>
    <row r="478" spans="1:15" x14ac:dyDescent="0.25">
      <c r="A478" t="s">
        <v>2166</v>
      </c>
      <c r="B478" t="s">
        <v>2164</v>
      </c>
      <c r="C478" s="2">
        <v>3321.9183360000006</v>
      </c>
      <c r="D478" s="2">
        <v>3222.2607859200007</v>
      </c>
      <c r="E478" s="2">
        <v>3125.5929623424004</v>
      </c>
      <c r="F478" s="2">
        <v>3031.8251734721284</v>
      </c>
      <c r="G478" s="2">
        <v>2940.8704182679644</v>
      </c>
      <c r="H478" s="2">
        <v>2852.6443057199253</v>
      </c>
      <c r="I478" s="2">
        <v>2767.0649765483276</v>
      </c>
      <c r="J478" s="2">
        <v>2684.0530272518777</v>
      </c>
      <c r="K478" s="2">
        <v>2603.5314364343212</v>
      </c>
      <c r="L478" s="2">
        <v>2525.4254933412917</v>
      </c>
      <c r="M478" s="2">
        <v>2449.6627285410527</v>
      </c>
      <c r="N478" s="2">
        <v>2376.1728466848213</v>
      </c>
      <c r="O478" s="2">
        <v>2304.8876612842764</v>
      </c>
    </row>
    <row r="479" spans="1:15" x14ac:dyDescent="0.25">
      <c r="A479" t="s">
        <v>2167</v>
      </c>
      <c r="B479" t="s">
        <v>2168</v>
      </c>
      <c r="C479" s="2">
        <v>3317.2469440000009</v>
      </c>
      <c r="D479" s="2">
        <v>3217.7295356800009</v>
      </c>
      <c r="E479" s="2">
        <v>3121.1976496096008</v>
      </c>
      <c r="F479" s="2">
        <v>3027.5617201213126</v>
      </c>
      <c r="G479" s="2">
        <v>2936.734868517673</v>
      </c>
      <c r="H479" s="2">
        <v>2848.6328224621429</v>
      </c>
      <c r="I479" s="2">
        <v>2763.1738377882784</v>
      </c>
      <c r="J479" s="2">
        <v>2680.27862265463</v>
      </c>
      <c r="K479" s="2">
        <v>2599.8702639749908</v>
      </c>
      <c r="L479" s="2">
        <v>2521.874156055741</v>
      </c>
      <c r="M479" s="2">
        <v>2446.2179313740685</v>
      </c>
      <c r="N479" s="2">
        <v>2372.8313934328462</v>
      </c>
      <c r="O479" s="2">
        <v>2301.6464516298606</v>
      </c>
    </row>
    <row r="480" spans="1:15" x14ac:dyDescent="0.25">
      <c r="A480" t="s">
        <v>2169</v>
      </c>
      <c r="B480" t="s">
        <v>2170</v>
      </c>
      <c r="C480" s="2">
        <v>3314.5266880000008</v>
      </c>
      <c r="D480" s="2">
        <v>3215.0908873600006</v>
      </c>
      <c r="E480" s="2">
        <v>3118.6381607392004</v>
      </c>
      <c r="F480" s="2">
        <v>3025.0790159170242</v>
      </c>
      <c r="G480" s="2">
        <v>2934.3266454395134</v>
      </c>
      <c r="H480" s="2">
        <v>2846.2968460763277</v>
      </c>
      <c r="I480" s="2">
        <v>2760.9079406940377</v>
      </c>
      <c r="J480" s="2">
        <v>2678.0807024732167</v>
      </c>
      <c r="K480" s="2">
        <v>2597.7382813990203</v>
      </c>
      <c r="L480" s="2">
        <v>2519.8061329570496</v>
      </c>
      <c r="M480" s="2">
        <v>2444.2119489683382</v>
      </c>
      <c r="N480" s="2">
        <v>2370.8855904992879</v>
      </c>
      <c r="O480" s="2">
        <v>2299.7590227843093</v>
      </c>
    </row>
    <row r="481" spans="1:15" x14ac:dyDescent="0.25">
      <c r="A481" t="s">
        <v>2171</v>
      </c>
      <c r="B481" t="s">
        <v>2172</v>
      </c>
      <c r="C481" s="2">
        <v>3308.2927680000007</v>
      </c>
      <c r="D481" s="2">
        <v>3209.0439849600007</v>
      </c>
      <c r="E481" s="2">
        <v>3112.7726654112007</v>
      </c>
      <c r="F481" s="2">
        <v>3019.3894854488644</v>
      </c>
      <c r="G481" s="2">
        <v>2928.8078008853986</v>
      </c>
      <c r="H481" s="2">
        <v>2840.9435668588367</v>
      </c>
      <c r="I481" s="2">
        <v>2755.7152598530715</v>
      </c>
      <c r="J481" s="2">
        <v>2673.0438020574793</v>
      </c>
      <c r="K481" s="2">
        <v>2592.8524879957549</v>
      </c>
      <c r="L481" s="2">
        <v>2515.0669133558822</v>
      </c>
      <c r="M481" s="2">
        <v>2439.6149059552058</v>
      </c>
      <c r="N481" s="2">
        <v>2366.4264587765497</v>
      </c>
      <c r="O481" s="2">
        <v>2295.4336650132532</v>
      </c>
    </row>
    <row r="482" spans="1:15" x14ac:dyDescent="0.25">
      <c r="A482" t="s">
        <v>2173</v>
      </c>
      <c r="B482" t="s">
        <v>2174</v>
      </c>
      <c r="C482" s="2">
        <v>3307.6324380000005</v>
      </c>
      <c r="D482" s="2">
        <v>3208.4034648600004</v>
      </c>
      <c r="E482" s="2">
        <v>3112.1513609142003</v>
      </c>
      <c r="F482" s="2">
        <v>3018.7868200867742</v>
      </c>
      <c r="G482" s="2">
        <v>2928.2232154841709</v>
      </c>
      <c r="H482" s="2">
        <v>2840.3765190196455</v>
      </c>
      <c r="I482" s="2">
        <v>2755.1652234490562</v>
      </c>
      <c r="J482" s="2">
        <v>2672.5102667455844</v>
      </c>
      <c r="K482" s="2">
        <v>2592.3349587432167</v>
      </c>
      <c r="L482" s="2">
        <v>2514.5649099809202</v>
      </c>
      <c r="M482" s="2">
        <v>2439.1279626814926</v>
      </c>
      <c r="N482" s="2">
        <v>2365.9541238010479</v>
      </c>
      <c r="O482" s="2">
        <v>2294.9755000870164</v>
      </c>
    </row>
    <row r="483" spans="1:15" x14ac:dyDescent="0.25">
      <c r="A483" t="s">
        <v>2175</v>
      </c>
      <c r="B483" t="s">
        <v>2176</v>
      </c>
      <c r="C483" s="2">
        <v>3307.0302980000001</v>
      </c>
      <c r="D483" s="2">
        <v>3207.81938906</v>
      </c>
      <c r="E483" s="2">
        <v>3111.5848073881998</v>
      </c>
      <c r="F483" s="2">
        <v>3018.2372631665539</v>
      </c>
      <c r="G483" s="2">
        <v>2927.6901452715574</v>
      </c>
      <c r="H483" s="2">
        <v>2839.8594409134107</v>
      </c>
      <c r="I483" s="2">
        <v>2754.6636576860083</v>
      </c>
      <c r="J483" s="2">
        <v>2672.023747955428</v>
      </c>
      <c r="K483" s="2">
        <v>2591.8630355167652</v>
      </c>
      <c r="L483" s="2">
        <v>2514.1071444512622</v>
      </c>
      <c r="M483" s="2">
        <v>2438.6839301177242</v>
      </c>
      <c r="N483" s="2">
        <v>2365.5234122141924</v>
      </c>
      <c r="O483" s="2">
        <v>2294.5577098477665</v>
      </c>
    </row>
    <row r="484" spans="1:15" x14ac:dyDescent="0.25">
      <c r="A484" t="s">
        <v>2177</v>
      </c>
      <c r="B484" t="s">
        <v>2178</v>
      </c>
      <c r="C484" s="2">
        <v>3304.6991560000001</v>
      </c>
      <c r="D484" s="2">
        <v>3205.5581813200001</v>
      </c>
      <c r="E484" s="2">
        <v>3109.3914358804</v>
      </c>
      <c r="F484" s="2">
        <v>3016.1096928039879</v>
      </c>
      <c r="G484" s="2">
        <v>2925.6264020198682</v>
      </c>
      <c r="H484" s="2">
        <v>2837.8576099592719</v>
      </c>
      <c r="I484" s="2">
        <v>2752.7218816604936</v>
      </c>
      <c r="J484" s="2">
        <v>2670.1402252106786</v>
      </c>
      <c r="K484" s="2">
        <v>2590.0360184543583</v>
      </c>
      <c r="L484" s="2">
        <v>2512.3349379007277</v>
      </c>
      <c r="M484" s="2">
        <v>2436.9648897637057</v>
      </c>
      <c r="N484" s="2">
        <v>2363.8559430707946</v>
      </c>
      <c r="O484" s="2">
        <v>2292.9402647786706</v>
      </c>
    </row>
    <row r="485" spans="1:15" x14ac:dyDescent="0.25">
      <c r="A485" t="s">
        <v>2179</v>
      </c>
      <c r="B485" t="s">
        <v>2180</v>
      </c>
      <c r="C485" s="2">
        <v>3303.443264</v>
      </c>
      <c r="D485" s="2">
        <v>3204.3399660800001</v>
      </c>
      <c r="E485" s="2">
        <v>3108.2097670976</v>
      </c>
      <c r="F485" s="2">
        <v>3014.9634740846718</v>
      </c>
      <c r="G485" s="2">
        <v>2924.5145698621318</v>
      </c>
      <c r="H485" s="2">
        <v>2836.7791327662676</v>
      </c>
      <c r="I485" s="2">
        <v>2751.6757587832794</v>
      </c>
      <c r="J485" s="2">
        <v>2669.125486019781</v>
      </c>
      <c r="K485" s="2">
        <v>2589.0517214391875</v>
      </c>
      <c r="L485" s="2">
        <v>2511.3801697960116</v>
      </c>
      <c r="M485" s="2">
        <v>2436.0387647021312</v>
      </c>
      <c r="N485" s="2">
        <v>2362.9576017610671</v>
      </c>
      <c r="O485" s="2">
        <v>2292.0688737082351</v>
      </c>
    </row>
    <row r="486" spans="1:15" x14ac:dyDescent="0.25">
      <c r="A486" t="s">
        <v>2181</v>
      </c>
      <c r="B486" t="s">
        <v>2182</v>
      </c>
      <c r="C486" s="2">
        <v>3302.2774400000008</v>
      </c>
      <c r="D486" s="2">
        <v>3203.2091168000006</v>
      </c>
      <c r="E486" s="2">
        <v>3107.1128432960004</v>
      </c>
      <c r="F486" s="2">
        <v>3013.8994579971204</v>
      </c>
      <c r="G486" s="2">
        <v>2923.4824742572068</v>
      </c>
      <c r="H486" s="2">
        <v>2835.7780000294906</v>
      </c>
      <c r="I486" s="2">
        <v>2750.7046600286058</v>
      </c>
      <c r="J486" s="2">
        <v>2668.1835202277475</v>
      </c>
      <c r="K486" s="2">
        <v>2588.1380146209149</v>
      </c>
      <c r="L486" s="2">
        <v>2510.4938741822875</v>
      </c>
      <c r="M486" s="2">
        <v>2435.1790579568187</v>
      </c>
      <c r="N486" s="2">
        <v>2362.123686218114</v>
      </c>
      <c r="O486" s="2">
        <v>2291.2599756315703</v>
      </c>
    </row>
    <row r="487" spans="1:15" x14ac:dyDescent="0.25">
      <c r="A487" t="s">
        <v>2183</v>
      </c>
      <c r="B487" t="s">
        <v>2184</v>
      </c>
      <c r="C487" s="2">
        <v>3299.9250459999998</v>
      </c>
      <c r="D487" s="2">
        <v>3200.9272946199999</v>
      </c>
      <c r="E487" s="2">
        <v>3104.8994757813998</v>
      </c>
      <c r="F487" s="2">
        <v>3011.7524915079575</v>
      </c>
      <c r="G487" s="2">
        <v>2921.3999167627189</v>
      </c>
      <c r="H487" s="2">
        <v>2833.7579192598373</v>
      </c>
      <c r="I487" s="2">
        <v>2748.7451816820421</v>
      </c>
      <c r="J487" s="2">
        <v>2666.2828262315807</v>
      </c>
      <c r="K487" s="2">
        <v>2586.2943414446331</v>
      </c>
      <c r="L487" s="2">
        <v>2508.705511201294</v>
      </c>
      <c r="M487" s="2">
        <v>2433.4443458652549</v>
      </c>
      <c r="N487" s="2">
        <v>2360.4410154892971</v>
      </c>
      <c r="O487" s="2">
        <v>2289.6277850246183</v>
      </c>
    </row>
    <row r="488" spans="1:15" x14ac:dyDescent="0.25">
      <c r="A488" t="s">
        <v>2185</v>
      </c>
      <c r="B488" t="s">
        <v>2186</v>
      </c>
      <c r="C488" s="2">
        <v>3294.1895360000008</v>
      </c>
      <c r="D488" s="2">
        <v>3195.3638499200006</v>
      </c>
      <c r="E488" s="2">
        <v>3099.5029344224004</v>
      </c>
      <c r="F488" s="2">
        <v>3006.5178463897282</v>
      </c>
      <c r="G488" s="2">
        <v>2916.3223109980363</v>
      </c>
      <c r="H488" s="2">
        <v>2828.8326416680952</v>
      </c>
      <c r="I488" s="2">
        <v>2743.9676624180524</v>
      </c>
      <c r="J488" s="2">
        <v>2661.6486325455107</v>
      </c>
      <c r="K488" s="2">
        <v>2581.7991735691453</v>
      </c>
      <c r="L488" s="2">
        <v>2504.3451983620707</v>
      </c>
      <c r="M488" s="2">
        <v>2429.2148424112083</v>
      </c>
      <c r="N488" s="2">
        <v>2356.3383971388721</v>
      </c>
      <c r="O488" s="2">
        <v>2285.648245224706</v>
      </c>
    </row>
    <row r="489" spans="1:15" x14ac:dyDescent="0.25">
      <c r="A489" t="s">
        <v>2187</v>
      </c>
      <c r="B489" t="s">
        <v>2188</v>
      </c>
      <c r="C489" s="2">
        <v>3292.7970240000009</v>
      </c>
      <c r="D489" s="2">
        <v>3194.0131132800007</v>
      </c>
      <c r="E489" s="2">
        <v>3098.1927198816006</v>
      </c>
      <c r="F489" s="2">
        <v>3005.2469382851527</v>
      </c>
      <c r="G489" s="2">
        <v>2915.0895301365981</v>
      </c>
      <c r="H489" s="2">
        <v>2827.6368442325002</v>
      </c>
      <c r="I489" s="2">
        <v>2742.8077389055252</v>
      </c>
      <c r="J489" s="2">
        <v>2660.5235067383592</v>
      </c>
      <c r="K489" s="2">
        <v>2580.7078015362085</v>
      </c>
      <c r="L489" s="2">
        <v>2503.2865674901223</v>
      </c>
      <c r="M489" s="2">
        <v>2428.1879704654184</v>
      </c>
      <c r="N489" s="2">
        <v>2355.3423313514559</v>
      </c>
      <c r="O489" s="2">
        <v>2284.682061410912</v>
      </c>
    </row>
    <row r="490" spans="1:15" x14ac:dyDescent="0.25">
      <c r="A490" t="s">
        <v>1095</v>
      </c>
      <c r="B490" t="s">
        <v>1205</v>
      </c>
      <c r="C490" s="2">
        <v>3286.5747420000007</v>
      </c>
      <c r="D490" s="2">
        <v>3187.9774997400004</v>
      </c>
      <c r="E490" s="2">
        <v>3092.3381747478002</v>
      </c>
      <c r="F490" s="2">
        <v>2999.5680295053662</v>
      </c>
      <c r="G490" s="2">
        <v>2909.5809886202051</v>
      </c>
      <c r="H490" s="2">
        <v>2822.293558961599</v>
      </c>
      <c r="I490" s="2">
        <v>2737.6247521927512</v>
      </c>
      <c r="J490" s="2">
        <v>2655.4960096269688</v>
      </c>
      <c r="K490" s="2">
        <v>2575.8311293381598</v>
      </c>
      <c r="L490" s="2">
        <v>2498.5561954580148</v>
      </c>
      <c r="M490" s="2">
        <v>2423.5995095942744</v>
      </c>
      <c r="N490" s="2">
        <v>2350.8915243064462</v>
      </c>
      <c r="O490" s="2">
        <v>2280.3647785772528</v>
      </c>
    </row>
    <row r="491" spans="1:15" x14ac:dyDescent="0.25">
      <c r="A491" t="s">
        <v>2189</v>
      </c>
      <c r="B491" t="s">
        <v>2190</v>
      </c>
      <c r="C491" s="2">
        <v>3279.5383060000008</v>
      </c>
      <c r="D491" s="2">
        <v>3181.1521568200005</v>
      </c>
      <c r="E491" s="2">
        <v>3085.7175921154003</v>
      </c>
      <c r="F491" s="2">
        <v>2993.1460643519381</v>
      </c>
      <c r="G491" s="2">
        <v>2903.3516824213798</v>
      </c>
      <c r="H491" s="2">
        <v>2816.2511319487385</v>
      </c>
      <c r="I491" s="2">
        <v>2731.7635979902761</v>
      </c>
      <c r="J491" s="2">
        <v>2649.8106900505677</v>
      </c>
      <c r="K491" s="2">
        <v>2570.3163693490505</v>
      </c>
      <c r="L491" s="2">
        <v>2493.2068782685787</v>
      </c>
      <c r="M491" s="2">
        <v>2418.4106719205215</v>
      </c>
      <c r="N491" s="2">
        <v>2345.8583517629058</v>
      </c>
      <c r="O491" s="2">
        <v>2275.4826012100184</v>
      </c>
    </row>
    <row r="492" spans="1:15" x14ac:dyDescent="0.25">
      <c r="A492" t="s">
        <v>2191</v>
      </c>
      <c r="B492" t="s">
        <v>2192</v>
      </c>
      <c r="C492" s="2">
        <v>3277.9555380000006</v>
      </c>
      <c r="D492" s="2">
        <v>3179.6168718600006</v>
      </c>
      <c r="E492" s="2">
        <v>3084.2283657042003</v>
      </c>
      <c r="F492" s="2">
        <v>2991.7015147330744</v>
      </c>
      <c r="G492" s="2">
        <v>2901.9504692910823</v>
      </c>
      <c r="H492" s="2">
        <v>2814.8919552123498</v>
      </c>
      <c r="I492" s="2">
        <v>2730.4451965559792</v>
      </c>
      <c r="J492" s="2">
        <v>2648.5318406592996</v>
      </c>
      <c r="K492" s="2">
        <v>2569.0758854395208</v>
      </c>
      <c r="L492" s="2">
        <v>2492.003608876335</v>
      </c>
      <c r="M492" s="2">
        <v>2417.243500610045</v>
      </c>
      <c r="N492" s="2">
        <v>2344.7261955917434</v>
      </c>
      <c r="O492" s="2">
        <v>2274.3844097239912</v>
      </c>
    </row>
    <row r="493" spans="1:15" x14ac:dyDescent="0.25">
      <c r="A493" t="s">
        <v>2193</v>
      </c>
      <c r="B493" t="s">
        <v>2194</v>
      </c>
      <c r="C493" s="2">
        <v>3276.6778880000006</v>
      </c>
      <c r="D493" s="2">
        <v>3178.3775513600003</v>
      </c>
      <c r="E493" s="2">
        <v>3083.0262248192003</v>
      </c>
      <c r="F493" s="2">
        <v>2990.5354380746244</v>
      </c>
      <c r="G493" s="2">
        <v>2900.8193749323855</v>
      </c>
      <c r="H493" s="2">
        <v>2813.7947936844139</v>
      </c>
      <c r="I493" s="2">
        <v>2729.3809498738815</v>
      </c>
      <c r="J493" s="2">
        <v>2647.4995213776651</v>
      </c>
      <c r="K493" s="2">
        <v>2568.0745357363353</v>
      </c>
      <c r="L493" s="2">
        <v>2491.0322996642453</v>
      </c>
      <c r="M493" s="2">
        <v>2416.3013306743178</v>
      </c>
      <c r="N493" s="2">
        <v>2343.8122907540883</v>
      </c>
      <c r="O493" s="2">
        <v>2273.4979220314654</v>
      </c>
    </row>
    <row r="494" spans="1:15" x14ac:dyDescent="0.25">
      <c r="A494" t="s">
        <v>2195</v>
      </c>
      <c r="B494" t="s">
        <v>2196</v>
      </c>
      <c r="C494" s="2">
        <v>3275.3233260000006</v>
      </c>
      <c r="D494" s="2">
        <v>3177.0636262200005</v>
      </c>
      <c r="E494" s="2">
        <v>3081.7517174334002</v>
      </c>
      <c r="F494" s="2">
        <v>2989.2991659103982</v>
      </c>
      <c r="G494" s="2">
        <v>2899.6201909330862</v>
      </c>
      <c r="H494" s="2">
        <v>2812.6315852050934</v>
      </c>
      <c r="I494" s="2">
        <v>2728.2526376489404</v>
      </c>
      <c r="J494" s="2">
        <v>2646.4050585194723</v>
      </c>
      <c r="K494" s="2">
        <v>2567.0129067638882</v>
      </c>
      <c r="L494" s="2">
        <v>2490.0025195609715</v>
      </c>
      <c r="M494" s="2">
        <v>2415.3024439741421</v>
      </c>
      <c r="N494" s="2">
        <v>2342.8433706549176</v>
      </c>
      <c r="O494" s="2">
        <v>2272.5580695352701</v>
      </c>
    </row>
    <row r="495" spans="1:15" x14ac:dyDescent="0.25">
      <c r="A495" t="s">
        <v>2197</v>
      </c>
      <c r="B495" t="s">
        <v>2198</v>
      </c>
      <c r="C495" s="2">
        <v>3274.8158080000012</v>
      </c>
      <c r="D495" s="2">
        <v>3176.5713337600009</v>
      </c>
      <c r="E495" s="2">
        <v>3081.274193747201</v>
      </c>
      <c r="F495" s="2">
        <v>2988.835967934785</v>
      </c>
      <c r="G495" s="2">
        <v>2899.1708888967414</v>
      </c>
      <c r="H495" s="2">
        <v>2812.1957622298391</v>
      </c>
      <c r="I495" s="2">
        <v>2727.829889362944</v>
      </c>
      <c r="J495" s="2">
        <v>2645.9949926820555</v>
      </c>
      <c r="K495" s="2">
        <v>2566.6151429015936</v>
      </c>
      <c r="L495" s="2">
        <v>2489.6166886145456</v>
      </c>
      <c r="M495" s="2">
        <v>2414.928187956109</v>
      </c>
      <c r="N495" s="2">
        <v>2342.4803423174258</v>
      </c>
      <c r="O495" s="2">
        <v>2272.2059320479029</v>
      </c>
    </row>
    <row r="496" spans="1:15" x14ac:dyDescent="0.25">
      <c r="A496" t="s">
        <v>2199</v>
      </c>
      <c r="B496" t="s">
        <v>2200</v>
      </c>
      <c r="C496" s="2">
        <v>3273.3990080000003</v>
      </c>
      <c r="D496" s="2">
        <v>3175.1970377600001</v>
      </c>
      <c r="E496" s="2">
        <v>3079.9411266272</v>
      </c>
      <c r="F496" s="2">
        <v>2987.5428928283841</v>
      </c>
      <c r="G496" s="2">
        <v>2897.9166060435323</v>
      </c>
      <c r="H496" s="2">
        <v>2810.9791078622261</v>
      </c>
      <c r="I496" s="2">
        <v>2726.6497346263591</v>
      </c>
      <c r="J496" s="2">
        <v>2644.8502425875681</v>
      </c>
      <c r="K496" s="2">
        <v>2565.5047353099412</v>
      </c>
      <c r="L496" s="2">
        <v>2488.5395932506431</v>
      </c>
      <c r="M496" s="2">
        <v>2413.8834054531235</v>
      </c>
      <c r="N496" s="2">
        <v>2341.4669032895299</v>
      </c>
      <c r="O496" s="2">
        <v>2271.222896190844</v>
      </c>
    </row>
    <row r="497" spans="1:15" x14ac:dyDescent="0.25">
      <c r="A497" t="s">
        <v>2201</v>
      </c>
      <c r="B497" t="s">
        <v>2202</v>
      </c>
      <c r="C497" s="2">
        <v>3271.2373760000005</v>
      </c>
      <c r="D497" s="2">
        <v>3173.1002547200005</v>
      </c>
      <c r="E497" s="2">
        <v>3077.9072470784004</v>
      </c>
      <c r="F497" s="2">
        <v>2985.5700296660484</v>
      </c>
      <c r="G497" s="2">
        <v>2896.0029287760667</v>
      </c>
      <c r="H497" s="2">
        <v>2809.1228409127848</v>
      </c>
      <c r="I497" s="2">
        <v>2724.849155685401</v>
      </c>
      <c r="J497" s="2">
        <v>2643.1036810148389</v>
      </c>
      <c r="K497" s="2">
        <v>2563.8105705843936</v>
      </c>
      <c r="L497" s="2">
        <v>2486.8962534668617</v>
      </c>
      <c r="M497" s="2">
        <v>2412.2893658628559</v>
      </c>
      <c r="N497" s="2">
        <v>2339.9206848869703</v>
      </c>
      <c r="O497" s="2">
        <v>2269.7230643403614</v>
      </c>
    </row>
    <row r="498" spans="1:15" x14ac:dyDescent="0.25">
      <c r="A498" t="s">
        <v>2203</v>
      </c>
      <c r="B498" t="s">
        <v>2204</v>
      </c>
      <c r="C498" s="2">
        <v>3270.8072760000005</v>
      </c>
      <c r="D498" s="2">
        <v>3172.6830577200003</v>
      </c>
      <c r="E498" s="2">
        <v>3077.5025659884004</v>
      </c>
      <c r="F498" s="2">
        <v>2985.1774890087481</v>
      </c>
      <c r="G498" s="2">
        <v>2895.6221643384856</v>
      </c>
      <c r="H498" s="2">
        <v>2808.7534994083308</v>
      </c>
      <c r="I498" s="2">
        <v>2724.4908944260806</v>
      </c>
      <c r="J498" s="2">
        <v>2642.756167593298</v>
      </c>
      <c r="K498" s="2">
        <v>2563.4734825654991</v>
      </c>
      <c r="L498" s="2">
        <v>2486.5692780885342</v>
      </c>
      <c r="M498" s="2">
        <v>2411.9721997458782</v>
      </c>
      <c r="N498" s="2">
        <v>2339.6130337535019</v>
      </c>
      <c r="O498" s="2">
        <v>2269.4246427408966</v>
      </c>
    </row>
    <row r="499" spans="1:15" x14ac:dyDescent="0.25">
      <c r="A499" t="s">
        <v>2205</v>
      </c>
      <c r="B499" t="s">
        <v>2206</v>
      </c>
      <c r="C499" s="2">
        <v>3264.8632940000002</v>
      </c>
      <c r="D499" s="2">
        <v>3166.9173951800003</v>
      </c>
      <c r="E499" s="2">
        <v>3071.9098733246001</v>
      </c>
      <c r="F499" s="2">
        <v>2979.752577124862</v>
      </c>
      <c r="G499" s="2">
        <v>2890.3599998111163</v>
      </c>
      <c r="H499" s="2">
        <v>2803.6491998167826</v>
      </c>
      <c r="I499" s="2">
        <v>2719.539723822279</v>
      </c>
      <c r="J499" s="2">
        <v>2637.9535321076105</v>
      </c>
      <c r="K499" s="2">
        <v>2558.8149261443823</v>
      </c>
      <c r="L499" s="2">
        <v>2482.0504783600509</v>
      </c>
      <c r="M499" s="2">
        <v>2407.5889640092491</v>
      </c>
      <c r="N499" s="2">
        <v>2335.3612950889715</v>
      </c>
      <c r="O499" s="2">
        <v>2265.3004562363021</v>
      </c>
    </row>
    <row r="500" spans="1:15" x14ac:dyDescent="0.25">
      <c r="A500" t="s">
        <v>2207</v>
      </c>
      <c r="B500" t="s">
        <v>2208</v>
      </c>
      <c r="C500" s="2">
        <v>3260.9230720000005</v>
      </c>
      <c r="D500" s="2">
        <v>3163.0953798400005</v>
      </c>
      <c r="E500" s="2">
        <v>3068.2025184448003</v>
      </c>
      <c r="F500" s="2">
        <v>2976.1564428914562</v>
      </c>
      <c r="G500" s="2">
        <v>2886.8717496047125</v>
      </c>
      <c r="H500" s="2">
        <v>2800.2655971165709</v>
      </c>
      <c r="I500" s="2">
        <v>2716.2576292030735</v>
      </c>
      <c r="J500" s="2">
        <v>2634.7699003269813</v>
      </c>
      <c r="K500" s="2">
        <v>2555.7268033171717</v>
      </c>
      <c r="L500" s="2">
        <v>2479.0549992176566</v>
      </c>
      <c r="M500" s="2">
        <v>2404.683349241127</v>
      </c>
      <c r="N500" s="2">
        <v>2332.5428487638933</v>
      </c>
      <c r="O500" s="2">
        <v>2262.5665633009762</v>
      </c>
    </row>
    <row r="501" spans="1:15" x14ac:dyDescent="0.25">
      <c r="A501" t="s">
        <v>2209</v>
      </c>
      <c r="B501" t="s">
        <v>2190</v>
      </c>
      <c r="C501" s="2">
        <v>3259.452636</v>
      </c>
      <c r="D501" s="2">
        <v>3161.66905692</v>
      </c>
      <c r="E501" s="2">
        <v>3066.8189852124001</v>
      </c>
      <c r="F501" s="2">
        <v>2974.8144156560279</v>
      </c>
      <c r="G501" s="2">
        <v>2885.5699831863471</v>
      </c>
      <c r="H501" s="2">
        <v>2799.0028836907568</v>
      </c>
      <c r="I501" s="2">
        <v>2715.0327971800339</v>
      </c>
      <c r="J501" s="2">
        <v>2633.5818132646327</v>
      </c>
      <c r="K501" s="2">
        <v>2554.5743588666937</v>
      </c>
      <c r="L501" s="2">
        <v>2477.9371281006929</v>
      </c>
      <c r="M501" s="2">
        <v>2403.599014257672</v>
      </c>
      <c r="N501" s="2">
        <v>2331.4910438299416</v>
      </c>
      <c r="O501" s="2">
        <v>2261.5463125150432</v>
      </c>
    </row>
    <row r="502" spans="1:15" x14ac:dyDescent="0.25">
      <c r="A502" t="s">
        <v>2210</v>
      </c>
      <c r="B502" t="s">
        <v>2211</v>
      </c>
      <c r="C502" s="2">
        <v>3258.5995200000007</v>
      </c>
      <c r="D502" s="2">
        <v>3160.8415344000005</v>
      </c>
      <c r="E502" s="2">
        <v>3066.0162883680005</v>
      </c>
      <c r="F502" s="2">
        <v>2974.0357997169604</v>
      </c>
      <c r="G502" s="2">
        <v>2884.8147257254514</v>
      </c>
      <c r="H502" s="2">
        <v>2798.2702839536878</v>
      </c>
      <c r="I502" s="2">
        <v>2714.322175435077</v>
      </c>
      <c r="J502" s="2">
        <v>2632.8925101720247</v>
      </c>
      <c r="K502" s="2">
        <v>2553.9057348668639</v>
      </c>
      <c r="L502" s="2">
        <v>2477.2885628208578</v>
      </c>
      <c r="M502" s="2">
        <v>2402.969905936232</v>
      </c>
      <c r="N502" s="2">
        <v>2330.8808087581451</v>
      </c>
      <c r="O502" s="2">
        <v>2260.9543844954005</v>
      </c>
    </row>
    <row r="503" spans="1:15" x14ac:dyDescent="0.25">
      <c r="A503" t="s">
        <v>2212</v>
      </c>
      <c r="B503" t="s">
        <v>2213</v>
      </c>
      <c r="C503" s="2">
        <v>3249.525928</v>
      </c>
      <c r="D503" s="2">
        <v>3152.0401501599999</v>
      </c>
      <c r="E503" s="2">
        <v>3057.4789456551998</v>
      </c>
      <c r="F503" s="2">
        <v>2965.7545772855437</v>
      </c>
      <c r="G503" s="2">
        <v>2876.7819399669775</v>
      </c>
      <c r="H503" s="2">
        <v>2790.4784817679679</v>
      </c>
      <c r="I503" s="2">
        <v>2706.7641273149288</v>
      </c>
      <c r="J503" s="2">
        <v>2625.5612034954811</v>
      </c>
      <c r="K503" s="2">
        <v>2546.7943673906166</v>
      </c>
      <c r="L503" s="2">
        <v>2470.3905363688982</v>
      </c>
      <c r="M503" s="2">
        <v>2396.2788202778311</v>
      </c>
      <c r="N503" s="2">
        <v>2324.3904556694961</v>
      </c>
      <c r="O503" s="2">
        <v>2254.6587419994112</v>
      </c>
    </row>
    <row r="504" spans="1:15" x14ac:dyDescent="0.25">
      <c r="A504" t="s">
        <v>2214</v>
      </c>
      <c r="B504" t="s">
        <v>2215</v>
      </c>
      <c r="C504" s="2">
        <v>3246.7307840000003</v>
      </c>
      <c r="D504" s="2">
        <v>3149.32886048</v>
      </c>
      <c r="E504" s="2">
        <v>3054.8489946656</v>
      </c>
      <c r="F504" s="2">
        <v>2963.203524825632</v>
      </c>
      <c r="G504" s="2">
        <v>2874.3074190808629</v>
      </c>
      <c r="H504" s="2">
        <v>2788.078196508437</v>
      </c>
      <c r="I504" s="2">
        <v>2704.4358506131839</v>
      </c>
      <c r="J504" s="2">
        <v>2623.3027750947881</v>
      </c>
      <c r="K504" s="2">
        <v>2544.6036918419445</v>
      </c>
      <c r="L504" s="2">
        <v>2468.2655810866863</v>
      </c>
      <c r="M504" s="2">
        <v>2394.2176136540857</v>
      </c>
      <c r="N504" s="2">
        <v>2322.3910852444628</v>
      </c>
      <c r="O504" s="2">
        <v>2252.7193526871288</v>
      </c>
    </row>
    <row r="505" spans="1:15" x14ac:dyDescent="0.25">
      <c r="A505" t="s">
        <v>2216</v>
      </c>
      <c r="B505" t="s">
        <v>2217</v>
      </c>
      <c r="C505" s="2">
        <v>3245.5518040000002</v>
      </c>
      <c r="D505" s="2">
        <v>3148.1852498799999</v>
      </c>
      <c r="E505" s="2">
        <v>3053.7396923836</v>
      </c>
      <c r="F505" s="2">
        <v>2962.1275016120917</v>
      </c>
      <c r="G505" s="2">
        <v>2873.2636765637289</v>
      </c>
      <c r="H505" s="2">
        <v>2787.0657662668168</v>
      </c>
      <c r="I505" s="2">
        <v>2703.4537932788121</v>
      </c>
      <c r="J505" s="2">
        <v>2622.3501794804479</v>
      </c>
      <c r="K505" s="2">
        <v>2543.6796740960344</v>
      </c>
      <c r="L505" s="2">
        <v>2467.3692838731531</v>
      </c>
      <c r="M505" s="2">
        <v>2393.3482053569583</v>
      </c>
      <c r="N505" s="2">
        <v>2321.5477591962494</v>
      </c>
      <c r="O505" s="2">
        <v>2251.9013264203618</v>
      </c>
    </row>
    <row r="506" spans="1:15" x14ac:dyDescent="0.25">
      <c r="A506" t="s">
        <v>2218</v>
      </c>
      <c r="B506" t="s">
        <v>2219</v>
      </c>
      <c r="C506" s="2">
        <v>3237.7037440000004</v>
      </c>
      <c r="D506" s="2">
        <v>3140.5726316800001</v>
      </c>
      <c r="E506" s="2">
        <v>3046.3554527296001</v>
      </c>
      <c r="F506" s="2">
        <v>2954.9647891477121</v>
      </c>
      <c r="G506" s="2">
        <v>2866.3158454732807</v>
      </c>
      <c r="H506" s="2">
        <v>2780.3263701090823</v>
      </c>
      <c r="I506" s="2">
        <v>2696.9165790058096</v>
      </c>
      <c r="J506" s="2">
        <v>2616.0090816356351</v>
      </c>
      <c r="K506" s="2">
        <v>2537.5288091865659</v>
      </c>
      <c r="L506" s="2">
        <v>2461.4029449109689</v>
      </c>
      <c r="M506" s="2">
        <v>2387.5608565636398</v>
      </c>
      <c r="N506" s="2">
        <v>2315.9340308667306</v>
      </c>
      <c r="O506" s="2">
        <v>2246.4560099407286</v>
      </c>
    </row>
    <row r="507" spans="1:15" x14ac:dyDescent="0.25">
      <c r="A507" t="s">
        <v>2220</v>
      </c>
      <c r="B507" t="s">
        <v>2221</v>
      </c>
      <c r="C507" s="2">
        <v>3235.5476779999999</v>
      </c>
      <c r="D507" s="2">
        <v>3138.48124766</v>
      </c>
      <c r="E507" s="2">
        <v>3044.3268102302</v>
      </c>
      <c r="F507" s="2">
        <v>2952.9970059232937</v>
      </c>
      <c r="G507" s="2">
        <v>2864.4070957455947</v>
      </c>
      <c r="H507" s="2">
        <v>2778.4748828732268</v>
      </c>
      <c r="I507" s="2">
        <v>2695.1206363870297</v>
      </c>
      <c r="J507" s="2">
        <v>2614.2670172954186</v>
      </c>
      <c r="K507" s="2">
        <v>2535.8390067765558</v>
      </c>
      <c r="L507" s="2">
        <v>2459.7638365732591</v>
      </c>
      <c r="M507" s="2">
        <v>2385.9709214760614</v>
      </c>
      <c r="N507" s="2">
        <v>2314.3917938317795</v>
      </c>
      <c r="O507" s="2">
        <v>2244.960040016826</v>
      </c>
    </row>
    <row r="508" spans="1:15" x14ac:dyDescent="0.25">
      <c r="A508" t="s">
        <v>2222</v>
      </c>
      <c r="B508" t="s">
        <v>2223</v>
      </c>
      <c r="C508" s="2">
        <v>3234.6353600000007</v>
      </c>
      <c r="D508" s="2">
        <v>3137.5962992000004</v>
      </c>
      <c r="E508" s="2">
        <v>3043.4684102240003</v>
      </c>
      <c r="F508" s="2">
        <v>2952.1643579172801</v>
      </c>
      <c r="G508" s="2">
        <v>2863.5994271797617</v>
      </c>
      <c r="H508" s="2">
        <v>2777.6914443643686</v>
      </c>
      <c r="I508" s="2">
        <v>2694.3607010334376</v>
      </c>
      <c r="J508" s="2">
        <v>2613.5298800024343</v>
      </c>
      <c r="K508" s="2">
        <v>2535.123983602361</v>
      </c>
      <c r="L508" s="2">
        <v>2459.07026409429</v>
      </c>
      <c r="M508" s="2">
        <v>2385.2981561714614</v>
      </c>
      <c r="N508" s="2">
        <v>2313.7392114863173</v>
      </c>
      <c r="O508" s="2">
        <v>2244.3270351417277</v>
      </c>
    </row>
    <row r="509" spans="1:15" x14ac:dyDescent="0.25">
      <c r="A509" t="s">
        <v>2224</v>
      </c>
      <c r="B509" t="s">
        <v>2225</v>
      </c>
      <c r="C509" s="2">
        <v>3234.1738880000007</v>
      </c>
      <c r="D509" s="2">
        <v>3137.1486713600007</v>
      </c>
      <c r="E509" s="2">
        <v>3043.0342112192006</v>
      </c>
      <c r="F509" s="2">
        <v>2951.7431848826245</v>
      </c>
      <c r="G509" s="2">
        <v>2863.1908893361456</v>
      </c>
      <c r="H509" s="2">
        <v>2777.2951626560612</v>
      </c>
      <c r="I509" s="2">
        <v>2693.9763077763791</v>
      </c>
      <c r="J509" s="2">
        <v>2613.1570185430878</v>
      </c>
      <c r="K509" s="2">
        <v>2534.7623079867949</v>
      </c>
      <c r="L509" s="2">
        <v>2458.7194387471909</v>
      </c>
      <c r="M509" s="2">
        <v>2384.9578555847752</v>
      </c>
      <c r="N509" s="2">
        <v>2313.4091199172317</v>
      </c>
      <c r="O509" s="2">
        <v>2244.0068463197149</v>
      </c>
    </row>
    <row r="510" spans="1:15" x14ac:dyDescent="0.25">
      <c r="A510" t="s">
        <v>2226</v>
      </c>
      <c r="B510" t="s">
        <v>2227</v>
      </c>
      <c r="C510" s="2">
        <v>3234.1738880000007</v>
      </c>
      <c r="D510" s="2">
        <v>3137.1486713600007</v>
      </c>
      <c r="E510" s="2">
        <v>3043.0342112192006</v>
      </c>
      <c r="F510" s="2">
        <v>2951.7431848826245</v>
      </c>
      <c r="G510" s="2">
        <v>2863.1908893361456</v>
      </c>
      <c r="H510" s="2">
        <v>2777.2951626560612</v>
      </c>
      <c r="I510" s="2">
        <v>2693.9763077763791</v>
      </c>
      <c r="J510" s="2">
        <v>2613.1570185430878</v>
      </c>
      <c r="K510" s="2">
        <v>2534.7623079867949</v>
      </c>
      <c r="L510" s="2">
        <v>2458.7194387471909</v>
      </c>
      <c r="M510" s="2">
        <v>2384.9578555847752</v>
      </c>
      <c r="N510" s="2">
        <v>2313.4091199172317</v>
      </c>
      <c r="O510" s="2">
        <v>2244.0068463197149</v>
      </c>
    </row>
    <row r="511" spans="1:15" x14ac:dyDescent="0.25">
      <c r="A511" t="s">
        <v>2228</v>
      </c>
      <c r="B511" t="s">
        <v>2229</v>
      </c>
      <c r="C511" s="2">
        <v>3234.1738880000007</v>
      </c>
      <c r="D511" s="2">
        <v>3137.1486713600007</v>
      </c>
      <c r="E511" s="2">
        <v>3043.0342112192006</v>
      </c>
      <c r="F511" s="2">
        <v>2951.7431848826245</v>
      </c>
      <c r="G511" s="2">
        <v>2863.1908893361456</v>
      </c>
      <c r="H511" s="2">
        <v>2777.2951626560612</v>
      </c>
      <c r="I511" s="2">
        <v>2693.9763077763791</v>
      </c>
      <c r="J511" s="2">
        <v>2613.1570185430878</v>
      </c>
      <c r="K511" s="2">
        <v>2534.7623079867949</v>
      </c>
      <c r="L511" s="2">
        <v>2458.7194387471909</v>
      </c>
      <c r="M511" s="2">
        <v>2384.9578555847752</v>
      </c>
      <c r="N511" s="2">
        <v>2313.4091199172317</v>
      </c>
      <c r="O511" s="2">
        <v>2244.0068463197149</v>
      </c>
    </row>
    <row r="512" spans="1:15" x14ac:dyDescent="0.25">
      <c r="A512" t="s">
        <v>2230</v>
      </c>
      <c r="B512" t="s">
        <v>2231</v>
      </c>
      <c r="C512" s="2">
        <v>3234.1738880000007</v>
      </c>
      <c r="D512" s="2">
        <v>3137.1486713600007</v>
      </c>
      <c r="E512" s="2">
        <v>3043.0342112192006</v>
      </c>
      <c r="F512" s="2">
        <v>2951.7431848826245</v>
      </c>
      <c r="G512" s="2">
        <v>2863.1908893361456</v>
      </c>
      <c r="H512" s="2">
        <v>2777.2951626560612</v>
      </c>
      <c r="I512" s="2">
        <v>2693.9763077763791</v>
      </c>
      <c r="J512" s="2">
        <v>2613.1570185430878</v>
      </c>
      <c r="K512" s="2">
        <v>2534.7623079867949</v>
      </c>
      <c r="L512" s="2">
        <v>2458.7194387471909</v>
      </c>
      <c r="M512" s="2">
        <v>2384.9578555847752</v>
      </c>
      <c r="N512" s="2">
        <v>2313.4091199172317</v>
      </c>
      <c r="O512" s="2">
        <v>2244.0068463197149</v>
      </c>
    </row>
    <row r="513" spans="1:15" x14ac:dyDescent="0.25">
      <c r="A513" t="s">
        <v>2232</v>
      </c>
      <c r="B513" t="s">
        <v>2233</v>
      </c>
      <c r="C513" s="2">
        <v>3234.1253120000001</v>
      </c>
      <c r="D513" s="2">
        <v>3137.1015526400001</v>
      </c>
      <c r="E513" s="2">
        <v>3042.9885060607999</v>
      </c>
      <c r="F513" s="2">
        <v>2951.6988508789759</v>
      </c>
      <c r="G513" s="2">
        <v>2863.1478853526064</v>
      </c>
      <c r="H513" s="2">
        <v>2777.2534487920279</v>
      </c>
      <c r="I513" s="2">
        <v>2693.9358453282671</v>
      </c>
      <c r="J513" s="2">
        <v>2613.117769968419</v>
      </c>
      <c r="K513" s="2">
        <v>2534.7242368693665</v>
      </c>
      <c r="L513" s="2">
        <v>2458.6825097632855</v>
      </c>
      <c r="M513" s="2">
        <v>2384.9220344703867</v>
      </c>
      <c r="N513" s="2">
        <v>2313.3743734362752</v>
      </c>
      <c r="O513" s="2">
        <v>2243.973142233187</v>
      </c>
    </row>
    <row r="514" spans="1:15" x14ac:dyDescent="0.25">
      <c r="A514" t="s">
        <v>2234</v>
      </c>
      <c r="B514" t="s">
        <v>2235</v>
      </c>
      <c r="C514" s="2">
        <v>3232.8623360000006</v>
      </c>
      <c r="D514" s="2">
        <v>3135.8764659200006</v>
      </c>
      <c r="E514" s="2">
        <v>3041.8001719424005</v>
      </c>
      <c r="F514" s="2">
        <v>2950.5461667841282</v>
      </c>
      <c r="G514" s="2">
        <v>2862.0297817806045</v>
      </c>
      <c r="H514" s="2">
        <v>2776.1688883271863</v>
      </c>
      <c r="I514" s="2">
        <v>2692.8838216773706</v>
      </c>
      <c r="J514" s="2">
        <v>2612.0973070270493</v>
      </c>
      <c r="K514" s="2">
        <v>2533.7343878162378</v>
      </c>
      <c r="L514" s="2">
        <v>2457.7223561817505</v>
      </c>
      <c r="M514" s="2">
        <v>2383.9906854962978</v>
      </c>
      <c r="N514" s="2">
        <v>2312.4709649314086</v>
      </c>
      <c r="O514" s="2">
        <v>2243.0968359834665</v>
      </c>
    </row>
    <row r="515" spans="1:15" x14ac:dyDescent="0.25">
      <c r="A515" t="s">
        <v>2236</v>
      </c>
      <c r="B515" t="s">
        <v>2237</v>
      </c>
      <c r="C515" s="2">
        <v>3230.2918560000007</v>
      </c>
      <c r="D515" s="2">
        <v>3133.3831003200007</v>
      </c>
      <c r="E515" s="2">
        <v>3039.3816073104008</v>
      </c>
      <c r="F515" s="2">
        <v>2948.2001590910886</v>
      </c>
      <c r="G515" s="2">
        <v>2859.7541543183561</v>
      </c>
      <c r="H515" s="2">
        <v>2773.9615296888055</v>
      </c>
      <c r="I515" s="2">
        <v>2690.7426837981411</v>
      </c>
      <c r="J515" s="2">
        <v>2610.0204032841966</v>
      </c>
      <c r="K515" s="2">
        <v>2531.7197911856706</v>
      </c>
      <c r="L515" s="2">
        <v>2455.7681974501006</v>
      </c>
      <c r="M515" s="2">
        <v>2382.0951515265974</v>
      </c>
      <c r="N515" s="2">
        <v>2310.6322969807993</v>
      </c>
      <c r="O515" s="2">
        <v>2241.3133280713751</v>
      </c>
    </row>
    <row r="516" spans="1:15" x14ac:dyDescent="0.25">
      <c r="A516" t="s">
        <v>2238</v>
      </c>
      <c r="B516" t="s">
        <v>2239</v>
      </c>
      <c r="C516" s="2">
        <v>3223.1952060000008</v>
      </c>
      <c r="D516" s="2">
        <v>3126.4993498200006</v>
      </c>
      <c r="E516" s="2">
        <v>3032.7043693254004</v>
      </c>
      <c r="F516" s="2">
        <v>2941.7232382456382</v>
      </c>
      <c r="G516" s="2">
        <v>2853.471541098269</v>
      </c>
      <c r="H516" s="2">
        <v>2767.8673948653209</v>
      </c>
      <c r="I516" s="2">
        <v>2684.8313730193613</v>
      </c>
      <c r="J516" s="2">
        <v>2604.2864318287802</v>
      </c>
      <c r="K516" s="2">
        <v>2526.1578388739167</v>
      </c>
      <c r="L516" s="2">
        <v>2450.3731037076991</v>
      </c>
      <c r="M516" s="2">
        <v>2376.8619105964681</v>
      </c>
      <c r="N516" s="2">
        <v>2305.5560532785739</v>
      </c>
      <c r="O516" s="2">
        <v>2236.3893716802168</v>
      </c>
    </row>
    <row r="517" spans="1:15" x14ac:dyDescent="0.25">
      <c r="A517" t="s">
        <v>2240</v>
      </c>
      <c r="B517" t="s">
        <v>2241</v>
      </c>
      <c r="C517" s="2">
        <v>3218.7651760000003</v>
      </c>
      <c r="D517" s="2">
        <v>3122.2022207200002</v>
      </c>
      <c r="E517" s="2">
        <v>3028.5361540983999</v>
      </c>
      <c r="F517" s="2">
        <v>2937.6800694754479</v>
      </c>
      <c r="G517" s="2">
        <v>2849.5496673911844</v>
      </c>
      <c r="H517" s="2">
        <v>2764.0631773694486</v>
      </c>
      <c r="I517" s="2">
        <v>2681.1412820483652</v>
      </c>
      <c r="J517" s="2">
        <v>2600.7070435869141</v>
      </c>
      <c r="K517" s="2">
        <v>2522.6858322793064</v>
      </c>
      <c r="L517" s="2">
        <v>2447.0052573109269</v>
      </c>
      <c r="M517" s="2">
        <v>2373.5950995915991</v>
      </c>
      <c r="N517" s="2">
        <v>2302.3872466038511</v>
      </c>
      <c r="O517" s="2">
        <v>2233.3156292057356</v>
      </c>
    </row>
    <row r="518" spans="1:15" x14ac:dyDescent="0.25">
      <c r="A518" t="s">
        <v>2242</v>
      </c>
      <c r="B518" t="s">
        <v>2243</v>
      </c>
      <c r="C518" s="2">
        <v>3218.4757440000003</v>
      </c>
      <c r="D518" s="2">
        <v>3121.9214716800002</v>
      </c>
      <c r="E518" s="2">
        <v>3028.2638275295999</v>
      </c>
      <c r="F518" s="2">
        <v>2937.4159127037119</v>
      </c>
      <c r="G518" s="2">
        <v>2849.2934353226005</v>
      </c>
      <c r="H518" s="2">
        <v>2763.8146322629223</v>
      </c>
      <c r="I518" s="2">
        <v>2680.9001932950346</v>
      </c>
      <c r="J518" s="2">
        <v>2600.4731874961835</v>
      </c>
      <c r="K518" s="2">
        <v>2522.4589918712982</v>
      </c>
      <c r="L518" s="2">
        <v>2446.7852221151593</v>
      </c>
      <c r="M518" s="2">
        <v>2373.3816654517045</v>
      </c>
      <c r="N518" s="2">
        <v>2302.1802154881534</v>
      </c>
      <c r="O518" s="2">
        <v>2233.1148090235088</v>
      </c>
    </row>
    <row r="519" spans="1:15" x14ac:dyDescent="0.25">
      <c r="A519" t="s">
        <v>2244</v>
      </c>
      <c r="B519" t="s">
        <v>2245</v>
      </c>
      <c r="C519" s="2">
        <v>3215.7069120000006</v>
      </c>
      <c r="D519" s="2">
        <v>3119.2357046400007</v>
      </c>
      <c r="E519" s="2">
        <v>3025.6586335008005</v>
      </c>
      <c r="F519" s="2">
        <v>2934.8888744957762</v>
      </c>
      <c r="G519" s="2">
        <v>2846.8422082609027</v>
      </c>
      <c r="H519" s="2">
        <v>2761.4369420130756</v>
      </c>
      <c r="I519" s="2">
        <v>2678.5938337526832</v>
      </c>
      <c r="J519" s="2">
        <v>2598.2360187401027</v>
      </c>
      <c r="K519" s="2">
        <v>2520.2889381778996</v>
      </c>
      <c r="L519" s="2">
        <v>2444.6802700325625</v>
      </c>
      <c r="M519" s="2">
        <v>2371.3398619315853</v>
      </c>
      <c r="N519" s="2">
        <v>2300.1996660736377</v>
      </c>
      <c r="O519" s="2">
        <v>2231.1936760914286</v>
      </c>
    </row>
    <row r="520" spans="1:15" x14ac:dyDescent="0.25">
      <c r="A520" t="s">
        <v>2246</v>
      </c>
      <c r="B520" t="s">
        <v>2247</v>
      </c>
      <c r="C520" s="2">
        <v>3213.7072000000007</v>
      </c>
      <c r="D520" s="2">
        <v>3117.2959840000008</v>
      </c>
      <c r="E520" s="2">
        <v>3023.7771044800006</v>
      </c>
      <c r="F520" s="2">
        <v>2933.0637913456003</v>
      </c>
      <c r="G520" s="2">
        <v>2845.0718776052322</v>
      </c>
      <c r="H520" s="2">
        <v>2759.7197212770752</v>
      </c>
      <c r="I520" s="2">
        <v>2676.928129638763</v>
      </c>
      <c r="J520" s="2">
        <v>2596.6202857496</v>
      </c>
      <c r="K520" s="2">
        <v>2518.7216771771118</v>
      </c>
      <c r="L520" s="2">
        <v>2443.1600268617985</v>
      </c>
      <c r="M520" s="2">
        <v>2369.8652260559447</v>
      </c>
      <c r="N520" s="2">
        <v>2298.7692692742662</v>
      </c>
      <c r="O520" s="2">
        <v>2229.8061911960381</v>
      </c>
    </row>
    <row r="521" spans="1:15" x14ac:dyDescent="0.25">
      <c r="A521" t="s">
        <v>1107</v>
      </c>
      <c r="B521" t="s">
        <v>2248</v>
      </c>
      <c r="C521" s="2">
        <v>3211.8147600000002</v>
      </c>
      <c r="D521" s="2">
        <v>3115.4603172000002</v>
      </c>
      <c r="E521" s="2">
        <v>3021.9965076839999</v>
      </c>
      <c r="F521" s="2">
        <v>2931.33661245348</v>
      </c>
      <c r="G521" s="2">
        <v>2843.3965140798755</v>
      </c>
      <c r="H521" s="2">
        <v>2758.0946186574793</v>
      </c>
      <c r="I521" s="2">
        <v>2675.3517800977547</v>
      </c>
      <c r="J521" s="2">
        <v>2595.0912266948221</v>
      </c>
      <c r="K521" s="2">
        <v>2517.2384898939772</v>
      </c>
      <c r="L521" s="2">
        <v>2441.7213351971577</v>
      </c>
      <c r="M521" s="2">
        <v>2368.4696951412429</v>
      </c>
      <c r="N521" s="2">
        <v>2297.4156042870054</v>
      </c>
      <c r="O521" s="2">
        <v>2228.4931361583954</v>
      </c>
    </row>
    <row r="522" spans="1:15" x14ac:dyDescent="0.25">
      <c r="A522" t="s">
        <v>2249</v>
      </c>
      <c r="B522" t="s">
        <v>2250</v>
      </c>
      <c r="C522" s="2">
        <v>3209.8535040000002</v>
      </c>
      <c r="D522" s="2">
        <v>3113.5578988800003</v>
      </c>
      <c r="E522" s="2">
        <v>3020.1511619136004</v>
      </c>
      <c r="F522" s="2">
        <v>2929.5466270561924</v>
      </c>
      <c r="G522" s="2">
        <v>2841.6602282445065</v>
      </c>
      <c r="H522" s="2">
        <v>2756.4104213971714</v>
      </c>
      <c r="I522" s="2">
        <v>2673.7181087552563</v>
      </c>
      <c r="J522" s="2">
        <v>2593.5065654925984</v>
      </c>
      <c r="K522" s="2">
        <v>2515.7013685278203</v>
      </c>
      <c r="L522" s="2">
        <v>2440.2303274719857</v>
      </c>
      <c r="M522" s="2">
        <v>2367.0234176478261</v>
      </c>
      <c r="N522" s="2">
        <v>2296.0127151183915</v>
      </c>
      <c r="O522" s="2">
        <v>2227.1323336648397</v>
      </c>
    </row>
    <row r="523" spans="1:15" x14ac:dyDescent="0.25">
      <c r="A523" t="s">
        <v>2251</v>
      </c>
      <c r="B523" t="s">
        <v>2252</v>
      </c>
      <c r="C523" s="2">
        <v>3197.1670720000006</v>
      </c>
      <c r="D523" s="2">
        <v>3101.2520598400006</v>
      </c>
      <c r="E523" s="2">
        <v>3008.2144980448006</v>
      </c>
      <c r="F523" s="2">
        <v>2917.9680631034566</v>
      </c>
      <c r="G523" s="2">
        <v>2830.4290212103529</v>
      </c>
      <c r="H523" s="2">
        <v>2745.5161505740421</v>
      </c>
      <c r="I523" s="2">
        <v>2663.1506660568207</v>
      </c>
      <c r="J523" s="2">
        <v>2583.2561460751158</v>
      </c>
      <c r="K523" s="2">
        <v>2505.7584616928621</v>
      </c>
      <c r="L523" s="2">
        <v>2430.5857078420763</v>
      </c>
      <c r="M523" s="2">
        <v>2357.6681366068142</v>
      </c>
      <c r="N523" s="2">
        <v>2286.9380925086098</v>
      </c>
      <c r="O523" s="2">
        <v>2218.3299497333514</v>
      </c>
    </row>
    <row r="524" spans="1:15" x14ac:dyDescent="0.25">
      <c r="A524" t="s">
        <v>2253</v>
      </c>
      <c r="B524" t="s">
        <v>2254</v>
      </c>
      <c r="C524" s="2">
        <v>3194.7625600000001</v>
      </c>
      <c r="D524" s="2">
        <v>3098.9196832000002</v>
      </c>
      <c r="E524" s="2">
        <v>3005.9520927040003</v>
      </c>
      <c r="F524" s="2">
        <v>2915.7735299228802</v>
      </c>
      <c r="G524" s="2">
        <v>2828.3003240251937</v>
      </c>
      <c r="H524" s="2">
        <v>2743.4513143044378</v>
      </c>
      <c r="I524" s="2">
        <v>2661.1477748753045</v>
      </c>
      <c r="J524" s="2">
        <v>2581.3133416290452</v>
      </c>
      <c r="K524" s="2">
        <v>2503.8739413801736</v>
      </c>
      <c r="L524" s="2">
        <v>2428.7577231387681</v>
      </c>
      <c r="M524" s="2">
        <v>2355.8949914446052</v>
      </c>
      <c r="N524" s="2">
        <v>2285.2181417012671</v>
      </c>
      <c r="O524" s="2">
        <v>2216.6615974502292</v>
      </c>
    </row>
    <row r="525" spans="1:15" x14ac:dyDescent="0.25">
      <c r="A525" t="s">
        <v>2255</v>
      </c>
      <c r="B525" t="s">
        <v>2256</v>
      </c>
      <c r="C525" s="2">
        <v>3192.3094720000004</v>
      </c>
      <c r="D525" s="2">
        <v>3096.5401878400003</v>
      </c>
      <c r="E525" s="2">
        <v>3003.6439822048001</v>
      </c>
      <c r="F525" s="2">
        <v>2913.5346627386562</v>
      </c>
      <c r="G525" s="2">
        <v>2826.1286228564963</v>
      </c>
      <c r="H525" s="2">
        <v>2741.3447641708012</v>
      </c>
      <c r="I525" s="2">
        <v>2659.1044212456773</v>
      </c>
      <c r="J525" s="2">
        <v>2579.3312886083067</v>
      </c>
      <c r="K525" s="2">
        <v>2501.9513499500576</v>
      </c>
      <c r="L525" s="2">
        <v>2426.8928094515559</v>
      </c>
      <c r="M525" s="2">
        <v>2354.0860251680092</v>
      </c>
      <c r="N525" s="2">
        <v>2283.4634444129688</v>
      </c>
      <c r="O525" s="2">
        <v>2214.9595410805796</v>
      </c>
    </row>
    <row r="526" spans="1:15" x14ac:dyDescent="0.25">
      <c r="A526" t="s">
        <v>2257</v>
      </c>
      <c r="B526" t="s">
        <v>2258</v>
      </c>
      <c r="C526" s="2">
        <v>3190.6968500000003</v>
      </c>
      <c r="D526" s="2">
        <v>3094.9759445</v>
      </c>
      <c r="E526" s="2">
        <v>3002.1266661649997</v>
      </c>
      <c r="F526" s="2">
        <v>2912.0628661800497</v>
      </c>
      <c r="G526" s="2">
        <v>2824.7009801946483</v>
      </c>
      <c r="H526" s="2">
        <v>2739.9599507888088</v>
      </c>
      <c r="I526" s="2">
        <v>2657.7611522651446</v>
      </c>
      <c r="J526" s="2">
        <v>2578.0283176971902</v>
      </c>
      <c r="K526" s="2">
        <v>2500.6874681662744</v>
      </c>
      <c r="L526" s="2">
        <v>2425.666844121286</v>
      </c>
      <c r="M526" s="2">
        <v>2352.8968387976474</v>
      </c>
      <c r="N526" s="2">
        <v>2282.3099336337182</v>
      </c>
      <c r="O526" s="2">
        <v>2213.8406356247065</v>
      </c>
    </row>
    <row r="527" spans="1:15" x14ac:dyDescent="0.25">
      <c r="A527" t="s">
        <v>2259</v>
      </c>
      <c r="B527" t="s">
        <v>2260</v>
      </c>
      <c r="C527" s="2">
        <v>3186.2212800000007</v>
      </c>
      <c r="D527" s="2">
        <v>3090.6346416000006</v>
      </c>
      <c r="E527" s="2">
        <v>2997.9156023520004</v>
      </c>
      <c r="F527" s="2">
        <v>2907.9781342814404</v>
      </c>
      <c r="G527" s="2">
        <v>2820.7387902529972</v>
      </c>
      <c r="H527" s="2">
        <v>2736.1166265454071</v>
      </c>
      <c r="I527" s="2">
        <v>2654.033127749045</v>
      </c>
      <c r="J527" s="2">
        <v>2574.4121339165736</v>
      </c>
      <c r="K527" s="2">
        <v>2497.1797698990763</v>
      </c>
      <c r="L527" s="2">
        <v>2422.2643768021039</v>
      </c>
      <c r="M527" s="2">
        <v>2349.5964454980408</v>
      </c>
      <c r="N527" s="2">
        <v>2279.1085521330997</v>
      </c>
      <c r="O527" s="2">
        <v>2210.7352955691067</v>
      </c>
    </row>
    <row r="528" spans="1:15" x14ac:dyDescent="0.25">
      <c r="A528" t="s">
        <v>2261</v>
      </c>
      <c r="B528" t="s">
        <v>2262</v>
      </c>
      <c r="C528" s="2">
        <v>3183.6346080000003</v>
      </c>
      <c r="D528" s="2">
        <v>3088.1255697600004</v>
      </c>
      <c r="E528" s="2">
        <v>2995.4818026672001</v>
      </c>
      <c r="F528" s="2">
        <v>2905.6173485871841</v>
      </c>
      <c r="G528" s="2">
        <v>2818.4488281295685</v>
      </c>
      <c r="H528" s="2">
        <v>2733.8953632856815</v>
      </c>
      <c r="I528" s="2">
        <v>2651.878502387111</v>
      </c>
      <c r="J528" s="2">
        <v>2572.3221473154977</v>
      </c>
      <c r="K528" s="2">
        <v>2495.1524828960328</v>
      </c>
      <c r="L528" s="2">
        <v>2420.2979084091517</v>
      </c>
      <c r="M528" s="2">
        <v>2347.688971156877</v>
      </c>
      <c r="N528" s="2">
        <v>2277.2583020221705</v>
      </c>
      <c r="O528" s="2">
        <v>2208.9405529615051</v>
      </c>
    </row>
    <row r="529" spans="1:15" x14ac:dyDescent="0.25">
      <c r="A529" t="s">
        <v>2263</v>
      </c>
      <c r="B529" t="s">
        <v>2264</v>
      </c>
      <c r="C529" s="2">
        <v>3182.2152780000001</v>
      </c>
      <c r="D529" s="2">
        <v>3086.7488196600002</v>
      </c>
      <c r="E529" s="2">
        <v>2994.1463550702001</v>
      </c>
      <c r="F529" s="2">
        <v>2904.321964418094</v>
      </c>
      <c r="G529" s="2">
        <v>2817.1923054855511</v>
      </c>
      <c r="H529" s="2">
        <v>2732.6765363209843</v>
      </c>
      <c r="I529" s="2">
        <v>2650.6962402313547</v>
      </c>
      <c r="J529" s="2">
        <v>2571.1753530244141</v>
      </c>
      <c r="K529" s="2">
        <v>2494.0400924336818</v>
      </c>
      <c r="L529" s="2">
        <v>2419.2188896606713</v>
      </c>
      <c r="M529" s="2">
        <v>2346.6423229708512</v>
      </c>
      <c r="N529" s="2">
        <v>2276.2430532817257</v>
      </c>
      <c r="O529" s="2">
        <v>2207.955761683274</v>
      </c>
    </row>
    <row r="530" spans="1:15" x14ac:dyDescent="0.25">
      <c r="A530" t="s">
        <v>2265</v>
      </c>
      <c r="B530" t="s">
        <v>2266</v>
      </c>
      <c r="C530" s="2">
        <v>3180.9507840000001</v>
      </c>
      <c r="D530" s="2">
        <v>3085.5222604800001</v>
      </c>
      <c r="E530" s="2">
        <v>2992.9565926656001</v>
      </c>
      <c r="F530" s="2">
        <v>2903.167894885632</v>
      </c>
      <c r="G530" s="2">
        <v>2816.0728580390628</v>
      </c>
      <c r="H530" s="2">
        <v>2731.5906722978907</v>
      </c>
      <c r="I530" s="2">
        <v>2649.6429521289538</v>
      </c>
      <c r="J530" s="2">
        <v>2570.153663565085</v>
      </c>
      <c r="K530" s="2">
        <v>2493.0490536581324</v>
      </c>
      <c r="L530" s="2">
        <v>2418.2575820483885</v>
      </c>
      <c r="M530" s="2">
        <v>2345.7098545869367</v>
      </c>
      <c r="N530" s="2">
        <v>2275.3385589493287</v>
      </c>
      <c r="O530" s="2">
        <v>2207.0784021808486</v>
      </c>
    </row>
    <row r="531" spans="1:15" x14ac:dyDescent="0.25">
      <c r="A531" t="s">
        <v>2267</v>
      </c>
      <c r="B531" t="s">
        <v>2268</v>
      </c>
      <c r="C531" s="2">
        <v>3180.0764160000008</v>
      </c>
      <c r="D531" s="2">
        <v>3084.6741235200006</v>
      </c>
      <c r="E531" s="2">
        <v>2992.1338998144006</v>
      </c>
      <c r="F531" s="2">
        <v>2902.3698828199686</v>
      </c>
      <c r="G531" s="2">
        <v>2815.2987863353696</v>
      </c>
      <c r="H531" s="2">
        <v>2730.8398227453085</v>
      </c>
      <c r="I531" s="2">
        <v>2648.9146280629493</v>
      </c>
      <c r="J531" s="2">
        <v>2569.4471892210609</v>
      </c>
      <c r="K531" s="2">
        <v>2492.363773544429</v>
      </c>
      <c r="L531" s="2">
        <v>2417.5928603380962</v>
      </c>
      <c r="M531" s="2">
        <v>2345.0650745279531</v>
      </c>
      <c r="N531" s="2">
        <v>2274.7131222921143</v>
      </c>
      <c r="O531" s="2">
        <v>2206.4717286233508</v>
      </c>
    </row>
    <row r="532" spans="1:15" x14ac:dyDescent="0.25">
      <c r="A532" t="s">
        <v>2269</v>
      </c>
      <c r="B532" t="s">
        <v>2270</v>
      </c>
      <c r="C532" s="2">
        <v>3178.546272000001</v>
      </c>
      <c r="D532" s="2">
        <v>3083.1898838400007</v>
      </c>
      <c r="E532" s="2">
        <v>2990.6941873248006</v>
      </c>
      <c r="F532" s="2">
        <v>2900.9733617050565</v>
      </c>
      <c r="G532" s="2">
        <v>2813.9441608539046</v>
      </c>
      <c r="H532" s="2">
        <v>2729.5258360282874</v>
      </c>
      <c r="I532" s="2">
        <v>2647.6400609474385</v>
      </c>
      <c r="J532" s="2">
        <v>2568.2108591190154</v>
      </c>
      <c r="K532" s="2">
        <v>2491.1645333454449</v>
      </c>
      <c r="L532" s="2">
        <v>2416.4295973450812</v>
      </c>
      <c r="M532" s="2">
        <v>2343.9367094247286</v>
      </c>
      <c r="N532" s="2">
        <v>2273.6186081419869</v>
      </c>
      <c r="O532" s="2">
        <v>2205.4100498977273</v>
      </c>
    </row>
    <row r="533" spans="1:15" x14ac:dyDescent="0.25">
      <c r="A533" t="s">
        <v>2271</v>
      </c>
      <c r="B533" t="s">
        <v>2272</v>
      </c>
      <c r="C533" s="2">
        <v>3170.4649460000005</v>
      </c>
      <c r="D533" s="2">
        <v>3075.3509976200003</v>
      </c>
      <c r="E533" s="2">
        <v>2983.0904676914001</v>
      </c>
      <c r="F533" s="2">
        <v>2893.5977536606579</v>
      </c>
      <c r="G533" s="2">
        <v>2806.7898210508379</v>
      </c>
      <c r="H533" s="2">
        <v>2722.5861264193127</v>
      </c>
      <c r="I533" s="2">
        <v>2640.9085426267334</v>
      </c>
      <c r="J533" s="2">
        <v>2561.6812863479313</v>
      </c>
      <c r="K533" s="2">
        <v>2484.8308477574933</v>
      </c>
      <c r="L533" s="2">
        <v>2410.2859223247683</v>
      </c>
      <c r="M533" s="2">
        <v>2337.9773446550253</v>
      </c>
      <c r="N533" s="2">
        <v>2267.8380243153742</v>
      </c>
      <c r="O533" s="2">
        <v>2199.8028835859132</v>
      </c>
    </row>
    <row r="534" spans="1:15" x14ac:dyDescent="0.25">
      <c r="A534" t="s">
        <v>2273</v>
      </c>
      <c r="B534" t="s">
        <v>2274</v>
      </c>
      <c r="C534" s="2">
        <v>3166.3015780000005</v>
      </c>
      <c r="D534" s="2">
        <v>3071.3125306600004</v>
      </c>
      <c r="E534" s="2">
        <v>2979.1731547402005</v>
      </c>
      <c r="F534" s="2">
        <v>2889.7979600979943</v>
      </c>
      <c r="G534" s="2">
        <v>2803.1040212950543</v>
      </c>
      <c r="H534" s="2">
        <v>2719.0109006562025</v>
      </c>
      <c r="I534" s="2">
        <v>2637.4405736365165</v>
      </c>
      <c r="J534" s="2">
        <v>2558.3173564274211</v>
      </c>
      <c r="K534" s="2">
        <v>2481.5678357345982</v>
      </c>
      <c r="L534" s="2">
        <v>2407.1208006625602</v>
      </c>
      <c r="M534" s="2">
        <v>2334.9071766426832</v>
      </c>
      <c r="N534" s="2">
        <v>2264.8599613434026</v>
      </c>
      <c r="O534" s="2">
        <v>2196.9141625031002</v>
      </c>
    </row>
    <row r="535" spans="1:15" x14ac:dyDescent="0.25">
      <c r="A535" t="s">
        <v>2275</v>
      </c>
      <c r="B535" t="s">
        <v>2276</v>
      </c>
      <c r="C535" s="2">
        <v>3164.9692800000007</v>
      </c>
      <c r="D535" s="2">
        <v>3070.0202016000007</v>
      </c>
      <c r="E535" s="2">
        <v>2977.9195955520008</v>
      </c>
      <c r="F535" s="2">
        <v>2888.5820076854407</v>
      </c>
      <c r="G535" s="2">
        <v>2801.9245474548775</v>
      </c>
      <c r="H535" s="2">
        <v>2717.866811031231</v>
      </c>
      <c r="I535" s="2">
        <v>2636.330806700294</v>
      </c>
      <c r="J535" s="2">
        <v>2557.2408824992854</v>
      </c>
      <c r="K535" s="2">
        <v>2480.5236560243065</v>
      </c>
      <c r="L535" s="2">
        <v>2406.1079463435772</v>
      </c>
      <c r="M535" s="2">
        <v>2333.9247079532697</v>
      </c>
      <c r="N535" s="2">
        <v>2263.9069667146714</v>
      </c>
      <c r="O535" s="2">
        <v>2195.989757713231</v>
      </c>
    </row>
    <row r="536" spans="1:15" x14ac:dyDescent="0.25">
      <c r="A536" t="s">
        <v>2277</v>
      </c>
      <c r="B536" t="s">
        <v>2278</v>
      </c>
      <c r="C536" s="2">
        <v>3162.6457280000004</v>
      </c>
      <c r="D536" s="2">
        <v>3067.7663561600002</v>
      </c>
      <c r="E536" s="2">
        <v>2975.7333654752001</v>
      </c>
      <c r="F536" s="2">
        <v>2886.4613645109439</v>
      </c>
      <c r="G536" s="2">
        <v>2799.8675235756155</v>
      </c>
      <c r="H536" s="2">
        <v>2715.871497868347</v>
      </c>
      <c r="I536" s="2">
        <v>2634.3953529322966</v>
      </c>
      <c r="J536" s="2">
        <v>2555.3634923443278</v>
      </c>
      <c r="K536" s="2">
        <v>2478.7025875739978</v>
      </c>
      <c r="L536" s="2">
        <v>2404.3415099467779</v>
      </c>
      <c r="M536" s="2">
        <v>2332.2112646483747</v>
      </c>
      <c r="N536" s="2">
        <v>2262.2449267089232</v>
      </c>
      <c r="O536" s="2">
        <v>2194.3775789076553</v>
      </c>
    </row>
    <row r="537" spans="1:15" x14ac:dyDescent="0.25">
      <c r="A537" t="s">
        <v>2279</v>
      </c>
      <c r="B537" t="s">
        <v>2280</v>
      </c>
      <c r="C537" s="2">
        <v>3162.6457280000004</v>
      </c>
      <c r="D537" s="2">
        <v>3067.7663561600002</v>
      </c>
      <c r="E537" s="2">
        <v>2975.7333654752001</v>
      </c>
      <c r="F537" s="2">
        <v>2886.4613645109439</v>
      </c>
      <c r="G537" s="2">
        <v>2799.8675235756155</v>
      </c>
      <c r="H537" s="2">
        <v>2715.871497868347</v>
      </c>
      <c r="I537" s="2">
        <v>2634.3953529322966</v>
      </c>
      <c r="J537" s="2">
        <v>2555.3634923443278</v>
      </c>
      <c r="K537" s="2">
        <v>2478.7025875739978</v>
      </c>
      <c r="L537" s="2">
        <v>2404.3415099467779</v>
      </c>
      <c r="M537" s="2">
        <v>2332.2112646483747</v>
      </c>
      <c r="N537" s="2">
        <v>2262.2449267089232</v>
      </c>
      <c r="O537" s="2">
        <v>2194.3775789076553</v>
      </c>
    </row>
    <row r="538" spans="1:15" x14ac:dyDescent="0.25">
      <c r="A538" t="s">
        <v>2281</v>
      </c>
      <c r="B538" t="s">
        <v>2282</v>
      </c>
      <c r="C538" s="2">
        <v>3162.6457280000004</v>
      </c>
      <c r="D538" s="2">
        <v>3067.7663561600002</v>
      </c>
      <c r="E538" s="2">
        <v>2975.7333654752001</v>
      </c>
      <c r="F538" s="2">
        <v>2886.4613645109439</v>
      </c>
      <c r="G538" s="2">
        <v>2799.8675235756155</v>
      </c>
      <c r="H538" s="2">
        <v>2715.871497868347</v>
      </c>
      <c r="I538" s="2">
        <v>2634.3953529322966</v>
      </c>
      <c r="J538" s="2">
        <v>2555.3634923443278</v>
      </c>
      <c r="K538" s="2">
        <v>2478.7025875739978</v>
      </c>
      <c r="L538" s="2">
        <v>2404.3415099467779</v>
      </c>
      <c r="M538" s="2">
        <v>2332.2112646483747</v>
      </c>
      <c r="N538" s="2">
        <v>2262.2449267089232</v>
      </c>
      <c r="O538" s="2">
        <v>2194.3775789076553</v>
      </c>
    </row>
    <row r="539" spans="1:15" x14ac:dyDescent="0.25">
      <c r="A539" t="s">
        <v>2283</v>
      </c>
      <c r="B539" t="s">
        <v>2284</v>
      </c>
      <c r="C539" s="2">
        <v>3162.6457280000004</v>
      </c>
      <c r="D539" s="2">
        <v>3067.7663561600002</v>
      </c>
      <c r="E539" s="2">
        <v>2975.7333654752001</v>
      </c>
      <c r="F539" s="2">
        <v>2886.4613645109439</v>
      </c>
      <c r="G539" s="2">
        <v>2799.8675235756155</v>
      </c>
      <c r="H539" s="2">
        <v>2715.871497868347</v>
      </c>
      <c r="I539" s="2">
        <v>2634.3953529322966</v>
      </c>
      <c r="J539" s="2">
        <v>2555.3634923443278</v>
      </c>
      <c r="K539" s="2">
        <v>2478.7025875739978</v>
      </c>
      <c r="L539" s="2">
        <v>2404.3415099467779</v>
      </c>
      <c r="M539" s="2">
        <v>2332.2112646483747</v>
      </c>
      <c r="N539" s="2">
        <v>2262.2449267089232</v>
      </c>
      <c r="O539" s="2">
        <v>2194.3775789076553</v>
      </c>
    </row>
    <row r="540" spans="1:15" x14ac:dyDescent="0.25">
      <c r="A540" t="s">
        <v>2285</v>
      </c>
      <c r="B540" t="s">
        <v>2286</v>
      </c>
      <c r="C540" s="2">
        <v>3159.9791080000005</v>
      </c>
      <c r="D540" s="2">
        <v>3065.1797347600004</v>
      </c>
      <c r="E540" s="2">
        <v>2973.2243427172002</v>
      </c>
      <c r="F540" s="2">
        <v>2884.0276124356842</v>
      </c>
      <c r="G540" s="2">
        <v>2797.5067840626134</v>
      </c>
      <c r="H540" s="2">
        <v>2713.5815805407351</v>
      </c>
      <c r="I540" s="2">
        <v>2632.174133124513</v>
      </c>
      <c r="J540" s="2">
        <v>2553.2089091307776</v>
      </c>
      <c r="K540" s="2">
        <v>2476.6126418568542</v>
      </c>
      <c r="L540" s="2">
        <v>2402.3142626011486</v>
      </c>
      <c r="M540" s="2">
        <v>2330.2448347231139</v>
      </c>
      <c r="N540" s="2">
        <v>2260.3374896814203</v>
      </c>
      <c r="O540" s="2">
        <v>2192.5273649909777</v>
      </c>
    </row>
    <row r="541" spans="1:15" x14ac:dyDescent="0.25">
      <c r="A541" t="s">
        <v>2287</v>
      </c>
      <c r="B541" t="s">
        <v>2288</v>
      </c>
      <c r="C541" s="2">
        <v>3155.1569280000003</v>
      </c>
      <c r="D541" s="2">
        <v>3060.5022201600004</v>
      </c>
      <c r="E541" s="2">
        <v>2968.6871535552004</v>
      </c>
      <c r="F541" s="2">
        <v>2879.6265389485443</v>
      </c>
      <c r="G541" s="2">
        <v>2793.237742780088</v>
      </c>
      <c r="H541" s="2">
        <v>2709.4406104966852</v>
      </c>
      <c r="I541" s="2">
        <v>2628.1573921817844</v>
      </c>
      <c r="J541" s="2">
        <v>2549.312670416331</v>
      </c>
      <c r="K541" s="2">
        <v>2472.8332903038408</v>
      </c>
      <c r="L541" s="2">
        <v>2398.6482915947254</v>
      </c>
      <c r="M541" s="2">
        <v>2326.6888428468837</v>
      </c>
      <c r="N541" s="2">
        <v>2256.8881775614773</v>
      </c>
      <c r="O541" s="2">
        <v>2189.1815322346329</v>
      </c>
    </row>
    <row r="542" spans="1:15" x14ac:dyDescent="0.25">
      <c r="A542" t="s">
        <v>2289</v>
      </c>
      <c r="B542" t="s">
        <v>2290</v>
      </c>
      <c r="C542" s="2">
        <v>3150.9065280000004</v>
      </c>
      <c r="D542" s="2">
        <v>3056.3793321600006</v>
      </c>
      <c r="E542" s="2">
        <v>2964.6879521952005</v>
      </c>
      <c r="F542" s="2">
        <v>2875.7473136293443</v>
      </c>
      <c r="G542" s="2">
        <v>2789.4748942204637</v>
      </c>
      <c r="H542" s="2">
        <v>2705.7906473938497</v>
      </c>
      <c r="I542" s="2">
        <v>2624.6169279720343</v>
      </c>
      <c r="J542" s="2">
        <v>2545.8784201328731</v>
      </c>
      <c r="K542" s="2">
        <v>2469.502067528887</v>
      </c>
      <c r="L542" s="2">
        <v>2395.4170055030204</v>
      </c>
      <c r="M542" s="2">
        <v>2323.5544953379299</v>
      </c>
      <c r="N542" s="2">
        <v>2253.847860477792</v>
      </c>
      <c r="O542" s="2">
        <v>2186.232424663458</v>
      </c>
    </row>
    <row r="543" spans="1:15" x14ac:dyDescent="0.25">
      <c r="A543" t="s">
        <v>2291</v>
      </c>
      <c r="B543" t="s">
        <v>2292</v>
      </c>
      <c r="C543" s="2">
        <v>3148.0486400000009</v>
      </c>
      <c r="D543" s="2">
        <v>3053.6071808000006</v>
      </c>
      <c r="E543" s="2">
        <v>2961.9989653760003</v>
      </c>
      <c r="F543" s="2">
        <v>2873.1389964147202</v>
      </c>
      <c r="G543" s="2">
        <v>2786.9448265222786</v>
      </c>
      <c r="H543" s="2">
        <v>2703.3364817266101</v>
      </c>
      <c r="I543" s="2">
        <v>2622.2363872748119</v>
      </c>
      <c r="J543" s="2">
        <v>2543.5692956565676</v>
      </c>
      <c r="K543" s="2">
        <v>2467.2622167868703</v>
      </c>
      <c r="L543" s="2">
        <v>2393.2443502832643</v>
      </c>
      <c r="M543" s="2">
        <v>2321.4470197747664</v>
      </c>
      <c r="N543" s="2">
        <v>2251.8036091815234</v>
      </c>
      <c r="O543" s="2">
        <v>2184.2495009060776</v>
      </c>
    </row>
    <row r="544" spans="1:15" x14ac:dyDescent="0.25">
      <c r="A544" t="s">
        <v>2293</v>
      </c>
      <c r="B544" t="s">
        <v>2270</v>
      </c>
      <c r="C544" s="2">
        <v>3145.4255360000006</v>
      </c>
      <c r="D544" s="2">
        <v>3051.0627699200004</v>
      </c>
      <c r="E544" s="2">
        <v>2959.5308868224001</v>
      </c>
      <c r="F544" s="2">
        <v>2870.744960217728</v>
      </c>
      <c r="G544" s="2">
        <v>2784.622611411196</v>
      </c>
      <c r="H544" s="2">
        <v>2701.08393306886</v>
      </c>
      <c r="I544" s="2">
        <v>2620.051415076794</v>
      </c>
      <c r="J544" s="2">
        <v>2541.4498726244901</v>
      </c>
      <c r="K544" s="2">
        <v>2465.2063764457553</v>
      </c>
      <c r="L544" s="2">
        <v>2391.2501851523825</v>
      </c>
      <c r="M544" s="2">
        <v>2319.5126795978108</v>
      </c>
      <c r="N544" s="2">
        <v>2249.9272992098763</v>
      </c>
      <c r="O544" s="2">
        <v>2182.4294802335799</v>
      </c>
    </row>
    <row r="545" spans="1:15" x14ac:dyDescent="0.25">
      <c r="A545" t="s">
        <v>2294</v>
      </c>
      <c r="B545" t="s">
        <v>2295</v>
      </c>
      <c r="C545" s="2">
        <v>3145.0774080000006</v>
      </c>
      <c r="D545" s="2">
        <v>3050.7250857600006</v>
      </c>
      <c r="E545" s="2">
        <v>2959.2033331872003</v>
      </c>
      <c r="F545" s="2">
        <v>2870.427233191584</v>
      </c>
      <c r="G545" s="2">
        <v>2784.3144161958367</v>
      </c>
      <c r="H545" s="2">
        <v>2700.7849837099616</v>
      </c>
      <c r="I545" s="2">
        <v>2619.7614341986628</v>
      </c>
      <c r="J545" s="2">
        <v>2541.1685911727027</v>
      </c>
      <c r="K545" s="2">
        <v>2464.9335334375214</v>
      </c>
      <c r="L545" s="2">
        <v>2390.9855274343959</v>
      </c>
      <c r="M545" s="2">
        <v>2319.255961611364</v>
      </c>
      <c r="N545" s="2">
        <v>2249.6782827630232</v>
      </c>
      <c r="O545" s="2">
        <v>2182.1879342801326</v>
      </c>
    </row>
    <row r="546" spans="1:15" x14ac:dyDescent="0.25">
      <c r="A546" t="s">
        <v>2296</v>
      </c>
      <c r="B546" t="s">
        <v>2297</v>
      </c>
      <c r="C546" s="2">
        <v>3143.0761779999998</v>
      </c>
      <c r="D546" s="2">
        <v>3048.7838926599998</v>
      </c>
      <c r="E546" s="2">
        <v>2957.3203758801997</v>
      </c>
      <c r="F546" s="2">
        <v>2868.6007646037938</v>
      </c>
      <c r="G546" s="2">
        <v>2782.5427416656798</v>
      </c>
      <c r="H546" s="2">
        <v>2699.0664594157092</v>
      </c>
      <c r="I546" s="2">
        <v>2618.0944656332381</v>
      </c>
      <c r="J546" s="2">
        <v>2539.5516316642411</v>
      </c>
      <c r="K546" s="2">
        <v>2463.3650827143138</v>
      </c>
      <c r="L546" s="2">
        <v>2389.4641302328841</v>
      </c>
      <c r="M546" s="2">
        <v>2317.7802063258978</v>
      </c>
      <c r="N546" s="2">
        <v>2248.2468001361208</v>
      </c>
      <c r="O546" s="2">
        <v>2180.7993961320371</v>
      </c>
    </row>
    <row r="547" spans="1:15" x14ac:dyDescent="0.25">
      <c r="A547" t="s">
        <v>2298</v>
      </c>
      <c r="B547" t="s">
        <v>2299</v>
      </c>
      <c r="C547" s="2">
        <v>3142.6486080000004</v>
      </c>
      <c r="D547" s="2">
        <v>3048.3691497600003</v>
      </c>
      <c r="E547" s="2">
        <v>2956.9180752672</v>
      </c>
      <c r="F547" s="2">
        <v>2868.210533009184</v>
      </c>
      <c r="G547" s="2">
        <v>2782.1642170189084</v>
      </c>
      <c r="H547" s="2">
        <v>2698.6992905083412</v>
      </c>
      <c r="I547" s="2">
        <v>2617.7383117930908</v>
      </c>
      <c r="J547" s="2">
        <v>2539.2061624392982</v>
      </c>
      <c r="K547" s="2">
        <v>2463.0299775661192</v>
      </c>
      <c r="L547" s="2">
        <v>2389.1390782391354</v>
      </c>
      <c r="M547" s="2">
        <v>2317.4649058919613</v>
      </c>
      <c r="N547" s="2">
        <v>2247.9409587152022</v>
      </c>
      <c r="O547" s="2">
        <v>2180.502729953746</v>
      </c>
    </row>
    <row r="548" spans="1:15" x14ac:dyDescent="0.25">
      <c r="A548" t="s">
        <v>2300</v>
      </c>
      <c r="B548" t="s">
        <v>2301</v>
      </c>
      <c r="C548" s="2">
        <v>3142.2761920000003</v>
      </c>
      <c r="D548" s="2">
        <v>3048.00790624</v>
      </c>
      <c r="E548" s="2">
        <v>2956.5676690527998</v>
      </c>
      <c r="F548" s="2">
        <v>2867.870638981216</v>
      </c>
      <c r="G548" s="2">
        <v>2781.8345198117795</v>
      </c>
      <c r="H548" s="2">
        <v>2698.3794842174261</v>
      </c>
      <c r="I548" s="2">
        <v>2617.4280996909033</v>
      </c>
      <c r="J548" s="2">
        <v>2538.9052567001763</v>
      </c>
      <c r="K548" s="2">
        <v>2462.7380989991711</v>
      </c>
      <c r="L548" s="2">
        <v>2388.855956029196</v>
      </c>
      <c r="M548" s="2">
        <v>2317.1902773483203</v>
      </c>
      <c r="N548" s="2">
        <v>2247.6745690278708</v>
      </c>
      <c r="O548" s="2">
        <v>2180.2443319570348</v>
      </c>
    </row>
    <row r="549" spans="1:15" x14ac:dyDescent="0.25">
      <c r="A549" t="s">
        <v>2302</v>
      </c>
      <c r="B549" t="s">
        <v>2303</v>
      </c>
      <c r="C549" s="2">
        <v>3141.6042240000006</v>
      </c>
      <c r="D549" s="2">
        <v>3047.3560972800005</v>
      </c>
      <c r="E549" s="2">
        <v>2955.9354143616006</v>
      </c>
      <c r="F549" s="2">
        <v>2867.2573519307525</v>
      </c>
      <c r="G549" s="2">
        <v>2781.23963137283</v>
      </c>
      <c r="H549" s="2">
        <v>2697.802442431645</v>
      </c>
      <c r="I549" s="2">
        <v>2616.8683691586957</v>
      </c>
      <c r="J549" s="2">
        <v>2538.362318083935</v>
      </c>
      <c r="K549" s="2">
        <v>2462.2114485414168</v>
      </c>
      <c r="L549" s="2">
        <v>2388.3451050851741</v>
      </c>
      <c r="M549" s="2">
        <v>2316.6947519326186</v>
      </c>
      <c r="N549" s="2">
        <v>2247.19390937464</v>
      </c>
      <c r="O549" s="2">
        <v>2179.7780920934006</v>
      </c>
    </row>
    <row r="550" spans="1:15" x14ac:dyDescent="0.25">
      <c r="A550" t="s">
        <v>2304</v>
      </c>
      <c r="B550" t="s">
        <v>2305</v>
      </c>
      <c r="C550" s="2">
        <v>3140.0482740000002</v>
      </c>
      <c r="D550" s="2">
        <v>3045.84682578</v>
      </c>
      <c r="E550" s="2">
        <v>2954.4714210065999</v>
      </c>
      <c r="F550" s="2">
        <v>2865.8372783764021</v>
      </c>
      <c r="G550" s="2">
        <v>2779.8621600251099</v>
      </c>
      <c r="H550" s="2">
        <v>2696.4662952243566</v>
      </c>
      <c r="I550" s="2">
        <v>2615.572306367626</v>
      </c>
      <c r="J550" s="2">
        <v>2537.1051371765971</v>
      </c>
      <c r="K550" s="2">
        <v>2460.9919830612989</v>
      </c>
      <c r="L550" s="2">
        <v>2387.1622235694599</v>
      </c>
      <c r="M550" s="2">
        <v>2315.5473568623761</v>
      </c>
      <c r="N550" s="2">
        <v>2246.0809361565048</v>
      </c>
      <c r="O550" s="2">
        <v>2178.6985080718096</v>
      </c>
    </row>
    <row r="551" spans="1:15" x14ac:dyDescent="0.25">
      <c r="A551" t="s">
        <v>2306</v>
      </c>
      <c r="B551" t="s">
        <v>2307</v>
      </c>
      <c r="C551" s="2">
        <v>3139.1794720000003</v>
      </c>
      <c r="D551" s="2">
        <v>3045.00408784</v>
      </c>
      <c r="E551" s="2">
        <v>2953.6539652048</v>
      </c>
      <c r="F551" s="2">
        <v>2865.044346248656</v>
      </c>
      <c r="G551" s="2">
        <v>2779.0930158611964</v>
      </c>
      <c r="H551" s="2">
        <v>2695.7202253853602</v>
      </c>
      <c r="I551" s="2">
        <v>2614.8486186237992</v>
      </c>
      <c r="J551" s="2">
        <v>2536.4031600650851</v>
      </c>
      <c r="K551" s="2">
        <v>2460.3110652631326</v>
      </c>
      <c r="L551" s="2">
        <v>2386.5017333052388</v>
      </c>
      <c r="M551" s="2">
        <v>2314.9066813060817</v>
      </c>
      <c r="N551" s="2">
        <v>2245.4594808668994</v>
      </c>
      <c r="O551" s="2">
        <v>2178.0956964408924</v>
      </c>
    </row>
    <row r="552" spans="1:15" x14ac:dyDescent="0.25">
      <c r="A552" t="s">
        <v>2308</v>
      </c>
      <c r="B552" t="s">
        <v>2309</v>
      </c>
      <c r="C552" s="2">
        <v>3134.3583040000003</v>
      </c>
      <c r="D552" s="2">
        <v>3040.3275548800002</v>
      </c>
      <c r="E552" s="2">
        <v>2949.1177282336002</v>
      </c>
      <c r="F552" s="2">
        <v>2860.6441963865923</v>
      </c>
      <c r="G552" s="2">
        <v>2774.8248704949942</v>
      </c>
      <c r="H552" s="2">
        <v>2691.5801243801443</v>
      </c>
      <c r="I552" s="2">
        <v>2610.8327206487397</v>
      </c>
      <c r="J552" s="2">
        <v>2532.5077390292777</v>
      </c>
      <c r="K552" s="2">
        <v>2456.5325068583993</v>
      </c>
      <c r="L552" s="2">
        <v>2382.8365316526474</v>
      </c>
      <c r="M552" s="2">
        <v>2311.3514357030681</v>
      </c>
      <c r="N552" s="2">
        <v>2242.0108926319758</v>
      </c>
      <c r="O552" s="2">
        <v>2174.7505658530163</v>
      </c>
    </row>
    <row r="553" spans="1:15" x14ac:dyDescent="0.25">
      <c r="A553" t="s">
        <v>2310</v>
      </c>
      <c r="B553" t="s">
        <v>2311</v>
      </c>
      <c r="C553" s="2">
        <v>3130.2212480000007</v>
      </c>
      <c r="D553" s="2">
        <v>3036.3146105600008</v>
      </c>
      <c r="E553" s="2">
        <v>2945.2251722432006</v>
      </c>
      <c r="F553" s="2">
        <v>2856.8684170759047</v>
      </c>
      <c r="G553" s="2">
        <v>2771.1623645636273</v>
      </c>
      <c r="H553" s="2">
        <v>2688.0274936267183</v>
      </c>
      <c r="I553" s="2">
        <v>2607.3866688179169</v>
      </c>
      <c r="J553" s="2">
        <v>2529.1650687533793</v>
      </c>
      <c r="K553" s="2">
        <v>2453.2901166907777</v>
      </c>
      <c r="L553" s="2">
        <v>2379.6914131900544</v>
      </c>
      <c r="M553" s="2">
        <v>2308.3006707943528</v>
      </c>
      <c r="N553" s="2">
        <v>2239.0516506705221</v>
      </c>
      <c r="O553" s="2">
        <v>2171.8801011504065</v>
      </c>
    </row>
    <row r="554" spans="1:15" x14ac:dyDescent="0.25">
      <c r="A554" t="s">
        <v>2312</v>
      </c>
      <c r="B554" t="s">
        <v>2313</v>
      </c>
      <c r="C554" s="2">
        <v>3120.2388800000003</v>
      </c>
      <c r="D554" s="2">
        <v>3026.6317136000002</v>
      </c>
      <c r="E554" s="2">
        <v>2935.8327621920002</v>
      </c>
      <c r="F554" s="2">
        <v>2847.7577793262403</v>
      </c>
      <c r="G554" s="2">
        <v>2762.325045946453</v>
      </c>
      <c r="H554" s="2">
        <v>2679.4552945680593</v>
      </c>
      <c r="I554" s="2">
        <v>2599.0716357310175</v>
      </c>
      <c r="J554" s="2">
        <v>2521.0994866590868</v>
      </c>
      <c r="K554" s="2">
        <v>2445.4665020593143</v>
      </c>
      <c r="L554" s="2">
        <v>2372.1025069975349</v>
      </c>
      <c r="M554" s="2">
        <v>2300.9394317876086</v>
      </c>
      <c r="N554" s="2">
        <v>2231.9112488339802</v>
      </c>
      <c r="O554" s="2">
        <v>2164.9539113689607</v>
      </c>
    </row>
    <row r="555" spans="1:15" x14ac:dyDescent="0.25">
      <c r="A555" t="s">
        <v>2314</v>
      </c>
      <c r="B555" t="s">
        <v>2315</v>
      </c>
      <c r="C555" s="2">
        <v>3118.1258240000006</v>
      </c>
      <c r="D555" s="2">
        <v>3024.5820492800003</v>
      </c>
      <c r="E555" s="2">
        <v>2933.8445878016</v>
      </c>
      <c r="F555" s="2">
        <v>2845.8292501675519</v>
      </c>
      <c r="G555" s="2">
        <v>2760.4543726625252</v>
      </c>
      <c r="H555" s="2">
        <v>2677.6407414826494</v>
      </c>
      <c r="I555" s="2">
        <v>2597.3115192381697</v>
      </c>
      <c r="J555" s="2">
        <v>2519.3921736610246</v>
      </c>
      <c r="K555" s="2">
        <v>2443.8104084511938</v>
      </c>
      <c r="L555" s="2">
        <v>2370.4960961976581</v>
      </c>
      <c r="M555" s="2">
        <v>2299.3812133117281</v>
      </c>
      <c r="N555" s="2">
        <v>2230.3997769123762</v>
      </c>
      <c r="O555" s="2">
        <v>2163.487783605005</v>
      </c>
    </row>
    <row r="556" spans="1:15" x14ac:dyDescent="0.25">
      <c r="A556" t="s">
        <v>2316</v>
      </c>
      <c r="B556" t="s">
        <v>2317</v>
      </c>
      <c r="C556" s="2">
        <v>3112.5820880000006</v>
      </c>
      <c r="D556" s="2">
        <v>3019.2046253600006</v>
      </c>
      <c r="E556" s="2">
        <v>2928.6284865992006</v>
      </c>
      <c r="F556" s="2">
        <v>2840.7696320012246</v>
      </c>
      <c r="G556" s="2">
        <v>2755.5465430411878</v>
      </c>
      <c r="H556" s="2">
        <v>2672.880146749952</v>
      </c>
      <c r="I556" s="2">
        <v>2592.6937423474533</v>
      </c>
      <c r="J556" s="2">
        <v>2514.9129300770296</v>
      </c>
      <c r="K556" s="2">
        <v>2439.4655421747188</v>
      </c>
      <c r="L556" s="2">
        <v>2366.2815759094774</v>
      </c>
      <c r="M556" s="2">
        <v>2295.2931286321932</v>
      </c>
      <c r="N556" s="2">
        <v>2226.4343347732274</v>
      </c>
      <c r="O556" s="2">
        <v>2159.6413047300307</v>
      </c>
    </row>
    <row r="557" spans="1:15" x14ac:dyDescent="0.25">
      <c r="A557" t="s">
        <v>2318</v>
      </c>
      <c r="B557" t="s">
        <v>2319</v>
      </c>
      <c r="C557" s="2">
        <v>3108.2729920000006</v>
      </c>
      <c r="D557" s="2">
        <v>3015.0248022400006</v>
      </c>
      <c r="E557" s="2">
        <v>2924.5740581728005</v>
      </c>
      <c r="F557" s="2">
        <v>2836.8368364276166</v>
      </c>
      <c r="G557" s="2">
        <v>2751.731731334788</v>
      </c>
      <c r="H557" s="2">
        <v>2669.1797793947444</v>
      </c>
      <c r="I557" s="2">
        <v>2589.1043860129021</v>
      </c>
      <c r="J557" s="2">
        <v>2511.4312544325148</v>
      </c>
      <c r="K557" s="2">
        <v>2436.0883167995394</v>
      </c>
      <c r="L557" s="2">
        <v>2363.0056672955529</v>
      </c>
      <c r="M557" s="2">
        <v>2292.1154972766863</v>
      </c>
      <c r="N557" s="2">
        <v>2223.3520323583857</v>
      </c>
      <c r="O557" s="2">
        <v>2156.651471387634</v>
      </c>
    </row>
    <row r="558" spans="1:15" x14ac:dyDescent="0.25">
      <c r="A558" t="s">
        <v>2320</v>
      </c>
      <c r="B558" t="s">
        <v>2321</v>
      </c>
      <c r="C558" s="2">
        <v>3108.1677440000003</v>
      </c>
      <c r="D558" s="2">
        <v>3014.9227116800002</v>
      </c>
      <c r="E558" s="2">
        <v>2924.4750303296</v>
      </c>
      <c r="F558" s="2">
        <v>2836.740779419712</v>
      </c>
      <c r="G558" s="2">
        <v>2751.6385560371205</v>
      </c>
      <c r="H558" s="2">
        <v>2669.0893993560067</v>
      </c>
      <c r="I558" s="2">
        <v>2589.0167173753266</v>
      </c>
      <c r="J558" s="2">
        <v>2511.3462158540669</v>
      </c>
      <c r="K558" s="2">
        <v>2436.005829378445</v>
      </c>
      <c r="L558" s="2">
        <v>2362.9256544970917</v>
      </c>
      <c r="M558" s="2">
        <v>2292.037884862179</v>
      </c>
      <c r="N558" s="2">
        <v>2223.2767483163134</v>
      </c>
      <c r="O558" s="2">
        <v>2156.578445866824</v>
      </c>
    </row>
    <row r="559" spans="1:15" x14ac:dyDescent="0.25">
      <c r="A559" t="s">
        <v>2322</v>
      </c>
      <c r="B559" t="s">
        <v>2323</v>
      </c>
      <c r="C559" s="2">
        <v>3105.3989120000006</v>
      </c>
      <c r="D559" s="2">
        <v>3012.2369446400003</v>
      </c>
      <c r="E559" s="2">
        <v>2921.8698363008002</v>
      </c>
      <c r="F559" s="2">
        <v>2834.2137412117763</v>
      </c>
      <c r="G559" s="2">
        <v>2749.187328975423</v>
      </c>
      <c r="H559" s="2">
        <v>2666.7117091061605</v>
      </c>
      <c r="I559" s="2">
        <v>2586.7103578329757</v>
      </c>
      <c r="J559" s="2">
        <v>2509.1090470979861</v>
      </c>
      <c r="K559" s="2">
        <v>2433.8357756850464</v>
      </c>
      <c r="L559" s="2">
        <v>2360.8207024144949</v>
      </c>
      <c r="M559" s="2">
        <v>2289.9960813420598</v>
      </c>
      <c r="N559" s="2">
        <v>2221.2961989017981</v>
      </c>
      <c r="O559" s="2">
        <v>2154.6573129347439</v>
      </c>
    </row>
    <row r="560" spans="1:15" x14ac:dyDescent="0.25">
      <c r="A560" t="s">
        <v>1184</v>
      </c>
      <c r="B560" t="s">
        <v>1187</v>
      </c>
      <c r="C560" s="2">
        <v>3100.7113280000003</v>
      </c>
      <c r="D560" s="2">
        <v>3007.6899881600002</v>
      </c>
      <c r="E560" s="2">
        <v>2917.4592885152001</v>
      </c>
      <c r="F560" s="2">
        <v>2829.9355098597439</v>
      </c>
      <c r="G560" s="2">
        <v>2745.0374445639513</v>
      </c>
      <c r="H560" s="2">
        <v>2662.6863212270327</v>
      </c>
      <c r="I560" s="2">
        <v>2582.8057315902215</v>
      </c>
      <c r="J560" s="2">
        <v>2505.3215596425148</v>
      </c>
      <c r="K560" s="2">
        <v>2430.1619128532393</v>
      </c>
      <c r="L560" s="2">
        <v>2357.2570554676422</v>
      </c>
      <c r="M560" s="2">
        <v>2286.5393438036131</v>
      </c>
      <c r="N560" s="2">
        <v>2217.9431634895045</v>
      </c>
      <c r="O560" s="2">
        <v>2151.4048685848193</v>
      </c>
    </row>
    <row r="561" spans="1:15" x14ac:dyDescent="0.25">
      <c r="A561" t="s">
        <v>2324</v>
      </c>
      <c r="B561" t="s">
        <v>2325</v>
      </c>
      <c r="C561" s="2">
        <v>3099.2783360000008</v>
      </c>
      <c r="D561" s="2">
        <v>3006.2999859200008</v>
      </c>
      <c r="E561" s="2">
        <v>2916.1109863424008</v>
      </c>
      <c r="F561" s="2">
        <v>2828.6276567521286</v>
      </c>
      <c r="G561" s="2">
        <v>2743.7688270495646</v>
      </c>
      <c r="H561" s="2">
        <v>2661.4557622380776</v>
      </c>
      <c r="I561" s="2">
        <v>2581.6120893709353</v>
      </c>
      <c r="J561" s="2">
        <v>2504.1637266898074</v>
      </c>
      <c r="K561" s="2">
        <v>2429.0388148891129</v>
      </c>
      <c r="L561" s="2">
        <v>2356.1676504424395</v>
      </c>
      <c r="M561" s="2">
        <v>2285.4826209291664</v>
      </c>
      <c r="N561" s="2">
        <v>2216.9181423012915</v>
      </c>
      <c r="O561" s="2">
        <v>2150.4105980322529</v>
      </c>
    </row>
    <row r="562" spans="1:15" x14ac:dyDescent="0.25">
      <c r="A562" t="s">
        <v>2326</v>
      </c>
      <c r="B562" t="s">
        <v>2327</v>
      </c>
      <c r="C562" s="2">
        <v>3096.3880640000007</v>
      </c>
      <c r="D562" s="2">
        <v>3003.4964220800007</v>
      </c>
      <c r="E562" s="2">
        <v>2913.3915294176004</v>
      </c>
      <c r="F562" s="2">
        <v>2825.9897835350721</v>
      </c>
      <c r="G562" s="2">
        <v>2741.2100900290197</v>
      </c>
      <c r="H562" s="2">
        <v>2658.9737873281492</v>
      </c>
      <c r="I562" s="2">
        <v>2579.2045737083049</v>
      </c>
      <c r="J562" s="2">
        <v>2501.8284364970555</v>
      </c>
      <c r="K562" s="2">
        <v>2426.7735834021437</v>
      </c>
      <c r="L562" s="2">
        <v>2353.9703759000795</v>
      </c>
      <c r="M562" s="2">
        <v>2283.351264623077</v>
      </c>
      <c r="N562" s="2">
        <v>2214.8507266843844</v>
      </c>
      <c r="O562" s="2">
        <v>2148.405204883853</v>
      </c>
    </row>
    <row r="563" spans="1:15" x14ac:dyDescent="0.25">
      <c r="A563" t="s">
        <v>2328</v>
      </c>
      <c r="B563" t="s">
        <v>2329</v>
      </c>
      <c r="C563" s="2">
        <v>3094.7845500000003</v>
      </c>
      <c r="D563" s="2">
        <v>3001.9410135000003</v>
      </c>
      <c r="E563" s="2">
        <v>2911.8827830950004</v>
      </c>
      <c r="F563" s="2">
        <v>2824.5262996021502</v>
      </c>
      <c r="G563" s="2">
        <v>2739.7905106140856</v>
      </c>
      <c r="H563" s="2">
        <v>2657.596795295663</v>
      </c>
      <c r="I563" s="2">
        <v>2577.8688914367931</v>
      </c>
      <c r="J563" s="2">
        <v>2500.5328246936892</v>
      </c>
      <c r="K563" s="2">
        <v>2425.5168399528784</v>
      </c>
      <c r="L563" s="2">
        <v>2352.7513347542922</v>
      </c>
      <c r="M563" s="2">
        <v>2282.1687947116634</v>
      </c>
      <c r="N563" s="2">
        <v>2213.7037308703134</v>
      </c>
      <c r="O563" s="2">
        <v>2147.2926189442042</v>
      </c>
    </row>
    <row r="564" spans="1:15" x14ac:dyDescent="0.25">
      <c r="A564" t="s">
        <v>2330</v>
      </c>
      <c r="B564" t="s">
        <v>2331</v>
      </c>
      <c r="C564" s="2">
        <v>3093.3034880000005</v>
      </c>
      <c r="D564" s="2">
        <v>3000.5043833600002</v>
      </c>
      <c r="E564" s="2">
        <v>2910.4892518592001</v>
      </c>
      <c r="F564" s="2">
        <v>2823.1745743034239</v>
      </c>
      <c r="G564" s="2">
        <v>2738.4793370743209</v>
      </c>
      <c r="H564" s="2">
        <v>2656.3249569620912</v>
      </c>
      <c r="I564" s="2">
        <v>2576.6352082532285</v>
      </c>
      <c r="J564" s="2">
        <v>2499.3361520056314</v>
      </c>
      <c r="K564" s="2">
        <v>2424.3560674454625</v>
      </c>
      <c r="L564" s="2">
        <v>2351.6253854220986</v>
      </c>
      <c r="M564" s="2">
        <v>2281.0766238594356</v>
      </c>
      <c r="N564" s="2">
        <v>2212.6443251436526</v>
      </c>
      <c r="O564" s="2">
        <v>2146.2649953893429</v>
      </c>
    </row>
    <row r="565" spans="1:15" x14ac:dyDescent="0.25">
      <c r="A565" t="s">
        <v>2332</v>
      </c>
      <c r="B565" t="s">
        <v>2333</v>
      </c>
      <c r="C565" s="2">
        <v>3091.7222380000003</v>
      </c>
      <c r="D565" s="2">
        <v>2998.9705708600004</v>
      </c>
      <c r="E565" s="2">
        <v>2909.0014537342004</v>
      </c>
      <c r="F565" s="2">
        <v>2821.7314101221741</v>
      </c>
      <c r="G565" s="2">
        <v>2737.0794678185089</v>
      </c>
      <c r="H565" s="2">
        <v>2654.9670837839535</v>
      </c>
      <c r="I565" s="2">
        <v>2575.3180712704348</v>
      </c>
      <c r="J565" s="2">
        <v>2498.0585291323218</v>
      </c>
      <c r="K565" s="2">
        <v>2423.1167732583522</v>
      </c>
      <c r="L565" s="2">
        <v>2350.4232700606017</v>
      </c>
      <c r="M565" s="2">
        <v>2279.9105719587837</v>
      </c>
      <c r="N565" s="2">
        <v>2211.5132548000201</v>
      </c>
      <c r="O565" s="2">
        <v>2145.1678571560196</v>
      </c>
    </row>
    <row r="566" spans="1:15" x14ac:dyDescent="0.25">
      <c r="A566" t="s">
        <v>2334</v>
      </c>
      <c r="B566" t="s">
        <v>2335</v>
      </c>
      <c r="C566" s="2">
        <v>3091.0204160000008</v>
      </c>
      <c r="D566" s="2">
        <v>2998.2898035200005</v>
      </c>
      <c r="E566" s="2">
        <v>2908.3411094144003</v>
      </c>
      <c r="F566" s="2">
        <v>2821.0908761319683</v>
      </c>
      <c r="G566" s="2">
        <v>2736.4581498480093</v>
      </c>
      <c r="H566" s="2">
        <v>2654.3644053525691</v>
      </c>
      <c r="I566" s="2">
        <v>2574.7334731919918</v>
      </c>
      <c r="J566" s="2">
        <v>2497.491468996232</v>
      </c>
      <c r="K566" s="2">
        <v>2422.5667249263452</v>
      </c>
      <c r="L566" s="2">
        <v>2349.889723178555</v>
      </c>
      <c r="M566" s="2">
        <v>2279.3930314831982</v>
      </c>
      <c r="N566" s="2">
        <v>2211.0112405387022</v>
      </c>
      <c r="O566" s="2">
        <v>2144.6809033225409</v>
      </c>
    </row>
    <row r="567" spans="1:15" x14ac:dyDescent="0.25">
      <c r="A567" t="s">
        <v>2336</v>
      </c>
      <c r="B567" t="s">
        <v>2337</v>
      </c>
      <c r="C567" s="2">
        <v>3082.8920320000007</v>
      </c>
      <c r="D567" s="2">
        <v>2990.4052710400006</v>
      </c>
      <c r="E567" s="2">
        <v>2900.6931129088007</v>
      </c>
      <c r="F567" s="2">
        <v>2813.6723195215368</v>
      </c>
      <c r="G567" s="2">
        <v>2729.2621499358906</v>
      </c>
      <c r="H567" s="2">
        <v>2647.384285437814</v>
      </c>
      <c r="I567" s="2">
        <v>2567.9627568746796</v>
      </c>
      <c r="J567" s="2">
        <v>2490.9238741684389</v>
      </c>
      <c r="K567" s="2">
        <v>2416.1961579433855</v>
      </c>
      <c r="L567" s="2">
        <v>2343.7102732050839</v>
      </c>
      <c r="M567" s="2">
        <v>2273.3989650089316</v>
      </c>
      <c r="N567" s="2">
        <v>2205.1969960586634</v>
      </c>
      <c r="O567" s="2">
        <v>2139.0410861769033</v>
      </c>
    </row>
    <row r="568" spans="1:15" x14ac:dyDescent="0.25">
      <c r="A568" t="s">
        <v>2338</v>
      </c>
      <c r="B568" t="s">
        <v>2270</v>
      </c>
      <c r="C568" s="2">
        <v>3069.3555200000005</v>
      </c>
      <c r="D568" s="2">
        <v>2977.2748544000005</v>
      </c>
      <c r="E568" s="2">
        <v>2887.9566087680005</v>
      </c>
      <c r="F568" s="2">
        <v>2801.3179105049603</v>
      </c>
      <c r="G568" s="2">
        <v>2717.2783731898116</v>
      </c>
      <c r="H568" s="2">
        <v>2635.7600219941173</v>
      </c>
      <c r="I568" s="2">
        <v>2556.6872213342936</v>
      </c>
      <c r="J568" s="2">
        <v>2479.9866046942648</v>
      </c>
      <c r="K568" s="2">
        <v>2405.5870065534368</v>
      </c>
      <c r="L568" s="2">
        <v>2333.4193963568337</v>
      </c>
      <c r="M568" s="2">
        <v>2263.4168144661285</v>
      </c>
      <c r="N568" s="2">
        <v>2195.5143100321447</v>
      </c>
      <c r="O568" s="2">
        <v>2129.6488807311803</v>
      </c>
    </row>
    <row r="569" spans="1:15" x14ac:dyDescent="0.25">
      <c r="A569" t="s">
        <v>2339</v>
      </c>
      <c r="B569" t="s">
        <v>2340</v>
      </c>
      <c r="C569" s="2">
        <v>3067.8334720000007</v>
      </c>
      <c r="D569" s="2">
        <v>2975.7984678400007</v>
      </c>
      <c r="E569" s="2">
        <v>2886.5245138048008</v>
      </c>
      <c r="F569" s="2">
        <v>2799.9287783906566</v>
      </c>
      <c r="G569" s="2">
        <v>2715.9309150389367</v>
      </c>
      <c r="H569" s="2">
        <v>2634.4529875877683</v>
      </c>
      <c r="I569" s="2">
        <v>2555.419397960135</v>
      </c>
      <c r="J569" s="2">
        <v>2478.7568160213309</v>
      </c>
      <c r="K569" s="2">
        <v>2404.394111540691</v>
      </c>
      <c r="L569" s="2">
        <v>2332.2622881944703</v>
      </c>
      <c r="M569" s="2">
        <v>2262.2944195486361</v>
      </c>
      <c r="N569" s="2">
        <v>2194.425586962177</v>
      </c>
      <c r="O569" s="2">
        <v>2128.5928193533118</v>
      </c>
    </row>
    <row r="570" spans="1:15" x14ac:dyDescent="0.25">
      <c r="A570" t="s">
        <v>2341</v>
      </c>
      <c r="B570" t="s">
        <v>2342</v>
      </c>
      <c r="C570" s="2">
        <v>3067.7687040000001</v>
      </c>
      <c r="D570" s="2">
        <v>2975.7356428799999</v>
      </c>
      <c r="E570" s="2">
        <v>2886.4635735935999</v>
      </c>
      <c r="F570" s="2">
        <v>2799.8696663857918</v>
      </c>
      <c r="G570" s="2">
        <v>2715.8735763942182</v>
      </c>
      <c r="H570" s="2">
        <v>2634.3973691023916</v>
      </c>
      <c r="I570" s="2">
        <v>2555.3654480293199</v>
      </c>
      <c r="J570" s="2">
        <v>2478.7044845884402</v>
      </c>
      <c r="K570" s="2">
        <v>2404.3433500507867</v>
      </c>
      <c r="L570" s="2">
        <v>2332.2130495492629</v>
      </c>
      <c r="M570" s="2">
        <v>2262.2466580627852</v>
      </c>
      <c r="N570" s="2">
        <v>2194.3792583209015</v>
      </c>
      <c r="O570" s="2">
        <v>2128.5478805712746</v>
      </c>
    </row>
    <row r="571" spans="1:15" x14ac:dyDescent="0.25">
      <c r="A571" t="s">
        <v>2343</v>
      </c>
      <c r="B571" t="s">
        <v>2344</v>
      </c>
      <c r="C571" s="2">
        <v>3066.4247680000008</v>
      </c>
      <c r="D571" s="2">
        <v>2974.4320249600005</v>
      </c>
      <c r="E571" s="2">
        <v>2885.1990642112005</v>
      </c>
      <c r="F571" s="2">
        <v>2798.6430922848645</v>
      </c>
      <c r="G571" s="2">
        <v>2714.6837995163182</v>
      </c>
      <c r="H571" s="2">
        <v>2633.2432855308284</v>
      </c>
      <c r="I571" s="2">
        <v>2554.2459869649033</v>
      </c>
      <c r="J571" s="2">
        <v>2477.6186073559561</v>
      </c>
      <c r="K571" s="2">
        <v>2403.2900491352775</v>
      </c>
      <c r="L571" s="2">
        <v>2331.191347661219</v>
      </c>
      <c r="M571" s="2">
        <v>2261.2556072313823</v>
      </c>
      <c r="N571" s="2">
        <v>2193.4179390144409</v>
      </c>
      <c r="O571" s="2">
        <v>2127.6154008440076</v>
      </c>
    </row>
    <row r="572" spans="1:15" x14ac:dyDescent="0.25">
      <c r="A572" t="s">
        <v>2345</v>
      </c>
      <c r="B572" t="s">
        <v>2346</v>
      </c>
      <c r="C572" s="2">
        <v>3061.882912</v>
      </c>
      <c r="D572" s="2">
        <v>2970.0264246399997</v>
      </c>
      <c r="E572" s="2">
        <v>2880.9256319007995</v>
      </c>
      <c r="F572" s="2">
        <v>2794.4978629437755</v>
      </c>
      <c r="G572" s="2">
        <v>2710.6629270554622</v>
      </c>
      <c r="H572" s="2">
        <v>2629.3430392437981</v>
      </c>
      <c r="I572" s="2">
        <v>2550.462748066484</v>
      </c>
      <c r="J572" s="2">
        <v>2473.9488656244894</v>
      </c>
      <c r="K572" s="2">
        <v>2399.7303996557548</v>
      </c>
      <c r="L572" s="2">
        <v>2327.7384876660822</v>
      </c>
      <c r="M572" s="2">
        <v>2257.9063330360996</v>
      </c>
      <c r="N572" s="2">
        <v>2190.1691430450164</v>
      </c>
      <c r="O572" s="2">
        <v>2124.4640687536657</v>
      </c>
    </row>
    <row r="573" spans="1:15" x14ac:dyDescent="0.25">
      <c r="A573" t="s">
        <v>2347</v>
      </c>
      <c r="B573" t="s">
        <v>2348</v>
      </c>
      <c r="C573" s="2">
        <v>3059.7536640000008</v>
      </c>
      <c r="D573" s="2">
        <v>2967.9610540800008</v>
      </c>
      <c r="E573" s="2">
        <v>2878.9222224576006</v>
      </c>
      <c r="F573" s="2">
        <v>2792.5545557838723</v>
      </c>
      <c r="G573" s="2">
        <v>2708.7779191103559</v>
      </c>
      <c r="H573" s="2">
        <v>2627.5145815370452</v>
      </c>
      <c r="I573" s="2">
        <v>2548.689144090934</v>
      </c>
      <c r="J573" s="2">
        <v>2472.2284697682057</v>
      </c>
      <c r="K573" s="2">
        <v>2398.0616156751594</v>
      </c>
      <c r="L573" s="2">
        <v>2326.1197672049047</v>
      </c>
      <c r="M573" s="2">
        <v>2256.3361741887575</v>
      </c>
      <c r="N573" s="2">
        <v>2188.6460889630948</v>
      </c>
      <c r="O573" s="2">
        <v>2122.9867062942021</v>
      </c>
    </row>
    <row r="574" spans="1:15" x14ac:dyDescent="0.25">
      <c r="A574" t="s">
        <v>2349</v>
      </c>
      <c r="B574" t="s">
        <v>2350</v>
      </c>
      <c r="C574" s="2">
        <v>3056.9200640000013</v>
      </c>
      <c r="D574" s="2">
        <v>2965.2124620800009</v>
      </c>
      <c r="E574" s="2">
        <v>2876.2560882176008</v>
      </c>
      <c r="F574" s="2">
        <v>2789.9684055710727</v>
      </c>
      <c r="G574" s="2">
        <v>2706.2693534039404</v>
      </c>
      <c r="H574" s="2">
        <v>2625.0812728018223</v>
      </c>
      <c r="I574" s="2">
        <v>2546.3288346177674</v>
      </c>
      <c r="J574" s="2">
        <v>2469.9389695792343</v>
      </c>
      <c r="K574" s="2">
        <v>2395.840800491857</v>
      </c>
      <c r="L574" s="2">
        <v>2323.965576477101</v>
      </c>
      <c r="M574" s="2">
        <v>2254.2466091827878</v>
      </c>
      <c r="N574" s="2">
        <v>2186.619210907304</v>
      </c>
      <c r="O574" s="2">
        <v>2121.0206345800848</v>
      </c>
    </row>
    <row r="575" spans="1:15" x14ac:dyDescent="0.25">
      <c r="A575" t="s">
        <v>2351</v>
      </c>
      <c r="B575" t="s">
        <v>2352</v>
      </c>
      <c r="C575" s="2">
        <v>3049.3098240000004</v>
      </c>
      <c r="D575" s="2">
        <v>2957.8305292800005</v>
      </c>
      <c r="E575" s="2">
        <v>2869.0956134016005</v>
      </c>
      <c r="F575" s="2">
        <v>2783.0227449995523</v>
      </c>
      <c r="G575" s="2">
        <v>2699.5320626495654</v>
      </c>
      <c r="H575" s="2">
        <v>2618.5461007700783</v>
      </c>
      <c r="I575" s="2">
        <v>2539.9897177469757</v>
      </c>
      <c r="J575" s="2">
        <v>2463.7900262145663</v>
      </c>
      <c r="K575" s="2">
        <v>2389.8763254281293</v>
      </c>
      <c r="L575" s="2">
        <v>2318.1800356652852</v>
      </c>
      <c r="M575" s="2">
        <v>2248.6346345953266</v>
      </c>
      <c r="N575" s="2">
        <v>2181.1755955574667</v>
      </c>
      <c r="O575" s="2">
        <v>2115.7403276907426</v>
      </c>
    </row>
    <row r="576" spans="1:15" x14ac:dyDescent="0.25">
      <c r="A576" t="s">
        <v>2353</v>
      </c>
      <c r="B576" t="s">
        <v>2354</v>
      </c>
      <c r="C576" s="2">
        <v>3048.1197120000006</v>
      </c>
      <c r="D576" s="2">
        <v>2956.6761206400006</v>
      </c>
      <c r="E576" s="2">
        <v>2867.9758370208006</v>
      </c>
      <c r="F576" s="2">
        <v>2781.9365619101764</v>
      </c>
      <c r="G576" s="2">
        <v>2698.4784650528709</v>
      </c>
      <c r="H576" s="2">
        <v>2617.5241111012847</v>
      </c>
      <c r="I576" s="2">
        <v>2538.9983877682462</v>
      </c>
      <c r="J576" s="2">
        <v>2462.8284361351989</v>
      </c>
      <c r="K576" s="2">
        <v>2388.9435830511429</v>
      </c>
      <c r="L576" s="2">
        <v>2317.2752755596084</v>
      </c>
      <c r="M576" s="2">
        <v>2247.7570172928199</v>
      </c>
      <c r="N576" s="2">
        <v>2180.3243067740354</v>
      </c>
      <c r="O576" s="2">
        <v>2114.9145775708143</v>
      </c>
    </row>
    <row r="577" spans="1:15" x14ac:dyDescent="0.25">
      <c r="A577" t="s">
        <v>2355</v>
      </c>
      <c r="B577" t="s">
        <v>2356</v>
      </c>
      <c r="C577" s="2">
        <v>3048.0468480000009</v>
      </c>
      <c r="D577" s="2">
        <v>2956.6054425600009</v>
      </c>
      <c r="E577" s="2">
        <v>2867.9072792832008</v>
      </c>
      <c r="F577" s="2">
        <v>2781.8700609047046</v>
      </c>
      <c r="G577" s="2">
        <v>2698.4139590775635</v>
      </c>
      <c r="H577" s="2">
        <v>2617.4615403052367</v>
      </c>
      <c r="I577" s="2">
        <v>2538.9376940960797</v>
      </c>
      <c r="J577" s="2">
        <v>2462.769563273197</v>
      </c>
      <c r="K577" s="2">
        <v>2388.8864763750012</v>
      </c>
      <c r="L577" s="2">
        <v>2317.2198820837511</v>
      </c>
      <c r="M577" s="2">
        <v>2247.7032856212386</v>
      </c>
      <c r="N577" s="2">
        <v>2180.2721870526016</v>
      </c>
      <c r="O577" s="2">
        <v>2114.8640214410234</v>
      </c>
    </row>
    <row r="578" spans="1:15" x14ac:dyDescent="0.25">
      <c r="A578" t="s">
        <v>2357</v>
      </c>
      <c r="B578" t="s">
        <v>2358</v>
      </c>
      <c r="C578" s="2">
        <v>3040.5919500000005</v>
      </c>
      <c r="D578" s="2">
        <v>2949.3741915000005</v>
      </c>
      <c r="E578" s="2">
        <v>2860.8929657550002</v>
      </c>
      <c r="F578" s="2">
        <v>2775.0661767823503</v>
      </c>
      <c r="G578" s="2">
        <v>2691.8141914788798</v>
      </c>
      <c r="H578" s="2">
        <v>2611.0597657345133</v>
      </c>
      <c r="I578" s="2">
        <v>2532.7279727624777</v>
      </c>
      <c r="J578" s="2">
        <v>2456.7461335796033</v>
      </c>
      <c r="K578" s="2">
        <v>2383.0437495722153</v>
      </c>
      <c r="L578" s="2">
        <v>2311.552437085049</v>
      </c>
      <c r="M578" s="2">
        <v>2242.2058639724974</v>
      </c>
      <c r="N578" s="2">
        <v>2174.9396880533222</v>
      </c>
      <c r="O578" s="2">
        <v>2109.6914974117226</v>
      </c>
    </row>
    <row r="579" spans="1:15" x14ac:dyDescent="0.25">
      <c r="A579" t="s">
        <v>2359</v>
      </c>
      <c r="B579" t="s">
        <v>2360</v>
      </c>
      <c r="C579" s="2">
        <v>3039.7160640000006</v>
      </c>
      <c r="D579" s="2">
        <v>2948.5245820800005</v>
      </c>
      <c r="E579" s="2">
        <v>2860.0688446176005</v>
      </c>
      <c r="F579" s="2">
        <v>2774.2667792790726</v>
      </c>
      <c r="G579" s="2">
        <v>2691.0387759007003</v>
      </c>
      <c r="H579" s="2">
        <v>2610.3076126236792</v>
      </c>
      <c r="I579" s="2">
        <v>2531.9983842449687</v>
      </c>
      <c r="J579" s="2">
        <v>2456.0384327176198</v>
      </c>
      <c r="K579" s="2">
        <v>2382.3572797360912</v>
      </c>
      <c r="L579" s="2">
        <v>2310.8865613440084</v>
      </c>
      <c r="M579" s="2">
        <v>2241.5599645036882</v>
      </c>
      <c r="N579" s="2">
        <v>2174.3131655685775</v>
      </c>
      <c r="O579" s="2">
        <v>2109.08377060152</v>
      </c>
    </row>
    <row r="580" spans="1:15" x14ac:dyDescent="0.25">
      <c r="A580" t="s">
        <v>1105</v>
      </c>
      <c r="B580" t="s">
        <v>2361</v>
      </c>
      <c r="C580" s="2">
        <v>3039.5511080000006</v>
      </c>
      <c r="D580" s="2">
        <v>2948.3645747600003</v>
      </c>
      <c r="E580" s="2">
        <v>2859.9136375172002</v>
      </c>
      <c r="F580" s="2">
        <v>2774.1162283916842</v>
      </c>
      <c r="G580" s="2">
        <v>2690.8927415399335</v>
      </c>
      <c r="H580" s="2">
        <v>2610.1659592937353</v>
      </c>
      <c r="I580" s="2">
        <v>2531.8609805149231</v>
      </c>
      <c r="J580" s="2">
        <v>2455.9051510994755</v>
      </c>
      <c r="K580" s="2">
        <v>2382.2279965664911</v>
      </c>
      <c r="L580" s="2">
        <v>2310.7611566694964</v>
      </c>
      <c r="M580" s="2">
        <v>2241.4383219694114</v>
      </c>
      <c r="N580" s="2">
        <v>2174.1951723103289</v>
      </c>
      <c r="O580" s="2">
        <v>2108.969317141019</v>
      </c>
    </row>
    <row r="581" spans="1:15" x14ac:dyDescent="0.25">
      <c r="A581" t="s">
        <v>2362</v>
      </c>
      <c r="B581" t="s">
        <v>2363</v>
      </c>
      <c r="C581" s="2">
        <v>3030.6485440000006</v>
      </c>
      <c r="D581" s="2">
        <v>2939.7290876800007</v>
      </c>
      <c r="E581" s="2">
        <v>2851.5372150496005</v>
      </c>
      <c r="F581" s="2">
        <v>2765.9910985981123</v>
      </c>
      <c r="G581" s="2">
        <v>2683.0113656401691</v>
      </c>
      <c r="H581" s="2">
        <v>2602.5210246709639</v>
      </c>
      <c r="I581" s="2">
        <v>2524.4453939308351</v>
      </c>
      <c r="J581" s="2">
        <v>2448.71203211291</v>
      </c>
      <c r="K581" s="2">
        <v>2375.2506711495225</v>
      </c>
      <c r="L581" s="2">
        <v>2303.9931510150368</v>
      </c>
      <c r="M581" s="2">
        <v>2234.8733564845857</v>
      </c>
      <c r="N581" s="2">
        <v>2167.827155790048</v>
      </c>
      <c r="O581" s="2">
        <v>2102.7923411163465</v>
      </c>
    </row>
    <row r="582" spans="1:15" x14ac:dyDescent="0.25">
      <c r="A582" t="s">
        <v>2364</v>
      </c>
      <c r="B582" t="s">
        <v>2365</v>
      </c>
      <c r="C582" s="2">
        <v>3029.5555840000006</v>
      </c>
      <c r="D582" s="2">
        <v>2938.6689164800005</v>
      </c>
      <c r="E582" s="2">
        <v>2850.5088489856003</v>
      </c>
      <c r="F582" s="2">
        <v>2764.9935835160322</v>
      </c>
      <c r="G582" s="2">
        <v>2682.043776010551</v>
      </c>
      <c r="H582" s="2">
        <v>2601.5824627302345</v>
      </c>
      <c r="I582" s="2">
        <v>2523.5349888483274</v>
      </c>
      <c r="J582" s="2">
        <v>2447.8289391828775</v>
      </c>
      <c r="K582" s="2">
        <v>2374.3940710073912</v>
      </c>
      <c r="L582" s="2">
        <v>2303.1622488771695</v>
      </c>
      <c r="M582" s="2">
        <v>2234.0673814108545</v>
      </c>
      <c r="N582" s="2">
        <v>2167.0453599685288</v>
      </c>
      <c r="O582" s="2">
        <v>2102.0339991694727</v>
      </c>
    </row>
    <row r="583" spans="1:15" x14ac:dyDescent="0.25">
      <c r="A583" t="s">
        <v>2366</v>
      </c>
      <c r="B583" t="s">
        <v>2367</v>
      </c>
      <c r="C583" s="2">
        <v>3028.5405480000004</v>
      </c>
      <c r="D583" s="2">
        <v>2937.6843315600004</v>
      </c>
      <c r="E583" s="2">
        <v>2849.5538016132004</v>
      </c>
      <c r="F583" s="2">
        <v>2764.0671875648045</v>
      </c>
      <c r="G583" s="2">
        <v>2681.1451719378601</v>
      </c>
      <c r="H583" s="2">
        <v>2600.7108167797242</v>
      </c>
      <c r="I583" s="2">
        <v>2522.6894922763322</v>
      </c>
      <c r="J583" s="2">
        <v>2447.0088075080421</v>
      </c>
      <c r="K583" s="2">
        <v>2373.5985432828006</v>
      </c>
      <c r="L583" s="2">
        <v>2302.3905869843165</v>
      </c>
      <c r="M583" s="2">
        <v>2233.318869374787</v>
      </c>
      <c r="N583" s="2">
        <v>2166.3193032935433</v>
      </c>
      <c r="O583" s="2">
        <v>2101.3297241947371</v>
      </c>
    </row>
    <row r="584" spans="1:15" x14ac:dyDescent="0.25">
      <c r="A584" t="s">
        <v>2368</v>
      </c>
      <c r="B584" t="s">
        <v>2369</v>
      </c>
      <c r="C584" s="2">
        <v>3026.7300800000007</v>
      </c>
      <c r="D584" s="2">
        <v>2935.9281776000007</v>
      </c>
      <c r="E584" s="2">
        <v>2847.8503322720007</v>
      </c>
      <c r="F584" s="2">
        <v>2762.4148223038405</v>
      </c>
      <c r="G584" s="2">
        <v>2679.5423776347252</v>
      </c>
      <c r="H584" s="2">
        <v>2599.1561063056834</v>
      </c>
      <c r="I584" s="2">
        <v>2521.1814231165126</v>
      </c>
      <c r="J584" s="2">
        <v>2445.5459804230172</v>
      </c>
      <c r="K584" s="2">
        <v>2372.1796010103267</v>
      </c>
      <c r="L584" s="2">
        <v>2301.014212980017</v>
      </c>
      <c r="M584" s="2">
        <v>2231.9837865906165</v>
      </c>
      <c r="N584" s="2">
        <v>2165.0242729928982</v>
      </c>
      <c r="O584" s="2">
        <v>2100.0735448031114</v>
      </c>
    </row>
    <row r="585" spans="1:15" x14ac:dyDescent="0.25">
      <c r="A585" t="s">
        <v>2370</v>
      </c>
      <c r="B585" t="s">
        <v>2371</v>
      </c>
      <c r="C585" s="2">
        <v>3018.7474240000006</v>
      </c>
      <c r="D585" s="2">
        <v>2928.1850012800005</v>
      </c>
      <c r="E585" s="2">
        <v>2840.3394512416003</v>
      </c>
      <c r="F585" s="2">
        <v>2755.1292677043521</v>
      </c>
      <c r="G585" s="2">
        <v>2672.4753896732213</v>
      </c>
      <c r="H585" s="2">
        <v>2592.3011279830248</v>
      </c>
      <c r="I585" s="2">
        <v>2514.5320941435339</v>
      </c>
      <c r="J585" s="2">
        <v>2439.0961313192279</v>
      </c>
      <c r="K585" s="2">
        <v>2365.923247379651</v>
      </c>
      <c r="L585" s="2">
        <v>2294.9455499582614</v>
      </c>
      <c r="M585" s="2">
        <v>2226.0971834595134</v>
      </c>
      <c r="N585" s="2">
        <v>2159.3142679557282</v>
      </c>
      <c r="O585" s="2">
        <v>2094.5348399170562</v>
      </c>
    </row>
    <row r="586" spans="1:15" x14ac:dyDescent="0.25">
      <c r="A586" t="s">
        <v>2372</v>
      </c>
      <c r="B586" t="s">
        <v>2373</v>
      </c>
      <c r="C586" s="2">
        <v>3012.7644800000007</v>
      </c>
      <c r="D586" s="2">
        <v>2922.3815456000007</v>
      </c>
      <c r="E586" s="2">
        <v>2834.7100992320006</v>
      </c>
      <c r="F586" s="2">
        <v>2749.6687962550404</v>
      </c>
      <c r="G586" s="2">
        <v>2667.1787323673893</v>
      </c>
      <c r="H586" s="2">
        <v>2587.1633703963676</v>
      </c>
      <c r="I586" s="2">
        <v>2509.5484692844766</v>
      </c>
      <c r="J586" s="2">
        <v>2434.2620152059421</v>
      </c>
      <c r="K586" s="2">
        <v>2361.234154749764</v>
      </c>
      <c r="L586" s="2">
        <v>2290.3971301072711</v>
      </c>
      <c r="M586" s="2">
        <v>2221.6852162040527</v>
      </c>
      <c r="N586" s="2">
        <v>2155.0346597179309</v>
      </c>
      <c r="O586" s="2">
        <v>2090.3836199263928</v>
      </c>
    </row>
    <row r="587" spans="1:15" x14ac:dyDescent="0.25">
      <c r="A587" t="s">
        <v>2374</v>
      </c>
      <c r="B587" t="s">
        <v>2375</v>
      </c>
      <c r="C587" s="2">
        <v>3007.9645640000003</v>
      </c>
      <c r="D587" s="2">
        <v>2917.7256270800003</v>
      </c>
      <c r="E587" s="2">
        <v>2830.1938582676003</v>
      </c>
      <c r="F587" s="2">
        <v>2745.2880425195722</v>
      </c>
      <c r="G587" s="2">
        <v>2662.929401243985</v>
      </c>
      <c r="H587" s="2">
        <v>2583.0415192066653</v>
      </c>
      <c r="I587" s="2">
        <v>2505.5502736304652</v>
      </c>
      <c r="J587" s="2">
        <v>2430.3837654215513</v>
      </c>
      <c r="K587" s="2">
        <v>2357.4722524589047</v>
      </c>
      <c r="L587" s="2">
        <v>2286.7480848851374</v>
      </c>
      <c r="M587" s="2">
        <v>2218.145642338583</v>
      </c>
      <c r="N587" s="2">
        <v>2151.6012730684256</v>
      </c>
      <c r="O587" s="2">
        <v>2087.0532348763727</v>
      </c>
    </row>
    <row r="588" spans="1:15" x14ac:dyDescent="0.25">
      <c r="A588" t="s">
        <v>2376</v>
      </c>
      <c r="B588" t="s">
        <v>2377</v>
      </c>
      <c r="C588" s="2">
        <v>3005.6076160000007</v>
      </c>
      <c r="D588" s="2">
        <v>2915.4393875200008</v>
      </c>
      <c r="E588" s="2">
        <v>2827.9762058944007</v>
      </c>
      <c r="F588" s="2">
        <v>2743.1369197175686</v>
      </c>
      <c r="G588" s="2">
        <v>2660.8428121260413</v>
      </c>
      <c r="H588" s="2">
        <v>2581.0175277622598</v>
      </c>
      <c r="I588" s="2">
        <v>2503.587001929392</v>
      </c>
      <c r="J588" s="2">
        <v>2428.4793918715104</v>
      </c>
      <c r="K588" s="2">
        <v>2355.6250101153651</v>
      </c>
      <c r="L588" s="2">
        <v>2284.9562598119041</v>
      </c>
      <c r="M588" s="2">
        <v>2216.407572017547</v>
      </c>
      <c r="N588" s="2">
        <v>2149.9153448570205</v>
      </c>
      <c r="O588" s="2">
        <v>2085.4178845113097</v>
      </c>
    </row>
    <row r="589" spans="1:15" x14ac:dyDescent="0.25">
      <c r="A589" t="s">
        <v>2378</v>
      </c>
      <c r="B589" t="s">
        <v>2379</v>
      </c>
      <c r="C589" s="2">
        <v>2999.4303680000003</v>
      </c>
      <c r="D589" s="2">
        <v>2909.4474569600002</v>
      </c>
      <c r="E589" s="2">
        <v>2822.1640332512002</v>
      </c>
      <c r="F589" s="2">
        <v>2737.499112253664</v>
      </c>
      <c r="G589" s="2">
        <v>2655.374138886054</v>
      </c>
      <c r="H589" s="2">
        <v>2575.7129147194723</v>
      </c>
      <c r="I589" s="2">
        <v>2498.4415272778879</v>
      </c>
      <c r="J589" s="2">
        <v>2423.4882814595512</v>
      </c>
      <c r="K589" s="2">
        <v>2350.7836330157647</v>
      </c>
      <c r="L589" s="2">
        <v>2280.2601240252916</v>
      </c>
      <c r="M589" s="2">
        <v>2211.8523203045329</v>
      </c>
      <c r="N589" s="2">
        <v>2145.4967506953967</v>
      </c>
      <c r="O589" s="2">
        <v>2081.1318481745348</v>
      </c>
    </row>
    <row r="590" spans="1:15" x14ac:dyDescent="0.25">
      <c r="A590" t="s">
        <v>2380</v>
      </c>
      <c r="B590" t="s">
        <v>2381</v>
      </c>
      <c r="C590" s="2">
        <v>2998.8722500000003</v>
      </c>
      <c r="D590" s="2">
        <v>2908.9060825000001</v>
      </c>
      <c r="E590" s="2">
        <v>2821.6389000250001</v>
      </c>
      <c r="F590" s="2">
        <v>2736.9897330242502</v>
      </c>
      <c r="G590" s="2">
        <v>2654.8800410335225</v>
      </c>
      <c r="H590" s="2">
        <v>2575.2336398025168</v>
      </c>
      <c r="I590" s="2">
        <v>2497.9766306084412</v>
      </c>
      <c r="J590" s="2">
        <v>2423.0373316901878</v>
      </c>
      <c r="K590" s="2">
        <v>2350.346211739482</v>
      </c>
      <c r="L590" s="2">
        <v>2279.8358253872975</v>
      </c>
      <c r="M590" s="2">
        <v>2211.4407506256784</v>
      </c>
      <c r="N590" s="2">
        <v>2145.0975281069082</v>
      </c>
      <c r="O590" s="2">
        <v>2080.7446022637009</v>
      </c>
    </row>
    <row r="591" spans="1:15" x14ac:dyDescent="0.25">
      <c r="A591" t="s">
        <v>2382</v>
      </c>
      <c r="B591" t="s">
        <v>2383</v>
      </c>
      <c r="C591" s="2">
        <v>2997.100238</v>
      </c>
      <c r="D591" s="2">
        <v>2907.18723086</v>
      </c>
      <c r="E591" s="2">
        <v>2819.9716139341999</v>
      </c>
      <c r="F591" s="2">
        <v>2735.3724655161736</v>
      </c>
      <c r="G591" s="2">
        <v>2653.3112915506886</v>
      </c>
      <c r="H591" s="2">
        <v>2573.711952804168</v>
      </c>
      <c r="I591" s="2">
        <v>2496.5005942200428</v>
      </c>
      <c r="J591" s="2">
        <v>2421.6055763934414</v>
      </c>
      <c r="K591" s="2">
        <v>2348.9574091016379</v>
      </c>
      <c r="L591" s="2">
        <v>2278.4886868285889</v>
      </c>
      <c r="M591" s="2">
        <v>2210.1340262237313</v>
      </c>
      <c r="N591" s="2">
        <v>2143.8300054370193</v>
      </c>
      <c r="O591" s="2">
        <v>2079.5151052739088</v>
      </c>
    </row>
    <row r="592" spans="1:15" x14ac:dyDescent="0.25">
      <c r="A592" t="s">
        <v>2384</v>
      </c>
      <c r="B592" t="s">
        <v>2385</v>
      </c>
      <c r="C592" s="2">
        <v>2988.6788800000004</v>
      </c>
      <c r="D592" s="2">
        <v>2899.0185136000005</v>
      </c>
      <c r="E592" s="2">
        <v>2812.0479581920004</v>
      </c>
      <c r="F592" s="2">
        <v>2727.6865194462403</v>
      </c>
      <c r="G592" s="2">
        <v>2645.8559238628532</v>
      </c>
      <c r="H592" s="2">
        <v>2566.4802461469676</v>
      </c>
      <c r="I592" s="2">
        <v>2489.4858387625586</v>
      </c>
      <c r="J592" s="2">
        <v>2414.801263599682</v>
      </c>
      <c r="K592" s="2">
        <v>2342.3572256916914</v>
      </c>
      <c r="L592" s="2">
        <v>2272.0865089209406</v>
      </c>
      <c r="M592" s="2">
        <v>2203.9239136533124</v>
      </c>
      <c r="N592" s="2">
        <v>2137.8061962437132</v>
      </c>
      <c r="O592" s="2">
        <v>2073.6720103564016</v>
      </c>
    </row>
    <row r="593" spans="1:15" x14ac:dyDescent="0.25">
      <c r="A593" t="s">
        <v>2386</v>
      </c>
      <c r="B593" t="s">
        <v>2387</v>
      </c>
      <c r="C593" s="2">
        <v>2988.6358700000001</v>
      </c>
      <c r="D593" s="2">
        <v>2898.9767938999998</v>
      </c>
      <c r="E593" s="2">
        <v>2812.007490083</v>
      </c>
      <c r="F593" s="2">
        <v>2727.6472653805099</v>
      </c>
      <c r="G593" s="2">
        <v>2645.8178474190945</v>
      </c>
      <c r="H593" s="2">
        <v>2566.4433119965215</v>
      </c>
      <c r="I593" s="2">
        <v>2489.4500126366256</v>
      </c>
      <c r="J593" s="2">
        <v>2414.7665122575268</v>
      </c>
      <c r="K593" s="2">
        <v>2342.3235168898009</v>
      </c>
      <c r="L593" s="2">
        <v>2272.0538113831067</v>
      </c>
      <c r="M593" s="2">
        <v>2203.8921970416136</v>
      </c>
      <c r="N593" s="2">
        <v>2137.7754311303652</v>
      </c>
      <c r="O593" s="2">
        <v>2073.6421681964543</v>
      </c>
    </row>
    <row r="594" spans="1:15" x14ac:dyDescent="0.25">
      <c r="A594" t="s">
        <v>2388</v>
      </c>
      <c r="B594" t="s">
        <v>2389</v>
      </c>
      <c r="C594" s="2">
        <v>2985.2542720000006</v>
      </c>
      <c r="D594" s="2">
        <v>2895.6966438400004</v>
      </c>
      <c r="E594" s="2">
        <v>2808.8257445248005</v>
      </c>
      <c r="F594" s="2">
        <v>2724.5609721890564</v>
      </c>
      <c r="G594" s="2">
        <v>2642.8241430233847</v>
      </c>
      <c r="H594" s="2">
        <v>2563.5394187326833</v>
      </c>
      <c r="I594" s="2">
        <v>2486.6332361707027</v>
      </c>
      <c r="J594" s="2">
        <v>2412.0342390855817</v>
      </c>
      <c r="K594" s="2">
        <v>2339.6732119130143</v>
      </c>
      <c r="L594" s="2">
        <v>2269.4830155556238</v>
      </c>
      <c r="M594" s="2">
        <v>2201.398525088955</v>
      </c>
      <c r="N594" s="2">
        <v>2135.3565693362862</v>
      </c>
      <c r="O594" s="2">
        <v>2071.2958722561975</v>
      </c>
    </row>
    <row r="595" spans="1:15" x14ac:dyDescent="0.25">
      <c r="A595" t="s">
        <v>2390</v>
      </c>
      <c r="B595" t="s">
        <v>2391</v>
      </c>
      <c r="C595" s="2">
        <v>2984.9142400000005</v>
      </c>
      <c r="D595" s="2">
        <v>2895.3668128000004</v>
      </c>
      <c r="E595" s="2">
        <v>2808.5058084160005</v>
      </c>
      <c r="F595" s="2">
        <v>2724.2506341635203</v>
      </c>
      <c r="G595" s="2">
        <v>2642.5231151386147</v>
      </c>
      <c r="H595" s="2">
        <v>2563.2474216844562</v>
      </c>
      <c r="I595" s="2">
        <v>2486.3499990339224</v>
      </c>
      <c r="J595" s="2">
        <v>2411.7594990629045</v>
      </c>
      <c r="K595" s="2">
        <v>2339.4067140910174</v>
      </c>
      <c r="L595" s="2">
        <v>2269.2245126682869</v>
      </c>
      <c r="M595" s="2">
        <v>2201.1477772882381</v>
      </c>
      <c r="N595" s="2">
        <v>2135.1133439695909</v>
      </c>
      <c r="O595" s="2">
        <v>2071.0599436505031</v>
      </c>
    </row>
    <row r="596" spans="1:15" x14ac:dyDescent="0.25">
      <c r="A596" t="s">
        <v>2392</v>
      </c>
      <c r="B596" t="s">
        <v>2393</v>
      </c>
      <c r="C596" s="2">
        <v>2983.667456000001</v>
      </c>
      <c r="D596" s="2">
        <v>2894.1574323200011</v>
      </c>
      <c r="E596" s="2">
        <v>2807.3327093504008</v>
      </c>
      <c r="F596" s="2">
        <v>2723.1127280698888</v>
      </c>
      <c r="G596" s="2">
        <v>2641.4193462277922</v>
      </c>
      <c r="H596" s="2">
        <v>2562.1767658409585</v>
      </c>
      <c r="I596" s="2">
        <v>2485.3114628657295</v>
      </c>
      <c r="J596" s="2">
        <v>2410.7521189797576</v>
      </c>
      <c r="K596" s="2">
        <v>2338.4295554103646</v>
      </c>
      <c r="L596" s="2">
        <v>2268.2766687480535</v>
      </c>
      <c r="M596" s="2">
        <v>2200.2283686856117</v>
      </c>
      <c r="N596" s="2">
        <v>2134.2215176250434</v>
      </c>
      <c r="O596" s="2">
        <v>2070.1948720962919</v>
      </c>
    </row>
    <row r="597" spans="1:15" x14ac:dyDescent="0.25">
      <c r="A597" t="s">
        <v>2394</v>
      </c>
      <c r="B597" t="s">
        <v>2395</v>
      </c>
      <c r="C597" s="2">
        <v>2982.3235200000004</v>
      </c>
      <c r="D597" s="2">
        <v>2892.8538144000004</v>
      </c>
      <c r="E597" s="2">
        <v>2806.0681999680005</v>
      </c>
      <c r="F597" s="2">
        <v>2721.8861539689606</v>
      </c>
      <c r="G597" s="2">
        <v>2640.2295693498918</v>
      </c>
      <c r="H597" s="2">
        <v>2561.0226822693949</v>
      </c>
      <c r="I597" s="2">
        <v>2484.1920018013129</v>
      </c>
      <c r="J597" s="2">
        <v>2409.6662417472735</v>
      </c>
      <c r="K597" s="2">
        <v>2337.3762544948554</v>
      </c>
      <c r="L597" s="2">
        <v>2267.2549668600095</v>
      </c>
      <c r="M597" s="2">
        <v>2199.2373178542093</v>
      </c>
      <c r="N597" s="2">
        <v>2133.2601983185832</v>
      </c>
      <c r="O597" s="2">
        <v>2069.2623923690257</v>
      </c>
    </row>
    <row r="598" spans="1:15" x14ac:dyDescent="0.25">
      <c r="A598" t="s">
        <v>2396</v>
      </c>
      <c r="B598" t="s">
        <v>2397</v>
      </c>
      <c r="C598" s="2">
        <v>2978.3160000000003</v>
      </c>
      <c r="D598" s="2">
        <v>2888.9665199999999</v>
      </c>
      <c r="E598" s="2">
        <v>2802.2975243999999</v>
      </c>
      <c r="F598" s="2">
        <v>2718.2285986679999</v>
      </c>
      <c r="G598" s="2">
        <v>2636.6817407079598</v>
      </c>
      <c r="H598" s="2">
        <v>2557.581288486721</v>
      </c>
      <c r="I598" s="2">
        <v>2480.8538498321191</v>
      </c>
      <c r="J598" s="2">
        <v>2406.4282343371556</v>
      </c>
      <c r="K598" s="2">
        <v>2334.235387307041</v>
      </c>
      <c r="L598" s="2">
        <v>2264.2083256878295</v>
      </c>
      <c r="M598" s="2">
        <v>2196.2820759171946</v>
      </c>
      <c r="N598" s="2">
        <v>2130.3936136396787</v>
      </c>
      <c r="O598" s="2">
        <v>2066.4818052304881</v>
      </c>
    </row>
    <row r="599" spans="1:15" x14ac:dyDescent="0.25">
      <c r="A599" t="s">
        <v>2398</v>
      </c>
      <c r="B599" t="s">
        <v>2399</v>
      </c>
      <c r="C599" s="2">
        <v>2976.972064000001</v>
      </c>
      <c r="D599" s="2">
        <v>2887.662902080001</v>
      </c>
      <c r="E599" s="2">
        <v>2801.033015017601</v>
      </c>
      <c r="F599" s="2">
        <v>2717.002024567073</v>
      </c>
      <c r="G599" s="2">
        <v>2635.4919638300607</v>
      </c>
      <c r="H599" s="2">
        <v>2556.4272049151587</v>
      </c>
      <c r="I599" s="2">
        <v>2479.7343887677039</v>
      </c>
      <c r="J599" s="2">
        <v>2405.3423571046728</v>
      </c>
      <c r="K599" s="2">
        <v>2333.1820863915327</v>
      </c>
      <c r="L599" s="2">
        <v>2263.1866237997865</v>
      </c>
      <c r="M599" s="2">
        <v>2195.2910250857926</v>
      </c>
      <c r="N599" s="2">
        <v>2129.4322943332186</v>
      </c>
      <c r="O599" s="2">
        <v>2065.549325503222</v>
      </c>
    </row>
    <row r="600" spans="1:15" x14ac:dyDescent="0.25">
      <c r="A600" t="s">
        <v>2400</v>
      </c>
      <c r="B600" t="s">
        <v>2401</v>
      </c>
      <c r="C600" s="2">
        <v>2973.7802160000006</v>
      </c>
      <c r="D600" s="2">
        <v>2884.5668095200003</v>
      </c>
      <c r="E600" s="2">
        <v>2798.0298052344001</v>
      </c>
      <c r="F600" s="2">
        <v>2714.0889110773678</v>
      </c>
      <c r="G600" s="2">
        <v>2632.6662437450468</v>
      </c>
      <c r="H600" s="2">
        <v>2553.6862564326952</v>
      </c>
      <c r="I600" s="2">
        <v>2477.0756687397143</v>
      </c>
      <c r="J600" s="2">
        <v>2402.7633986775227</v>
      </c>
      <c r="K600" s="2">
        <v>2330.680496717197</v>
      </c>
      <c r="L600" s="2">
        <v>2260.7600818156811</v>
      </c>
      <c r="M600" s="2">
        <v>2192.9372793612106</v>
      </c>
      <c r="N600" s="2">
        <v>2127.1491609803743</v>
      </c>
      <c r="O600" s="2">
        <v>2063.3346861509631</v>
      </c>
    </row>
    <row r="601" spans="1:15" x14ac:dyDescent="0.25">
      <c r="A601" t="s">
        <v>2402</v>
      </c>
      <c r="B601" t="s">
        <v>2403</v>
      </c>
      <c r="C601" s="2">
        <v>2969.8718720000006</v>
      </c>
      <c r="D601" s="2">
        <v>2880.7757158400004</v>
      </c>
      <c r="E601" s="2">
        <v>2794.3524443648002</v>
      </c>
      <c r="F601" s="2">
        <v>2710.5218710338563</v>
      </c>
      <c r="G601" s="2">
        <v>2629.2062149028407</v>
      </c>
      <c r="H601" s="2">
        <v>2550.3300284557554</v>
      </c>
      <c r="I601" s="2">
        <v>2473.8201276020827</v>
      </c>
      <c r="J601" s="2">
        <v>2399.6055237740202</v>
      </c>
      <c r="K601" s="2">
        <v>2327.6173580607997</v>
      </c>
      <c r="L601" s="2">
        <v>2257.7888373189758</v>
      </c>
      <c r="M601" s="2">
        <v>2190.0551721994066</v>
      </c>
      <c r="N601" s="2">
        <v>2124.3535170334244</v>
      </c>
      <c r="O601" s="2">
        <v>2060.6229115224214</v>
      </c>
    </row>
    <row r="602" spans="1:15" x14ac:dyDescent="0.25">
      <c r="A602" t="s">
        <v>2404</v>
      </c>
      <c r="B602" t="s">
        <v>2405</v>
      </c>
      <c r="C602" s="2">
        <v>2966.5889440000001</v>
      </c>
      <c r="D602" s="2">
        <v>2877.5912756799999</v>
      </c>
      <c r="E602" s="2">
        <v>2791.2635374095998</v>
      </c>
      <c r="F602" s="2">
        <v>2707.5256312873116</v>
      </c>
      <c r="G602" s="2">
        <v>2626.2998623486924</v>
      </c>
      <c r="H602" s="2">
        <v>2547.5108664782315</v>
      </c>
      <c r="I602" s="2">
        <v>2471.0855404838844</v>
      </c>
      <c r="J602" s="2">
        <v>2396.952974269368</v>
      </c>
      <c r="K602" s="2">
        <v>2325.0443850412871</v>
      </c>
      <c r="L602" s="2">
        <v>2255.2930534900484</v>
      </c>
      <c r="M602" s="2">
        <v>2187.6342618853469</v>
      </c>
      <c r="N602" s="2">
        <v>2122.0052340287866</v>
      </c>
      <c r="O602" s="2">
        <v>2058.345077007923</v>
      </c>
    </row>
    <row r="603" spans="1:15" x14ac:dyDescent="0.25">
      <c r="A603" t="s">
        <v>2406</v>
      </c>
      <c r="B603" t="s">
        <v>2407</v>
      </c>
      <c r="C603" s="2">
        <v>2962.8850240000011</v>
      </c>
      <c r="D603" s="2">
        <v>2873.9984732800008</v>
      </c>
      <c r="E603" s="2">
        <v>2787.7785190816007</v>
      </c>
      <c r="F603" s="2">
        <v>2704.1451635091526</v>
      </c>
      <c r="G603" s="2">
        <v>2623.0208086038779</v>
      </c>
      <c r="H603" s="2">
        <v>2544.3301843457616</v>
      </c>
      <c r="I603" s="2">
        <v>2468.0002788153888</v>
      </c>
      <c r="J603" s="2">
        <v>2393.9602704509271</v>
      </c>
      <c r="K603" s="2">
        <v>2322.1414623373994</v>
      </c>
      <c r="L603" s="2">
        <v>2252.4772184672775</v>
      </c>
      <c r="M603" s="2">
        <v>2184.902901913259</v>
      </c>
      <c r="N603" s="2">
        <v>2119.3558148558614</v>
      </c>
      <c r="O603" s="2">
        <v>2055.7751404101855</v>
      </c>
    </row>
    <row r="604" spans="1:15" x14ac:dyDescent="0.25">
      <c r="A604" t="s">
        <v>2408</v>
      </c>
      <c r="B604" t="s">
        <v>2409</v>
      </c>
      <c r="C604" s="2">
        <v>2960.5371840000003</v>
      </c>
      <c r="D604" s="2">
        <v>2871.7210684800002</v>
      </c>
      <c r="E604" s="2">
        <v>2785.5694364256001</v>
      </c>
      <c r="F604" s="2">
        <v>2702.0023533328322</v>
      </c>
      <c r="G604" s="2">
        <v>2620.9422827328472</v>
      </c>
      <c r="H604" s="2">
        <v>2542.3140142508619</v>
      </c>
      <c r="I604" s="2">
        <v>2466.0445938233361</v>
      </c>
      <c r="J604" s="2">
        <v>2392.063256008636</v>
      </c>
      <c r="K604" s="2">
        <v>2320.3013583283769</v>
      </c>
      <c r="L604" s="2">
        <v>2250.6923175785255</v>
      </c>
      <c r="M604" s="2">
        <v>2183.1715480511698</v>
      </c>
      <c r="N604" s="2">
        <v>2117.6764016096345</v>
      </c>
      <c r="O604" s="2">
        <v>2054.1461095613454</v>
      </c>
    </row>
    <row r="605" spans="1:15" x14ac:dyDescent="0.25">
      <c r="A605" t="s">
        <v>2410</v>
      </c>
      <c r="B605" t="s">
        <v>2411</v>
      </c>
      <c r="C605" s="2">
        <v>2960.0271360000002</v>
      </c>
      <c r="D605" s="2">
        <v>2871.2263219199999</v>
      </c>
      <c r="E605" s="2">
        <v>2785.0895322623996</v>
      </c>
      <c r="F605" s="2">
        <v>2701.5368462945275</v>
      </c>
      <c r="G605" s="2">
        <v>2620.4907409056918</v>
      </c>
      <c r="H605" s="2">
        <v>2541.8760186785212</v>
      </c>
      <c r="I605" s="2">
        <v>2465.6197381181655</v>
      </c>
      <c r="J605" s="2">
        <v>2391.6511459746207</v>
      </c>
      <c r="K605" s="2">
        <v>2319.9016115953818</v>
      </c>
      <c r="L605" s="2">
        <v>2250.3045632475205</v>
      </c>
      <c r="M605" s="2">
        <v>2182.7954263500947</v>
      </c>
      <c r="N605" s="2">
        <v>2117.3115635595918</v>
      </c>
      <c r="O605" s="2">
        <v>2053.7922166528042</v>
      </c>
    </row>
    <row r="606" spans="1:15" x14ac:dyDescent="0.25">
      <c r="A606" t="s">
        <v>2412</v>
      </c>
      <c r="B606" t="s">
        <v>2413</v>
      </c>
      <c r="C606" s="2">
        <v>2944.2480320000009</v>
      </c>
      <c r="D606" s="2">
        <v>2855.9205910400005</v>
      </c>
      <c r="E606" s="2">
        <v>2770.2429733088006</v>
      </c>
      <c r="F606" s="2">
        <v>2687.1356841095367</v>
      </c>
      <c r="G606" s="2">
        <v>2606.5216135862506</v>
      </c>
      <c r="H606" s="2">
        <v>2528.325965178663</v>
      </c>
      <c r="I606" s="2">
        <v>2452.4761862233031</v>
      </c>
      <c r="J606" s="2">
        <v>2378.9019006366038</v>
      </c>
      <c r="K606" s="2">
        <v>2307.5348436175059</v>
      </c>
      <c r="L606" s="2">
        <v>2238.3087983089808</v>
      </c>
      <c r="M606" s="2">
        <v>2171.1595343597114</v>
      </c>
      <c r="N606" s="2">
        <v>2106.0247483289199</v>
      </c>
      <c r="O606" s="2">
        <v>2042.8440058790522</v>
      </c>
    </row>
    <row r="607" spans="1:15" x14ac:dyDescent="0.25">
      <c r="A607" t="s">
        <v>2414</v>
      </c>
      <c r="B607" t="s">
        <v>2415</v>
      </c>
      <c r="C607" s="2">
        <v>2942.288294</v>
      </c>
      <c r="D607" s="2">
        <v>2854.0196451799998</v>
      </c>
      <c r="E607" s="2">
        <v>2768.3990558245996</v>
      </c>
      <c r="F607" s="2">
        <v>2685.3470841498615</v>
      </c>
      <c r="G607" s="2">
        <v>2604.7866716253657</v>
      </c>
      <c r="H607" s="2">
        <v>2526.6430714766047</v>
      </c>
      <c r="I607" s="2">
        <v>2450.8437793323064</v>
      </c>
      <c r="J607" s="2">
        <v>2377.3184659523372</v>
      </c>
      <c r="K607" s="2">
        <v>2305.998911973767</v>
      </c>
      <c r="L607" s="2">
        <v>2236.8189446145539</v>
      </c>
      <c r="M607" s="2">
        <v>2169.714376276117</v>
      </c>
      <c r="N607" s="2">
        <v>2104.6229449878333</v>
      </c>
      <c r="O607" s="2">
        <v>2041.4842566381983</v>
      </c>
    </row>
    <row r="608" spans="1:15" x14ac:dyDescent="0.25">
      <c r="A608" t="s">
        <v>2416</v>
      </c>
      <c r="B608" t="s">
        <v>2417</v>
      </c>
      <c r="C608" s="2">
        <v>2940.5805440000004</v>
      </c>
      <c r="D608" s="2">
        <v>2852.3631276800002</v>
      </c>
      <c r="E608" s="2">
        <v>2766.7922338496001</v>
      </c>
      <c r="F608" s="2">
        <v>2683.7884668341121</v>
      </c>
      <c r="G608" s="2">
        <v>2603.2748128290887</v>
      </c>
      <c r="H608" s="2">
        <v>2525.1765684442157</v>
      </c>
      <c r="I608" s="2">
        <v>2449.4212713908892</v>
      </c>
      <c r="J608" s="2">
        <v>2375.9386332491622</v>
      </c>
      <c r="K608" s="2">
        <v>2304.6604742516874</v>
      </c>
      <c r="L608" s="2">
        <v>2235.5206600241368</v>
      </c>
      <c r="M608" s="2">
        <v>2168.4550402234127</v>
      </c>
      <c r="N608" s="2">
        <v>2103.4013890167103</v>
      </c>
      <c r="O608" s="2">
        <v>2040.2993473462088</v>
      </c>
    </row>
    <row r="609" spans="1:15" x14ac:dyDescent="0.25">
      <c r="A609" t="s">
        <v>2418</v>
      </c>
      <c r="B609" t="s">
        <v>2419</v>
      </c>
      <c r="C609" s="2">
        <v>2940.1109760000004</v>
      </c>
      <c r="D609" s="2">
        <v>2851.9076467200002</v>
      </c>
      <c r="E609" s="2">
        <v>2766.3504173184001</v>
      </c>
      <c r="F609" s="2">
        <v>2683.3599047988482</v>
      </c>
      <c r="G609" s="2">
        <v>2602.8591076548828</v>
      </c>
      <c r="H609" s="2">
        <v>2524.773334425236</v>
      </c>
      <c r="I609" s="2">
        <v>2449.0301343924789</v>
      </c>
      <c r="J609" s="2">
        <v>2375.5592303607045</v>
      </c>
      <c r="K609" s="2">
        <v>2304.2924534498834</v>
      </c>
      <c r="L609" s="2">
        <v>2235.1636798463869</v>
      </c>
      <c r="M609" s="2">
        <v>2168.1087694509952</v>
      </c>
      <c r="N609" s="2">
        <v>2103.0655063674653</v>
      </c>
      <c r="O609" s="2">
        <v>2039.9735411764414</v>
      </c>
    </row>
    <row r="610" spans="1:15" x14ac:dyDescent="0.25">
      <c r="A610" t="s">
        <v>2420</v>
      </c>
      <c r="B610" t="s">
        <v>2421</v>
      </c>
      <c r="C610" s="2">
        <v>2939.4228160000002</v>
      </c>
      <c r="D610" s="2">
        <v>2851.24013152</v>
      </c>
      <c r="E610" s="2">
        <v>2765.7029275743998</v>
      </c>
      <c r="F610" s="2">
        <v>2682.7318397471677</v>
      </c>
      <c r="G610" s="2">
        <v>2602.2498845547525</v>
      </c>
      <c r="H610" s="2">
        <v>2524.18238801811</v>
      </c>
      <c r="I610" s="2">
        <v>2448.4569163775668</v>
      </c>
      <c r="J610" s="2">
        <v>2375.0032088862399</v>
      </c>
      <c r="K610" s="2">
        <v>2303.7531126196527</v>
      </c>
      <c r="L610" s="2">
        <v>2234.640519241063</v>
      </c>
      <c r="M610" s="2">
        <v>2167.601303663831</v>
      </c>
      <c r="N610" s="2">
        <v>2102.573264553916</v>
      </c>
      <c r="O610" s="2">
        <v>2039.4960666172985</v>
      </c>
    </row>
    <row r="611" spans="1:15" x14ac:dyDescent="0.25">
      <c r="A611" t="s">
        <v>2422</v>
      </c>
      <c r="B611" t="s">
        <v>2423</v>
      </c>
      <c r="C611" s="2">
        <v>2939.0969520000003</v>
      </c>
      <c r="D611" s="2">
        <v>2850.9240434400003</v>
      </c>
      <c r="E611" s="2">
        <v>2765.3963221368003</v>
      </c>
      <c r="F611" s="2">
        <v>2682.4344324726962</v>
      </c>
      <c r="G611" s="2">
        <v>2601.9613994985152</v>
      </c>
      <c r="H611" s="2">
        <v>2523.9025575135597</v>
      </c>
      <c r="I611" s="2">
        <v>2448.1854807881527</v>
      </c>
      <c r="J611" s="2">
        <v>2374.7399163645082</v>
      </c>
      <c r="K611" s="2">
        <v>2303.4977188735729</v>
      </c>
      <c r="L611" s="2">
        <v>2234.3927873073658</v>
      </c>
      <c r="M611" s="2">
        <v>2167.3610036881446</v>
      </c>
      <c r="N611" s="2">
        <v>2102.3401735775001</v>
      </c>
      <c r="O611" s="2">
        <v>2039.2699683701751</v>
      </c>
    </row>
    <row r="612" spans="1:15" x14ac:dyDescent="0.25">
      <c r="A612" t="s">
        <v>2424</v>
      </c>
      <c r="B612" t="s">
        <v>2425</v>
      </c>
      <c r="C612" s="2">
        <v>2934.4356800000005</v>
      </c>
      <c r="D612" s="2">
        <v>2846.4026096000002</v>
      </c>
      <c r="E612" s="2">
        <v>2761.0105313120002</v>
      </c>
      <c r="F612" s="2">
        <v>2678.1802153726403</v>
      </c>
      <c r="G612" s="2">
        <v>2597.8348089114611</v>
      </c>
      <c r="H612" s="2">
        <v>2519.8997646441171</v>
      </c>
      <c r="I612" s="2">
        <v>2444.3027717047935</v>
      </c>
      <c r="J612" s="2">
        <v>2370.9736885536495</v>
      </c>
      <c r="K612" s="2">
        <v>2299.8444778970397</v>
      </c>
      <c r="L612" s="2">
        <v>2230.8491435601286</v>
      </c>
      <c r="M612" s="2">
        <v>2163.9236692533245</v>
      </c>
      <c r="N612" s="2">
        <v>2099.0059591757249</v>
      </c>
      <c r="O612" s="2">
        <v>2036.0357804004532</v>
      </c>
    </row>
    <row r="613" spans="1:15" x14ac:dyDescent="0.25">
      <c r="A613" t="s">
        <v>2426</v>
      </c>
      <c r="B613" t="s">
        <v>2427</v>
      </c>
      <c r="C613" s="2">
        <v>2933.6518860000001</v>
      </c>
      <c r="D613" s="2">
        <v>2845.6423294199999</v>
      </c>
      <c r="E613" s="2">
        <v>2760.2730595373996</v>
      </c>
      <c r="F613" s="2">
        <v>2677.4648677512773</v>
      </c>
      <c r="G613" s="2">
        <v>2597.1409217187388</v>
      </c>
      <c r="H613" s="2">
        <v>2519.2266940671766</v>
      </c>
      <c r="I613" s="2">
        <v>2443.6498932451614</v>
      </c>
      <c r="J613" s="2">
        <v>2370.3403964478066</v>
      </c>
      <c r="K613" s="2">
        <v>2299.2301845543725</v>
      </c>
      <c r="L613" s="2">
        <v>2230.2532790177411</v>
      </c>
      <c r="M613" s="2">
        <v>2163.3456806472086</v>
      </c>
      <c r="N613" s="2">
        <v>2098.4453102277921</v>
      </c>
      <c r="O613" s="2">
        <v>2035.4919509209583</v>
      </c>
    </row>
    <row r="614" spans="1:15" x14ac:dyDescent="0.25">
      <c r="A614" t="s">
        <v>2428</v>
      </c>
      <c r="B614" t="s">
        <v>2429</v>
      </c>
      <c r="C614" s="2">
        <v>2933.0411439999998</v>
      </c>
      <c r="D614" s="2">
        <v>2845.0499096799999</v>
      </c>
      <c r="E614" s="2">
        <v>2759.6984123896</v>
      </c>
      <c r="F614" s="2">
        <v>2676.9074600179119</v>
      </c>
      <c r="G614" s="2">
        <v>2596.6002362173745</v>
      </c>
      <c r="H614" s="2">
        <v>2518.7022291308531</v>
      </c>
      <c r="I614" s="2">
        <v>2443.1411622569276</v>
      </c>
      <c r="J614" s="2">
        <v>2369.8469273892197</v>
      </c>
      <c r="K614" s="2">
        <v>2298.7515195675428</v>
      </c>
      <c r="L614" s="2">
        <v>2229.7889739805164</v>
      </c>
      <c r="M614" s="2">
        <v>2162.8953047611008</v>
      </c>
      <c r="N614" s="2">
        <v>2098.0084456182676</v>
      </c>
      <c r="O614" s="2">
        <v>2035.0681922497195</v>
      </c>
    </row>
    <row r="615" spans="1:15" x14ac:dyDescent="0.25">
      <c r="A615" t="s">
        <v>2430</v>
      </c>
      <c r="B615" t="s">
        <v>2431</v>
      </c>
      <c r="C615" s="2">
        <v>2931.8044800000007</v>
      </c>
      <c r="D615" s="2">
        <v>2843.8503456000008</v>
      </c>
      <c r="E615" s="2">
        <v>2758.5348352320007</v>
      </c>
      <c r="F615" s="2">
        <v>2675.7787901750407</v>
      </c>
      <c r="G615" s="2">
        <v>2595.5054264697897</v>
      </c>
      <c r="H615" s="2">
        <v>2517.6402636756957</v>
      </c>
      <c r="I615" s="2">
        <v>2442.1110557654247</v>
      </c>
      <c r="J615" s="2">
        <v>2368.8477240924617</v>
      </c>
      <c r="K615" s="2">
        <v>2297.7822923696876</v>
      </c>
      <c r="L615" s="2">
        <v>2228.8488235985969</v>
      </c>
      <c r="M615" s="2">
        <v>2161.983358890639</v>
      </c>
      <c r="N615" s="2">
        <v>2097.1238581239199</v>
      </c>
      <c r="O615" s="2">
        <v>2034.2101423802023</v>
      </c>
    </row>
    <row r="616" spans="1:15" x14ac:dyDescent="0.25">
      <c r="A616" t="s">
        <v>2432</v>
      </c>
      <c r="B616" t="s">
        <v>2433</v>
      </c>
      <c r="C616" s="2">
        <v>2930.6629440000006</v>
      </c>
      <c r="D616" s="2">
        <v>2842.7430556800005</v>
      </c>
      <c r="E616" s="2">
        <v>2757.4607640096006</v>
      </c>
      <c r="F616" s="2">
        <v>2674.7369410893125</v>
      </c>
      <c r="G616" s="2">
        <v>2594.4948328566329</v>
      </c>
      <c r="H616" s="2">
        <v>2516.6599878709339</v>
      </c>
      <c r="I616" s="2">
        <v>2441.1601882348059</v>
      </c>
      <c r="J616" s="2">
        <v>2367.9253825877618</v>
      </c>
      <c r="K616" s="2">
        <v>2296.8876211101287</v>
      </c>
      <c r="L616" s="2">
        <v>2227.9809924768247</v>
      </c>
      <c r="M616" s="2">
        <v>2161.1415627025199</v>
      </c>
      <c r="N616" s="2">
        <v>2096.3073158214443</v>
      </c>
      <c r="O616" s="2">
        <v>2033.4180963468009</v>
      </c>
    </row>
    <row r="617" spans="1:15" x14ac:dyDescent="0.25">
      <c r="A617" t="s">
        <v>2434</v>
      </c>
      <c r="B617" t="s">
        <v>2435</v>
      </c>
      <c r="C617" s="2">
        <v>2929.8584040000001</v>
      </c>
      <c r="D617" s="2">
        <v>2841.9626518800001</v>
      </c>
      <c r="E617" s="2">
        <v>2756.7037723235999</v>
      </c>
      <c r="F617" s="2">
        <v>2674.0026591538917</v>
      </c>
      <c r="G617" s="2">
        <v>2593.7825793792749</v>
      </c>
      <c r="H617" s="2">
        <v>2515.9691019978968</v>
      </c>
      <c r="I617" s="2">
        <v>2440.4900289379598</v>
      </c>
      <c r="J617" s="2">
        <v>2367.2753280698207</v>
      </c>
      <c r="K617" s="2">
        <v>2296.257068227726</v>
      </c>
      <c r="L617" s="2">
        <v>2227.3693561808941</v>
      </c>
      <c r="M617" s="2">
        <v>2160.5482754954674</v>
      </c>
      <c r="N617" s="2">
        <v>2095.7318272306034</v>
      </c>
      <c r="O617" s="2">
        <v>2032.8598724136853</v>
      </c>
    </row>
    <row r="618" spans="1:15" x14ac:dyDescent="0.25">
      <c r="A618" t="s">
        <v>2436</v>
      </c>
      <c r="B618" t="s">
        <v>2437</v>
      </c>
      <c r="C618" s="2">
        <v>2926.5177920000006</v>
      </c>
      <c r="D618" s="2">
        <v>2838.7222582400004</v>
      </c>
      <c r="E618" s="2">
        <v>2753.5605904928002</v>
      </c>
      <c r="F618" s="2">
        <v>2670.9537727780162</v>
      </c>
      <c r="G618" s="2">
        <v>2590.8251595946758</v>
      </c>
      <c r="H618" s="2">
        <v>2513.1004048068353</v>
      </c>
      <c r="I618" s="2">
        <v>2437.7073926626304</v>
      </c>
      <c r="J618" s="2">
        <v>2364.5761708827513</v>
      </c>
      <c r="K618" s="2">
        <v>2293.6388857562688</v>
      </c>
      <c r="L618" s="2">
        <v>2224.8297191835809</v>
      </c>
      <c r="M618" s="2">
        <v>2158.0848276080733</v>
      </c>
      <c r="N618" s="2">
        <v>2093.3422827798308</v>
      </c>
      <c r="O618" s="2">
        <v>2030.5420142964358</v>
      </c>
    </row>
    <row r="619" spans="1:15" x14ac:dyDescent="0.25">
      <c r="A619" t="s">
        <v>2438</v>
      </c>
      <c r="B619" t="s">
        <v>2439</v>
      </c>
      <c r="C619" s="2">
        <v>2926.4520120000002</v>
      </c>
      <c r="D619" s="2">
        <v>2838.6584516400003</v>
      </c>
      <c r="E619" s="2">
        <v>2753.4986980908002</v>
      </c>
      <c r="F619" s="2">
        <v>2670.8937371480761</v>
      </c>
      <c r="G619" s="2">
        <v>2590.7669250336339</v>
      </c>
      <c r="H619" s="2">
        <v>2513.043917282625</v>
      </c>
      <c r="I619" s="2">
        <v>2437.6525997641461</v>
      </c>
      <c r="J619" s="2">
        <v>2364.5230217712215</v>
      </c>
      <c r="K619" s="2">
        <v>2293.5873311180849</v>
      </c>
      <c r="L619" s="2">
        <v>2224.7797111845421</v>
      </c>
      <c r="M619" s="2">
        <v>2158.0363198490058</v>
      </c>
      <c r="N619" s="2">
        <v>2093.2952302535355</v>
      </c>
      <c r="O619" s="2">
        <v>2030.4963733459294</v>
      </c>
    </row>
    <row r="620" spans="1:15" x14ac:dyDescent="0.25">
      <c r="A620" t="s">
        <v>2440</v>
      </c>
      <c r="B620" t="s">
        <v>2441</v>
      </c>
      <c r="C620" s="2">
        <v>2922.5993280000002</v>
      </c>
      <c r="D620" s="2">
        <v>2834.92134816</v>
      </c>
      <c r="E620" s="2">
        <v>2749.8737077152</v>
      </c>
      <c r="F620" s="2">
        <v>2667.3774964837439</v>
      </c>
      <c r="G620" s="2">
        <v>2587.3561715892315</v>
      </c>
      <c r="H620" s="2">
        <v>2509.7354864415547</v>
      </c>
      <c r="I620" s="2">
        <v>2434.4434218483079</v>
      </c>
      <c r="J620" s="2">
        <v>2361.4101191928585</v>
      </c>
      <c r="K620" s="2">
        <v>2290.5678156170725</v>
      </c>
      <c r="L620" s="2">
        <v>2221.8507811485601</v>
      </c>
      <c r="M620" s="2">
        <v>2155.1952577141033</v>
      </c>
      <c r="N620" s="2">
        <v>2090.5393999826802</v>
      </c>
      <c r="O620" s="2">
        <v>2027.8232179831996</v>
      </c>
    </row>
    <row r="621" spans="1:15" x14ac:dyDescent="0.25">
      <c r="A621" t="s">
        <v>2442</v>
      </c>
      <c r="B621" t="s">
        <v>2443</v>
      </c>
      <c r="C621" s="2">
        <v>2920.1138560000009</v>
      </c>
      <c r="D621" s="2">
        <v>2832.5104403200007</v>
      </c>
      <c r="E621" s="2">
        <v>2747.5351271104005</v>
      </c>
      <c r="F621" s="2">
        <v>2665.1090732970883</v>
      </c>
      <c r="G621" s="2">
        <v>2585.1558010981757</v>
      </c>
      <c r="H621" s="2">
        <v>2507.6011270652302</v>
      </c>
      <c r="I621" s="2">
        <v>2432.3730932532731</v>
      </c>
      <c r="J621" s="2">
        <v>2359.4019004556749</v>
      </c>
      <c r="K621" s="2">
        <v>2288.6198434420044</v>
      </c>
      <c r="L621" s="2">
        <v>2219.9612481387444</v>
      </c>
      <c r="M621" s="2">
        <v>2153.3624106945822</v>
      </c>
      <c r="N621" s="2">
        <v>2088.7615383737448</v>
      </c>
      <c r="O621" s="2">
        <v>2026.0986922225325</v>
      </c>
    </row>
    <row r="622" spans="1:15" x14ac:dyDescent="0.25">
      <c r="A622" t="s">
        <v>2444</v>
      </c>
      <c r="B622" t="s">
        <v>2445</v>
      </c>
      <c r="C622" s="2">
        <v>2919.8547840000006</v>
      </c>
      <c r="D622" s="2">
        <v>2832.2591404800005</v>
      </c>
      <c r="E622" s="2">
        <v>2747.2913662656006</v>
      </c>
      <c r="F622" s="2">
        <v>2664.8726252776323</v>
      </c>
      <c r="G622" s="2">
        <v>2584.9264465193032</v>
      </c>
      <c r="H622" s="2">
        <v>2507.3786531237242</v>
      </c>
      <c r="I622" s="2">
        <v>2432.1572935300123</v>
      </c>
      <c r="J622" s="2">
        <v>2359.1925747241121</v>
      </c>
      <c r="K622" s="2">
        <v>2288.4167974823886</v>
      </c>
      <c r="L622" s="2">
        <v>2219.764293557917</v>
      </c>
      <c r="M622" s="2">
        <v>2153.1713647511792</v>
      </c>
      <c r="N622" s="2">
        <v>2088.5762238086436</v>
      </c>
      <c r="O622" s="2">
        <v>2025.9189370943843</v>
      </c>
    </row>
    <row r="623" spans="1:15" x14ac:dyDescent="0.25">
      <c r="A623" t="s">
        <v>2446</v>
      </c>
      <c r="B623" t="s">
        <v>2447</v>
      </c>
      <c r="C623" s="2">
        <v>2913.1103100000005</v>
      </c>
      <c r="D623" s="2">
        <v>2825.7170007000004</v>
      </c>
      <c r="E623" s="2">
        <v>2740.9454906790002</v>
      </c>
      <c r="F623" s="2">
        <v>2658.7171259586303</v>
      </c>
      <c r="G623" s="2">
        <v>2578.9556121798714</v>
      </c>
      <c r="H623" s="2">
        <v>2501.586943814475</v>
      </c>
      <c r="I623" s="2">
        <v>2426.5393355000406</v>
      </c>
      <c r="J623" s="2">
        <v>2353.7431554350392</v>
      </c>
      <c r="K623" s="2">
        <v>2283.130860771988</v>
      </c>
      <c r="L623" s="2">
        <v>2214.6369349488282</v>
      </c>
      <c r="M623" s="2">
        <v>2148.1978269003635</v>
      </c>
      <c r="N623" s="2">
        <v>2083.7518920933526</v>
      </c>
      <c r="O623" s="2">
        <v>2021.239335330552</v>
      </c>
    </row>
    <row r="624" spans="1:15" x14ac:dyDescent="0.25">
      <c r="A624" t="s">
        <v>2448</v>
      </c>
      <c r="B624" t="s">
        <v>2449</v>
      </c>
      <c r="C624" s="2">
        <v>2913.0586979999998</v>
      </c>
      <c r="D624" s="2">
        <v>2825.6669370599998</v>
      </c>
      <c r="E624" s="2">
        <v>2740.8969289481997</v>
      </c>
      <c r="F624" s="2">
        <v>2658.6700210797535</v>
      </c>
      <c r="G624" s="2">
        <v>2578.9099204473609</v>
      </c>
      <c r="H624" s="2">
        <v>2501.5426228339402</v>
      </c>
      <c r="I624" s="2">
        <v>2426.4963441489217</v>
      </c>
      <c r="J624" s="2">
        <v>2353.7014538244539</v>
      </c>
      <c r="K624" s="2">
        <v>2283.0904102097202</v>
      </c>
      <c r="L624" s="2">
        <v>2214.5976979034285</v>
      </c>
      <c r="M624" s="2">
        <v>2148.1597669663256</v>
      </c>
      <c r="N624" s="2">
        <v>2083.7149739573356</v>
      </c>
      <c r="O624" s="2">
        <v>2021.2035247386154</v>
      </c>
    </row>
    <row r="625" spans="1:15" x14ac:dyDescent="0.25">
      <c r="A625" t="s">
        <v>2450</v>
      </c>
      <c r="B625" t="s">
        <v>2451</v>
      </c>
      <c r="C625" s="2">
        <v>2911.6697280000008</v>
      </c>
      <c r="D625" s="2">
        <v>2824.3196361600008</v>
      </c>
      <c r="E625" s="2">
        <v>2739.5900470752008</v>
      </c>
      <c r="F625" s="2">
        <v>2657.4023456629448</v>
      </c>
      <c r="G625" s="2">
        <v>2577.6802752930562</v>
      </c>
      <c r="H625" s="2">
        <v>2500.3498670342642</v>
      </c>
      <c r="I625" s="2">
        <v>2425.3393710232363</v>
      </c>
      <c r="J625" s="2">
        <v>2352.579189892539</v>
      </c>
      <c r="K625" s="2">
        <v>2282.001814195763</v>
      </c>
      <c r="L625" s="2">
        <v>2213.5417597698902</v>
      </c>
      <c r="M625" s="2">
        <v>2147.1355069767933</v>
      </c>
      <c r="N625" s="2">
        <v>2082.7214417674895</v>
      </c>
      <c r="O625" s="2">
        <v>2020.2397985144648</v>
      </c>
    </row>
    <row r="626" spans="1:15" x14ac:dyDescent="0.25">
      <c r="A626" t="s">
        <v>2452</v>
      </c>
      <c r="B626" t="s">
        <v>2453</v>
      </c>
      <c r="C626" s="2">
        <v>2910.9006080000008</v>
      </c>
      <c r="D626" s="2">
        <v>2823.5735897600007</v>
      </c>
      <c r="E626" s="2">
        <v>2738.8663820672004</v>
      </c>
      <c r="F626" s="2">
        <v>2656.7003906051846</v>
      </c>
      <c r="G626" s="2">
        <v>2576.9993788870288</v>
      </c>
      <c r="H626" s="2">
        <v>2499.689397520418</v>
      </c>
      <c r="I626" s="2">
        <v>2424.6987155948054</v>
      </c>
      <c r="J626" s="2">
        <v>2351.9577541269614</v>
      </c>
      <c r="K626" s="2">
        <v>2281.3990215031527</v>
      </c>
      <c r="L626" s="2">
        <v>2212.9570508580582</v>
      </c>
      <c r="M626" s="2">
        <v>2146.5683393323166</v>
      </c>
      <c r="N626" s="2">
        <v>2082.1712891523471</v>
      </c>
      <c r="O626" s="2">
        <v>2019.7061504777766</v>
      </c>
    </row>
    <row r="627" spans="1:15" x14ac:dyDescent="0.25">
      <c r="A627" t="s">
        <v>2454</v>
      </c>
      <c r="B627" t="s">
        <v>2455</v>
      </c>
      <c r="C627" s="2">
        <v>2910.7305920000008</v>
      </c>
      <c r="D627" s="2">
        <v>2823.4086742400009</v>
      </c>
      <c r="E627" s="2">
        <v>2738.7064140128009</v>
      </c>
      <c r="F627" s="2">
        <v>2656.545221592417</v>
      </c>
      <c r="G627" s="2">
        <v>2576.8488649446444</v>
      </c>
      <c r="H627" s="2">
        <v>2499.5433989963049</v>
      </c>
      <c r="I627" s="2">
        <v>2424.5570970264157</v>
      </c>
      <c r="J627" s="2">
        <v>2351.8203841156233</v>
      </c>
      <c r="K627" s="2">
        <v>2281.2657725921545</v>
      </c>
      <c r="L627" s="2">
        <v>2212.8277994143896</v>
      </c>
      <c r="M627" s="2">
        <v>2146.4429654319579</v>
      </c>
      <c r="N627" s="2">
        <v>2082.0496764689992</v>
      </c>
      <c r="O627" s="2">
        <v>2019.5881861749292</v>
      </c>
    </row>
    <row r="628" spans="1:15" x14ac:dyDescent="0.25">
      <c r="A628" t="s">
        <v>2456</v>
      </c>
      <c r="B628" t="s">
        <v>2457</v>
      </c>
      <c r="C628" s="2">
        <v>2908.98135</v>
      </c>
      <c r="D628" s="2">
        <v>2821.7119094999998</v>
      </c>
      <c r="E628" s="2">
        <v>2737.0605522149999</v>
      </c>
      <c r="F628" s="2">
        <v>2654.9487356485497</v>
      </c>
      <c r="G628" s="2">
        <v>2575.3002735790933</v>
      </c>
      <c r="H628" s="2">
        <v>2498.0412653717203</v>
      </c>
      <c r="I628" s="2">
        <v>2423.1000274105686</v>
      </c>
      <c r="J628" s="2">
        <v>2350.4070265882515</v>
      </c>
      <c r="K628" s="2">
        <v>2279.8948157906038</v>
      </c>
      <c r="L628" s="2">
        <v>2211.4979713168855</v>
      </c>
      <c r="M628" s="2">
        <v>2145.1530321773789</v>
      </c>
      <c r="N628" s="2">
        <v>2080.7984412120577</v>
      </c>
      <c r="O628" s="2">
        <v>2018.374487975696</v>
      </c>
    </row>
    <row r="629" spans="1:15" x14ac:dyDescent="0.25">
      <c r="A629" t="s">
        <v>2458</v>
      </c>
      <c r="B629" t="s">
        <v>2459</v>
      </c>
      <c r="C629" s="2">
        <v>2902.9179520000002</v>
      </c>
      <c r="D629" s="2">
        <v>2815.83041344</v>
      </c>
      <c r="E629" s="2">
        <v>2731.3555010368</v>
      </c>
      <c r="F629" s="2">
        <v>2649.4148360056961</v>
      </c>
      <c r="G629" s="2">
        <v>2569.9323909255249</v>
      </c>
      <c r="H629" s="2">
        <v>2492.834419197759</v>
      </c>
      <c r="I629" s="2">
        <v>2418.0493866218262</v>
      </c>
      <c r="J629" s="2">
        <v>2345.5079050231716</v>
      </c>
      <c r="K629" s="2">
        <v>2275.1426678724765</v>
      </c>
      <c r="L629" s="2">
        <v>2206.8883878363022</v>
      </c>
      <c r="M629" s="2">
        <v>2140.681736201213</v>
      </c>
      <c r="N629" s="2">
        <v>2076.4612841151766</v>
      </c>
      <c r="O629" s="2">
        <v>2014.1674455917212</v>
      </c>
    </row>
    <row r="630" spans="1:15" x14ac:dyDescent="0.25">
      <c r="A630" t="s">
        <v>2460</v>
      </c>
      <c r="B630" t="s">
        <v>2461</v>
      </c>
      <c r="C630" s="2">
        <v>2901.7035520000009</v>
      </c>
      <c r="D630" s="2">
        <v>2814.652445440001</v>
      </c>
      <c r="E630" s="2">
        <v>2730.212872076801</v>
      </c>
      <c r="F630" s="2">
        <v>2648.306485914497</v>
      </c>
      <c r="G630" s="2">
        <v>2568.8572913370622</v>
      </c>
      <c r="H630" s="2">
        <v>2491.7915725969501</v>
      </c>
      <c r="I630" s="2">
        <v>2417.0378254190414</v>
      </c>
      <c r="J630" s="2">
        <v>2344.5266906564702</v>
      </c>
      <c r="K630" s="2">
        <v>2274.1908899367759</v>
      </c>
      <c r="L630" s="2">
        <v>2205.9651632386726</v>
      </c>
      <c r="M630" s="2">
        <v>2139.7862083415125</v>
      </c>
      <c r="N630" s="2">
        <v>2075.592622091267</v>
      </c>
      <c r="O630" s="2">
        <v>2013.324843428529</v>
      </c>
    </row>
    <row r="631" spans="1:15" x14ac:dyDescent="0.25">
      <c r="A631" t="s">
        <v>2462</v>
      </c>
      <c r="B631" t="s">
        <v>2463</v>
      </c>
      <c r="C631" s="2">
        <v>2896.8525300000006</v>
      </c>
      <c r="D631" s="2">
        <v>2809.9469541000003</v>
      </c>
      <c r="E631" s="2">
        <v>2725.6485454770004</v>
      </c>
      <c r="F631" s="2">
        <v>2643.8790891126905</v>
      </c>
      <c r="G631" s="2">
        <v>2564.5627164393095</v>
      </c>
      <c r="H631" s="2">
        <v>2487.62583494613</v>
      </c>
      <c r="I631" s="2">
        <v>2412.9970598977461</v>
      </c>
      <c r="J631" s="2">
        <v>2340.6071481008134</v>
      </c>
      <c r="K631" s="2">
        <v>2270.388933657789</v>
      </c>
      <c r="L631" s="2">
        <v>2202.2772656480552</v>
      </c>
      <c r="M631" s="2">
        <v>2136.2089476786136</v>
      </c>
      <c r="N631" s="2">
        <v>2072.1226792482553</v>
      </c>
      <c r="O631" s="2">
        <v>2009.9589988708076</v>
      </c>
    </row>
    <row r="632" spans="1:15" x14ac:dyDescent="0.25">
      <c r="A632" t="s">
        <v>2464</v>
      </c>
      <c r="B632" t="s">
        <v>2465</v>
      </c>
      <c r="C632" s="2">
        <v>2890.7010880000007</v>
      </c>
      <c r="D632" s="2">
        <v>2803.9800553600007</v>
      </c>
      <c r="E632" s="2">
        <v>2719.8606536992006</v>
      </c>
      <c r="F632" s="2">
        <v>2638.2648340882247</v>
      </c>
      <c r="G632" s="2">
        <v>2559.1168890655777</v>
      </c>
      <c r="H632" s="2">
        <v>2482.3433823936102</v>
      </c>
      <c r="I632" s="2">
        <v>2407.8730809218018</v>
      </c>
      <c r="J632" s="2">
        <v>2335.6368884941476</v>
      </c>
      <c r="K632" s="2">
        <v>2265.5677818393233</v>
      </c>
      <c r="L632" s="2">
        <v>2197.6007483841436</v>
      </c>
      <c r="M632" s="2">
        <v>2131.6727259326194</v>
      </c>
      <c r="N632" s="2">
        <v>2067.7225441546407</v>
      </c>
      <c r="O632" s="2">
        <v>2005.6908678300015</v>
      </c>
    </row>
    <row r="633" spans="1:15" x14ac:dyDescent="0.25">
      <c r="A633" t="s">
        <v>2466</v>
      </c>
      <c r="B633" t="s">
        <v>2453</v>
      </c>
      <c r="C633" s="2">
        <v>2887.4141120000004</v>
      </c>
      <c r="D633" s="2">
        <v>2800.7916886400003</v>
      </c>
      <c r="E633" s="2">
        <v>2716.7679379808001</v>
      </c>
      <c r="F633" s="2">
        <v>2635.2648998413761</v>
      </c>
      <c r="G633" s="2">
        <v>2556.2069528461348</v>
      </c>
      <c r="H633" s="2">
        <v>2479.5207442607507</v>
      </c>
      <c r="I633" s="2">
        <v>2405.1351219329281</v>
      </c>
      <c r="J633" s="2">
        <v>2332.9810682749403</v>
      </c>
      <c r="K633" s="2">
        <v>2262.9916362266922</v>
      </c>
      <c r="L633" s="2">
        <v>2195.1018871398915</v>
      </c>
      <c r="M633" s="2">
        <v>2129.2488305256948</v>
      </c>
      <c r="N633" s="2">
        <v>2065.3713656099239</v>
      </c>
      <c r="O633" s="2">
        <v>2003.4102246416262</v>
      </c>
    </row>
    <row r="634" spans="1:15" x14ac:dyDescent="0.25">
      <c r="A634" t="s">
        <v>2467</v>
      </c>
      <c r="B634" t="s">
        <v>2468</v>
      </c>
      <c r="C634" s="2">
        <v>2884.1109440000005</v>
      </c>
      <c r="D634" s="2">
        <v>2797.5876156800005</v>
      </c>
      <c r="E634" s="2">
        <v>2713.6599872096003</v>
      </c>
      <c r="F634" s="2">
        <v>2632.2501875933121</v>
      </c>
      <c r="G634" s="2">
        <v>2553.2826819655129</v>
      </c>
      <c r="H634" s="2">
        <v>2476.6842015065477</v>
      </c>
      <c r="I634" s="2">
        <v>2402.3836754613512</v>
      </c>
      <c r="J634" s="2">
        <v>2330.3121651975107</v>
      </c>
      <c r="K634" s="2">
        <v>2260.4028002415853</v>
      </c>
      <c r="L634" s="2">
        <v>2192.5907162343378</v>
      </c>
      <c r="M634" s="2">
        <v>2126.8129947473076</v>
      </c>
      <c r="N634" s="2">
        <v>2063.0086049048882</v>
      </c>
      <c r="O634" s="2">
        <v>2001.1183467577416</v>
      </c>
    </row>
    <row r="635" spans="1:15" x14ac:dyDescent="0.25">
      <c r="A635" t="s">
        <v>2469</v>
      </c>
      <c r="B635" t="s">
        <v>2470</v>
      </c>
      <c r="C635" s="2">
        <v>2884.0299840000007</v>
      </c>
      <c r="D635" s="2">
        <v>2797.5090844800006</v>
      </c>
      <c r="E635" s="2">
        <v>2713.5838119456007</v>
      </c>
      <c r="F635" s="2">
        <v>2632.1762975872325</v>
      </c>
      <c r="G635" s="2">
        <v>2553.2110086596153</v>
      </c>
      <c r="H635" s="2">
        <v>2476.614678399827</v>
      </c>
      <c r="I635" s="2">
        <v>2402.316238047832</v>
      </c>
      <c r="J635" s="2">
        <v>2330.2467509063972</v>
      </c>
      <c r="K635" s="2">
        <v>2260.3393483792051</v>
      </c>
      <c r="L635" s="2">
        <v>2192.5291679278289</v>
      </c>
      <c r="M635" s="2">
        <v>2126.7532928899941</v>
      </c>
      <c r="N635" s="2">
        <v>2062.9506941032942</v>
      </c>
      <c r="O635" s="2">
        <v>2001.0621732801953</v>
      </c>
    </row>
    <row r="636" spans="1:15" x14ac:dyDescent="0.25">
      <c r="A636" t="s">
        <v>2471</v>
      </c>
      <c r="B636" t="s">
        <v>2472</v>
      </c>
      <c r="C636" s="2">
        <v>2878.0571600000007</v>
      </c>
      <c r="D636" s="2">
        <v>2791.7154452000004</v>
      </c>
      <c r="E636" s="2">
        <v>2707.9639818440005</v>
      </c>
      <c r="F636" s="2">
        <v>2626.7250623886803</v>
      </c>
      <c r="G636" s="2">
        <v>2547.9233105170197</v>
      </c>
      <c r="H636" s="2">
        <v>2471.4856112015091</v>
      </c>
      <c r="I636" s="2">
        <v>2397.3410428654638</v>
      </c>
      <c r="J636" s="2">
        <v>2325.4208115795</v>
      </c>
      <c r="K636" s="2">
        <v>2255.6581872321149</v>
      </c>
      <c r="L636" s="2">
        <v>2187.9884416151513</v>
      </c>
      <c r="M636" s="2">
        <v>2122.3487883666967</v>
      </c>
      <c r="N636" s="2">
        <v>2058.6783247156959</v>
      </c>
      <c r="O636" s="2">
        <v>1996.917974974225</v>
      </c>
    </row>
    <row r="637" spans="1:15" x14ac:dyDescent="0.25">
      <c r="A637" t="s">
        <v>2473</v>
      </c>
      <c r="B637" t="s">
        <v>2474</v>
      </c>
      <c r="C637" s="2">
        <v>2877.8203520000002</v>
      </c>
      <c r="D637" s="2">
        <v>2791.4857414400003</v>
      </c>
      <c r="E637" s="2">
        <v>2707.7411691968</v>
      </c>
      <c r="F637" s="2">
        <v>2626.5089341208959</v>
      </c>
      <c r="G637" s="2">
        <v>2547.7136660972687</v>
      </c>
      <c r="H637" s="2">
        <v>2471.2822561143507</v>
      </c>
      <c r="I637" s="2">
        <v>2397.1437884309203</v>
      </c>
      <c r="J637" s="2">
        <v>2325.2294747779924</v>
      </c>
      <c r="K637" s="2">
        <v>2255.4725905346527</v>
      </c>
      <c r="L637" s="2">
        <v>2187.8084128186129</v>
      </c>
      <c r="M637" s="2">
        <v>2122.1741604340546</v>
      </c>
      <c r="N637" s="2">
        <v>2058.5089356210328</v>
      </c>
      <c r="O637" s="2">
        <v>1996.7536675524018</v>
      </c>
    </row>
    <row r="638" spans="1:15" x14ac:dyDescent="0.25">
      <c r="A638" t="s">
        <v>2475</v>
      </c>
      <c r="B638" t="s">
        <v>2476</v>
      </c>
      <c r="C638" s="2">
        <v>2877.796064000001</v>
      </c>
      <c r="D638" s="2">
        <v>2791.4621820800007</v>
      </c>
      <c r="E638" s="2">
        <v>2707.7183166176005</v>
      </c>
      <c r="F638" s="2">
        <v>2626.4867671190723</v>
      </c>
      <c r="G638" s="2">
        <v>2547.6921641055001</v>
      </c>
      <c r="H638" s="2">
        <v>2471.261399182335</v>
      </c>
      <c r="I638" s="2">
        <v>2397.1235572068649</v>
      </c>
      <c r="J638" s="2">
        <v>2325.2098504906589</v>
      </c>
      <c r="K638" s="2">
        <v>2255.4535549759389</v>
      </c>
      <c r="L638" s="2">
        <v>2187.7899483266606</v>
      </c>
      <c r="M638" s="2">
        <v>2122.1562498768608</v>
      </c>
      <c r="N638" s="2">
        <v>2058.491562380555</v>
      </c>
      <c r="O638" s="2">
        <v>1996.7368155091383</v>
      </c>
    </row>
    <row r="639" spans="1:15" x14ac:dyDescent="0.25">
      <c r="A639" t="s">
        <v>2477</v>
      </c>
      <c r="B639" t="s">
        <v>2478</v>
      </c>
      <c r="C639" s="2">
        <v>2873.829024000001</v>
      </c>
      <c r="D639" s="2">
        <v>2787.6141532800011</v>
      </c>
      <c r="E639" s="2">
        <v>2703.9857286816009</v>
      </c>
      <c r="F639" s="2">
        <v>2622.8661568211528</v>
      </c>
      <c r="G639" s="2">
        <v>2544.180172116518</v>
      </c>
      <c r="H639" s="2">
        <v>2467.8547669530221</v>
      </c>
      <c r="I639" s="2">
        <v>2393.8191239444313</v>
      </c>
      <c r="J639" s="2">
        <v>2322.0045502260982</v>
      </c>
      <c r="K639" s="2">
        <v>2252.3444137193151</v>
      </c>
      <c r="L639" s="2">
        <v>2184.7740813077357</v>
      </c>
      <c r="M639" s="2">
        <v>2119.2308588685037</v>
      </c>
      <c r="N639" s="2">
        <v>2055.6539331024487</v>
      </c>
      <c r="O639" s="2">
        <v>1993.9843151093753</v>
      </c>
    </row>
    <row r="640" spans="1:15" x14ac:dyDescent="0.25">
      <c r="A640" t="s">
        <v>2479</v>
      </c>
      <c r="B640" t="s">
        <v>2480</v>
      </c>
      <c r="C640" s="2">
        <v>2872.3960320000006</v>
      </c>
      <c r="D640" s="2">
        <v>2786.2241510400004</v>
      </c>
      <c r="E640" s="2">
        <v>2702.6374265088002</v>
      </c>
      <c r="F640" s="2">
        <v>2621.5583037135361</v>
      </c>
      <c r="G640" s="2">
        <v>2542.9115546021299</v>
      </c>
      <c r="H640" s="2">
        <v>2466.624207964066</v>
      </c>
      <c r="I640" s="2">
        <v>2392.6254817251438</v>
      </c>
      <c r="J640" s="2">
        <v>2320.8467172733895</v>
      </c>
      <c r="K640" s="2">
        <v>2251.2213157551878</v>
      </c>
      <c r="L640" s="2">
        <v>2183.6846762825321</v>
      </c>
      <c r="M640" s="2">
        <v>2118.1741359940561</v>
      </c>
      <c r="N640" s="2">
        <v>2054.6289119142343</v>
      </c>
      <c r="O640" s="2">
        <v>1992.9900445568073</v>
      </c>
    </row>
    <row r="641" spans="1:15" x14ac:dyDescent="0.25">
      <c r="A641" t="s">
        <v>2481</v>
      </c>
      <c r="B641" t="s">
        <v>2317</v>
      </c>
      <c r="C641" s="2">
        <v>2871.3992119999998</v>
      </c>
      <c r="D641" s="2">
        <v>2785.2572356399996</v>
      </c>
      <c r="E641" s="2">
        <v>2701.6995185707997</v>
      </c>
      <c r="F641" s="2">
        <v>2620.6485330136757</v>
      </c>
      <c r="G641" s="2">
        <v>2542.0290770232655</v>
      </c>
      <c r="H641" s="2">
        <v>2465.7682047125672</v>
      </c>
      <c r="I641" s="2">
        <v>2391.7951585711903</v>
      </c>
      <c r="J641" s="2">
        <v>2320.0413038140546</v>
      </c>
      <c r="K641" s="2">
        <v>2250.4400646996328</v>
      </c>
      <c r="L641" s="2">
        <v>2182.9268627586439</v>
      </c>
      <c r="M641" s="2">
        <v>2117.4390568758845</v>
      </c>
      <c r="N641" s="2">
        <v>2053.9158851696079</v>
      </c>
      <c r="O641" s="2">
        <v>1992.2984086145195</v>
      </c>
    </row>
    <row r="642" spans="1:15" x14ac:dyDescent="0.25">
      <c r="A642" t="s">
        <v>2482</v>
      </c>
      <c r="B642" t="s">
        <v>2483</v>
      </c>
      <c r="C642" s="2">
        <v>2870.6715840000006</v>
      </c>
      <c r="D642" s="2">
        <v>2784.5514364800006</v>
      </c>
      <c r="E642" s="2">
        <v>2701.0148933856003</v>
      </c>
      <c r="F642" s="2">
        <v>2619.9844465840324</v>
      </c>
      <c r="G642" s="2">
        <v>2541.3849131865113</v>
      </c>
      <c r="H642" s="2">
        <v>2465.1433657909161</v>
      </c>
      <c r="I642" s="2">
        <v>2391.1890648171884</v>
      </c>
      <c r="J642" s="2">
        <v>2319.4533928726728</v>
      </c>
      <c r="K642" s="2">
        <v>2249.8697910864926</v>
      </c>
      <c r="L642" s="2">
        <v>2182.3736973538976</v>
      </c>
      <c r="M642" s="2">
        <v>2116.9024864332805</v>
      </c>
      <c r="N642" s="2">
        <v>2053.3954118402821</v>
      </c>
      <c r="O642" s="2">
        <v>1991.7935494850735</v>
      </c>
    </row>
    <row r="643" spans="1:15" x14ac:dyDescent="0.25">
      <c r="A643" t="s">
        <v>2484</v>
      </c>
      <c r="B643" t="s">
        <v>2485</v>
      </c>
      <c r="C643" s="2">
        <v>2870.2586880000003</v>
      </c>
      <c r="D643" s="2">
        <v>2784.1509273600004</v>
      </c>
      <c r="E643" s="2">
        <v>2700.6263995392005</v>
      </c>
      <c r="F643" s="2">
        <v>2619.6076075530245</v>
      </c>
      <c r="G643" s="2">
        <v>2541.0193793264339</v>
      </c>
      <c r="H643" s="2">
        <v>2464.7887979466409</v>
      </c>
      <c r="I643" s="2">
        <v>2390.8451340082415</v>
      </c>
      <c r="J643" s="2">
        <v>2319.1197799879942</v>
      </c>
      <c r="K643" s="2">
        <v>2249.5461865883544</v>
      </c>
      <c r="L643" s="2">
        <v>2182.0598009907039</v>
      </c>
      <c r="M643" s="2">
        <v>2116.5980069609827</v>
      </c>
      <c r="N643" s="2">
        <v>2053.100066752153</v>
      </c>
      <c r="O643" s="2">
        <v>1991.5070647495884</v>
      </c>
    </row>
    <row r="644" spans="1:15" x14ac:dyDescent="0.25">
      <c r="A644" t="s">
        <v>2486</v>
      </c>
      <c r="B644" t="s">
        <v>2487</v>
      </c>
      <c r="C644" s="2">
        <v>2868.2422780000002</v>
      </c>
      <c r="D644" s="2">
        <v>2782.1950096599999</v>
      </c>
      <c r="E644" s="2">
        <v>2698.7291593701998</v>
      </c>
      <c r="F644" s="2">
        <v>2617.7672845890938</v>
      </c>
      <c r="G644" s="2">
        <v>2539.2342660514209</v>
      </c>
      <c r="H644" s="2">
        <v>2463.0572380698782</v>
      </c>
      <c r="I644" s="2">
        <v>2389.1655209277819</v>
      </c>
      <c r="J644" s="2">
        <v>2317.4905552999485</v>
      </c>
      <c r="K644" s="2">
        <v>2247.9658386409501</v>
      </c>
      <c r="L644" s="2">
        <v>2180.5268634817216</v>
      </c>
      <c r="M644" s="2">
        <v>2115.11105757727</v>
      </c>
      <c r="N644" s="2">
        <v>2051.6577258499519</v>
      </c>
      <c r="O644" s="2">
        <v>1990.1079940744532</v>
      </c>
    </row>
    <row r="645" spans="1:15" x14ac:dyDescent="0.25">
      <c r="A645" t="s">
        <v>2488</v>
      </c>
      <c r="B645" t="s">
        <v>2489</v>
      </c>
      <c r="C645" s="2">
        <v>2863.1068840000007</v>
      </c>
      <c r="D645" s="2">
        <v>2777.2136774800006</v>
      </c>
      <c r="E645" s="2">
        <v>2693.8972671556003</v>
      </c>
      <c r="F645" s="2">
        <v>2613.0803491409324</v>
      </c>
      <c r="G645" s="2">
        <v>2534.6879386667042</v>
      </c>
      <c r="H645" s="2">
        <v>2458.6473005067032</v>
      </c>
      <c r="I645" s="2">
        <v>2384.887881491502</v>
      </c>
      <c r="J645" s="2">
        <v>2313.3412450467567</v>
      </c>
      <c r="K645" s="2">
        <v>2243.9410076953541</v>
      </c>
      <c r="L645" s="2">
        <v>2176.6227774644935</v>
      </c>
      <c r="M645" s="2">
        <v>2111.3240941405588</v>
      </c>
      <c r="N645" s="2">
        <v>2047.984371316342</v>
      </c>
      <c r="O645" s="2">
        <v>1986.5448401768517</v>
      </c>
    </row>
    <row r="646" spans="1:15" x14ac:dyDescent="0.25">
      <c r="A646" t="s">
        <v>2490</v>
      </c>
      <c r="B646" t="s">
        <v>2491</v>
      </c>
      <c r="C646" s="2">
        <v>2860.3815680000002</v>
      </c>
      <c r="D646" s="2">
        <v>2774.5701209600002</v>
      </c>
      <c r="E646" s="2">
        <v>2691.3330173312002</v>
      </c>
      <c r="F646" s="2">
        <v>2610.5930268112643</v>
      </c>
      <c r="G646" s="2">
        <v>2532.2752360069262</v>
      </c>
      <c r="H646" s="2">
        <v>2456.3069789267183</v>
      </c>
      <c r="I646" s="2">
        <v>2382.6177695589167</v>
      </c>
      <c r="J646" s="2">
        <v>2311.1392364721492</v>
      </c>
      <c r="K646" s="2">
        <v>2241.8050593779844</v>
      </c>
      <c r="L646" s="2">
        <v>2174.5509075966447</v>
      </c>
      <c r="M646" s="2">
        <v>2109.3143803687453</v>
      </c>
      <c r="N646" s="2">
        <v>2046.0349489576829</v>
      </c>
      <c r="O646" s="2">
        <v>1984.6539004889523</v>
      </c>
    </row>
    <row r="647" spans="1:15" x14ac:dyDescent="0.25">
      <c r="A647" t="s">
        <v>2492</v>
      </c>
      <c r="B647" t="s">
        <v>2493</v>
      </c>
      <c r="C647" s="2">
        <v>2859.5112480000003</v>
      </c>
      <c r="D647" s="2">
        <v>2773.7259105600001</v>
      </c>
      <c r="E647" s="2">
        <v>2690.5141332431999</v>
      </c>
      <c r="F647" s="2">
        <v>2609.7987092459039</v>
      </c>
      <c r="G647" s="2">
        <v>2531.5047479685268</v>
      </c>
      <c r="H647" s="2">
        <v>2455.5596055294709</v>
      </c>
      <c r="I647" s="2">
        <v>2381.8928173635868</v>
      </c>
      <c r="J647" s="2">
        <v>2310.4360328426792</v>
      </c>
      <c r="K647" s="2">
        <v>2241.1229518573987</v>
      </c>
      <c r="L647" s="2">
        <v>2173.8892633016767</v>
      </c>
      <c r="M647" s="2">
        <v>2108.6725854026263</v>
      </c>
      <c r="N647" s="2">
        <v>2045.4124078405475</v>
      </c>
      <c r="O647" s="2">
        <v>1984.050035605331</v>
      </c>
    </row>
    <row r="648" spans="1:15" x14ac:dyDescent="0.25">
      <c r="A648" t="s">
        <v>2494</v>
      </c>
      <c r="B648" t="s">
        <v>2495</v>
      </c>
      <c r="C648" s="2">
        <v>2858.5032960000003</v>
      </c>
      <c r="D648" s="2">
        <v>2772.7481971200004</v>
      </c>
      <c r="E648" s="2">
        <v>2689.5657512064004</v>
      </c>
      <c r="F648" s="2">
        <v>2608.8787786702082</v>
      </c>
      <c r="G648" s="2">
        <v>2530.6124153101018</v>
      </c>
      <c r="H648" s="2">
        <v>2454.6940428507987</v>
      </c>
      <c r="I648" s="2">
        <v>2381.0532215652747</v>
      </c>
      <c r="J648" s="2">
        <v>2309.6216249183162</v>
      </c>
      <c r="K648" s="2">
        <v>2240.3329761707669</v>
      </c>
      <c r="L648" s="2">
        <v>2173.122986885644</v>
      </c>
      <c r="M648" s="2">
        <v>2107.9292972790745</v>
      </c>
      <c r="N648" s="2">
        <v>2044.6914183607023</v>
      </c>
      <c r="O648" s="2">
        <v>1983.3506758098811</v>
      </c>
    </row>
    <row r="649" spans="1:15" x14ac:dyDescent="0.25">
      <c r="A649" t="s">
        <v>2496</v>
      </c>
      <c r="B649" t="s">
        <v>2497</v>
      </c>
      <c r="C649" s="2">
        <v>2853.629504</v>
      </c>
      <c r="D649" s="2">
        <v>2768.0206188799998</v>
      </c>
      <c r="E649" s="2">
        <v>2684.9800003135997</v>
      </c>
      <c r="F649" s="2">
        <v>2604.4306003041916</v>
      </c>
      <c r="G649" s="2">
        <v>2526.2976822950659</v>
      </c>
      <c r="H649" s="2">
        <v>2450.5087518262139</v>
      </c>
      <c r="I649" s="2">
        <v>2376.9934892714273</v>
      </c>
      <c r="J649" s="2">
        <v>2305.6836845932844</v>
      </c>
      <c r="K649" s="2">
        <v>2236.5131740554857</v>
      </c>
      <c r="L649" s="2">
        <v>2169.4177788338211</v>
      </c>
      <c r="M649" s="2">
        <v>2104.3352454688065</v>
      </c>
      <c r="N649" s="2">
        <v>2041.2051881047423</v>
      </c>
      <c r="O649" s="2">
        <v>1979.9690324615999</v>
      </c>
    </row>
    <row r="650" spans="1:15" x14ac:dyDescent="0.25">
      <c r="A650" t="s">
        <v>2498</v>
      </c>
      <c r="B650" t="s">
        <v>2499</v>
      </c>
      <c r="C650" s="2">
        <v>2853.5566400000002</v>
      </c>
      <c r="D650" s="2">
        <v>2767.9499408000001</v>
      </c>
      <c r="E650" s="2">
        <v>2684.9114425759999</v>
      </c>
      <c r="F650" s="2">
        <v>2604.3640992987198</v>
      </c>
      <c r="G650" s="2">
        <v>2526.2331763197581</v>
      </c>
      <c r="H650" s="2">
        <v>2450.4461810301655</v>
      </c>
      <c r="I650" s="2">
        <v>2376.9327955992603</v>
      </c>
      <c r="J650" s="2">
        <v>2305.6248117312825</v>
      </c>
      <c r="K650" s="2">
        <v>2236.4560673793439</v>
      </c>
      <c r="L650" s="2">
        <v>2169.3623853579634</v>
      </c>
      <c r="M650" s="2">
        <v>2104.2815137972243</v>
      </c>
      <c r="N650" s="2">
        <v>2041.1530683833075</v>
      </c>
      <c r="O650" s="2">
        <v>1979.9184763318083</v>
      </c>
    </row>
    <row r="651" spans="1:15" x14ac:dyDescent="0.25">
      <c r="A651" t="s">
        <v>2500</v>
      </c>
      <c r="B651" t="s">
        <v>2501</v>
      </c>
      <c r="C651" s="2">
        <v>2853.3694200000004</v>
      </c>
      <c r="D651" s="2">
        <v>2767.7683374000003</v>
      </c>
      <c r="E651" s="2">
        <v>2684.7352872780002</v>
      </c>
      <c r="F651" s="2">
        <v>2604.1932286596602</v>
      </c>
      <c r="G651" s="2">
        <v>2526.0674317998705</v>
      </c>
      <c r="H651" s="2">
        <v>2450.2854088458744</v>
      </c>
      <c r="I651" s="2">
        <v>2376.7768465804979</v>
      </c>
      <c r="J651" s="2">
        <v>2305.4735411830829</v>
      </c>
      <c r="K651" s="2">
        <v>2236.3093349475903</v>
      </c>
      <c r="L651" s="2">
        <v>2169.2200548991627</v>
      </c>
      <c r="M651" s="2">
        <v>2104.143453252188</v>
      </c>
      <c r="N651" s="2">
        <v>2041.0191496546224</v>
      </c>
      <c r="O651" s="2">
        <v>1979.7885751649837</v>
      </c>
    </row>
    <row r="652" spans="1:15" x14ac:dyDescent="0.25">
      <c r="A652" t="s">
        <v>2502</v>
      </c>
      <c r="B652" t="s">
        <v>2501</v>
      </c>
      <c r="C652" s="2">
        <v>2853.3694200000004</v>
      </c>
      <c r="D652" s="2">
        <v>2767.7683374000003</v>
      </c>
      <c r="E652" s="2">
        <v>2684.7352872780002</v>
      </c>
      <c r="F652" s="2">
        <v>2604.1932286596602</v>
      </c>
      <c r="G652" s="2">
        <v>2526.0674317998705</v>
      </c>
      <c r="H652" s="2">
        <v>2450.2854088458744</v>
      </c>
      <c r="I652" s="2">
        <v>2376.7768465804979</v>
      </c>
      <c r="J652" s="2">
        <v>2305.4735411830829</v>
      </c>
      <c r="K652" s="2">
        <v>2236.3093349475903</v>
      </c>
      <c r="L652" s="2">
        <v>2169.2200548991627</v>
      </c>
      <c r="M652" s="2">
        <v>2104.143453252188</v>
      </c>
      <c r="N652" s="2">
        <v>2041.0191496546224</v>
      </c>
      <c r="O652" s="2">
        <v>1979.7885751649837</v>
      </c>
    </row>
    <row r="653" spans="1:15" x14ac:dyDescent="0.25">
      <c r="A653" t="s">
        <v>2503</v>
      </c>
      <c r="B653" t="s">
        <v>2501</v>
      </c>
      <c r="C653" s="2">
        <v>2853.3694200000004</v>
      </c>
      <c r="D653" s="2">
        <v>2767.7683374000003</v>
      </c>
      <c r="E653" s="2">
        <v>2684.7352872780002</v>
      </c>
      <c r="F653" s="2">
        <v>2604.1932286596602</v>
      </c>
      <c r="G653" s="2">
        <v>2526.0674317998705</v>
      </c>
      <c r="H653" s="2">
        <v>2450.2854088458744</v>
      </c>
      <c r="I653" s="2">
        <v>2376.7768465804979</v>
      </c>
      <c r="J653" s="2">
        <v>2305.4735411830829</v>
      </c>
      <c r="K653" s="2">
        <v>2236.3093349475903</v>
      </c>
      <c r="L653" s="2">
        <v>2169.2200548991627</v>
      </c>
      <c r="M653" s="2">
        <v>2104.143453252188</v>
      </c>
      <c r="N653" s="2">
        <v>2041.0191496546224</v>
      </c>
      <c r="O653" s="2">
        <v>1979.7885751649837</v>
      </c>
    </row>
    <row r="654" spans="1:15" x14ac:dyDescent="0.25">
      <c r="A654" t="s">
        <v>2504</v>
      </c>
      <c r="B654" t="s">
        <v>2501</v>
      </c>
      <c r="C654" s="2">
        <v>2853.3694200000004</v>
      </c>
      <c r="D654" s="2">
        <v>2767.7683374000003</v>
      </c>
      <c r="E654" s="2">
        <v>2684.7352872780002</v>
      </c>
      <c r="F654" s="2">
        <v>2604.1932286596602</v>
      </c>
      <c r="G654" s="2">
        <v>2526.0674317998705</v>
      </c>
      <c r="H654" s="2">
        <v>2450.2854088458744</v>
      </c>
      <c r="I654" s="2">
        <v>2376.7768465804979</v>
      </c>
      <c r="J654" s="2">
        <v>2305.4735411830829</v>
      </c>
      <c r="K654" s="2">
        <v>2236.3093349475903</v>
      </c>
      <c r="L654" s="2">
        <v>2169.2200548991627</v>
      </c>
      <c r="M654" s="2">
        <v>2104.143453252188</v>
      </c>
      <c r="N654" s="2">
        <v>2041.0191496546224</v>
      </c>
      <c r="O654" s="2">
        <v>1979.7885751649837</v>
      </c>
    </row>
    <row r="655" spans="1:15" x14ac:dyDescent="0.25">
      <c r="A655" t="s">
        <v>2505</v>
      </c>
      <c r="B655" t="s">
        <v>2501</v>
      </c>
      <c r="C655" s="2">
        <v>2853.3694200000004</v>
      </c>
      <c r="D655" s="2">
        <v>2767.7683374000003</v>
      </c>
      <c r="E655" s="2">
        <v>2684.7352872780002</v>
      </c>
      <c r="F655" s="2">
        <v>2604.1932286596602</v>
      </c>
      <c r="G655" s="2">
        <v>2526.0674317998705</v>
      </c>
      <c r="H655" s="2">
        <v>2450.2854088458744</v>
      </c>
      <c r="I655" s="2">
        <v>2376.7768465804979</v>
      </c>
      <c r="J655" s="2">
        <v>2305.4735411830829</v>
      </c>
      <c r="K655" s="2">
        <v>2236.3093349475903</v>
      </c>
      <c r="L655" s="2">
        <v>2169.2200548991627</v>
      </c>
      <c r="M655" s="2">
        <v>2104.143453252188</v>
      </c>
      <c r="N655" s="2">
        <v>2041.0191496546224</v>
      </c>
      <c r="O655" s="2">
        <v>1979.7885751649837</v>
      </c>
    </row>
    <row r="656" spans="1:15" x14ac:dyDescent="0.25">
      <c r="A656" t="s">
        <v>2506</v>
      </c>
      <c r="B656" t="s">
        <v>2507</v>
      </c>
      <c r="C656" s="2">
        <v>2852.2046080000005</v>
      </c>
      <c r="D656" s="2">
        <v>2766.6384697600006</v>
      </c>
      <c r="E656" s="2">
        <v>2683.6393156672007</v>
      </c>
      <c r="F656" s="2">
        <v>2603.1301361971846</v>
      </c>
      <c r="G656" s="2">
        <v>2525.0362321112689</v>
      </c>
      <c r="H656" s="2">
        <v>2449.285145147931</v>
      </c>
      <c r="I656" s="2">
        <v>2375.8065907934929</v>
      </c>
      <c r="J656" s="2">
        <v>2304.5323930696882</v>
      </c>
      <c r="K656" s="2">
        <v>2235.3964212775973</v>
      </c>
      <c r="L656" s="2">
        <v>2168.3345286392691</v>
      </c>
      <c r="M656" s="2">
        <v>2103.2844927800911</v>
      </c>
      <c r="N656" s="2">
        <v>2040.1859579966883</v>
      </c>
      <c r="O656" s="2">
        <v>1978.9803792567877</v>
      </c>
    </row>
    <row r="657" spans="1:15" x14ac:dyDescent="0.25">
      <c r="A657" t="s">
        <v>2508</v>
      </c>
      <c r="B657" t="s">
        <v>2509</v>
      </c>
      <c r="C657" s="2">
        <v>2843.7604800000008</v>
      </c>
      <c r="D657" s="2">
        <v>2758.4476656000006</v>
      </c>
      <c r="E657" s="2">
        <v>2675.6942356320005</v>
      </c>
      <c r="F657" s="2">
        <v>2595.4234085630405</v>
      </c>
      <c r="G657" s="2">
        <v>2517.5607063061493</v>
      </c>
      <c r="H657" s="2">
        <v>2442.0338851169649</v>
      </c>
      <c r="I657" s="2">
        <v>2368.7728685634561</v>
      </c>
      <c r="J657" s="2">
        <v>2297.7096825065523</v>
      </c>
      <c r="K657" s="2">
        <v>2228.7783920313559</v>
      </c>
      <c r="L657" s="2">
        <v>2161.9150402704154</v>
      </c>
      <c r="M657" s="2">
        <v>2097.0575890623027</v>
      </c>
      <c r="N657" s="2">
        <v>2034.1458613904335</v>
      </c>
      <c r="O657" s="2">
        <v>1973.1214855487206</v>
      </c>
    </row>
    <row r="658" spans="1:15" x14ac:dyDescent="0.25">
      <c r="A658" t="s">
        <v>2510</v>
      </c>
      <c r="B658" t="s">
        <v>2511</v>
      </c>
      <c r="C658" s="2">
        <v>2839.3400640000009</v>
      </c>
      <c r="D658" s="2">
        <v>2754.1598620800009</v>
      </c>
      <c r="E658" s="2">
        <v>2671.5350662176011</v>
      </c>
      <c r="F658" s="2">
        <v>2591.3890142310729</v>
      </c>
      <c r="G658" s="2">
        <v>2513.6473438041407</v>
      </c>
      <c r="H658" s="2">
        <v>2438.2379234900163</v>
      </c>
      <c r="I658" s="2">
        <v>2365.0907857853158</v>
      </c>
      <c r="J658" s="2">
        <v>2294.1380622117563</v>
      </c>
      <c r="K658" s="2">
        <v>2225.3139203454034</v>
      </c>
      <c r="L658" s="2">
        <v>2158.5545027350413</v>
      </c>
      <c r="M658" s="2">
        <v>2093.7978676529901</v>
      </c>
      <c r="N658" s="2">
        <v>2030.9839316234004</v>
      </c>
      <c r="O658" s="2">
        <v>1970.0544136746983</v>
      </c>
    </row>
    <row r="659" spans="1:15" x14ac:dyDescent="0.25">
      <c r="A659" t="s">
        <v>2512</v>
      </c>
      <c r="B659" t="s">
        <v>2513</v>
      </c>
      <c r="C659" s="2">
        <v>2837.3524960000004</v>
      </c>
      <c r="D659" s="2">
        <v>2752.2319211200002</v>
      </c>
      <c r="E659" s="2">
        <v>2669.6649634864002</v>
      </c>
      <c r="F659" s="2">
        <v>2589.5750145818083</v>
      </c>
      <c r="G659" s="2">
        <v>2511.8877641443542</v>
      </c>
      <c r="H659" s="2">
        <v>2436.5311312200233</v>
      </c>
      <c r="I659" s="2">
        <v>2363.4351972834224</v>
      </c>
      <c r="J659" s="2">
        <v>2292.5321413649199</v>
      </c>
      <c r="K659" s="2">
        <v>2223.7561771239721</v>
      </c>
      <c r="L659" s="2">
        <v>2157.0434918102528</v>
      </c>
      <c r="M659" s="2">
        <v>2092.3321870559453</v>
      </c>
      <c r="N659" s="2">
        <v>2029.5622214442669</v>
      </c>
      <c r="O659" s="2">
        <v>1968.675354800939</v>
      </c>
    </row>
    <row r="660" spans="1:15" x14ac:dyDescent="0.25">
      <c r="A660" t="s">
        <v>2514</v>
      </c>
      <c r="B660" t="s">
        <v>2515</v>
      </c>
      <c r="C660" s="2">
        <v>2837.0858340000004</v>
      </c>
      <c r="D660" s="2">
        <v>2751.9732589800005</v>
      </c>
      <c r="E660" s="2">
        <v>2669.4140612106003</v>
      </c>
      <c r="F660" s="2">
        <v>2589.3316393742821</v>
      </c>
      <c r="G660" s="2">
        <v>2511.6516901930536</v>
      </c>
      <c r="H660" s="2">
        <v>2436.3021394872617</v>
      </c>
      <c r="I660" s="2">
        <v>2363.2130753026436</v>
      </c>
      <c r="J660" s="2">
        <v>2292.3166830435644</v>
      </c>
      <c r="K660" s="2">
        <v>2223.5471825522573</v>
      </c>
      <c r="L660" s="2">
        <v>2156.8407670756897</v>
      </c>
      <c r="M660" s="2">
        <v>2092.1355440634188</v>
      </c>
      <c r="N660" s="2">
        <v>2029.3714777415162</v>
      </c>
      <c r="O660" s="2">
        <v>1968.4903334092705</v>
      </c>
    </row>
    <row r="661" spans="1:15" x14ac:dyDescent="0.25">
      <c r="A661" t="s">
        <v>2516</v>
      </c>
      <c r="B661" t="s">
        <v>2517</v>
      </c>
      <c r="C661" s="2">
        <v>2834.0452800000012</v>
      </c>
      <c r="D661" s="2">
        <v>2749.0239216000009</v>
      </c>
      <c r="E661" s="2">
        <v>2666.5532039520008</v>
      </c>
      <c r="F661" s="2">
        <v>2586.5566078334405</v>
      </c>
      <c r="G661" s="2">
        <v>2508.9599095984372</v>
      </c>
      <c r="H661" s="2">
        <v>2433.6911123104842</v>
      </c>
      <c r="I661" s="2">
        <v>2360.6803789411697</v>
      </c>
      <c r="J661" s="2">
        <v>2289.8599675729347</v>
      </c>
      <c r="K661" s="2">
        <v>2221.1641685457466</v>
      </c>
      <c r="L661" s="2">
        <v>2154.529243489374</v>
      </c>
      <c r="M661" s="2">
        <v>2089.8933661846927</v>
      </c>
      <c r="N661" s="2">
        <v>2027.1965651991518</v>
      </c>
      <c r="O661" s="2">
        <v>1966.3806682431773</v>
      </c>
    </row>
    <row r="662" spans="1:15" x14ac:dyDescent="0.25">
      <c r="A662" t="s">
        <v>2518</v>
      </c>
      <c r="B662" t="s">
        <v>2519</v>
      </c>
      <c r="C662" s="2">
        <v>2833.9805120000005</v>
      </c>
      <c r="D662" s="2">
        <v>2748.9610966400005</v>
      </c>
      <c r="E662" s="2">
        <v>2666.4922637408004</v>
      </c>
      <c r="F662" s="2">
        <v>2586.4974958285761</v>
      </c>
      <c r="G662" s="2">
        <v>2508.9025709537186</v>
      </c>
      <c r="H662" s="2">
        <v>2433.635493825107</v>
      </c>
      <c r="I662" s="2">
        <v>2360.6264290103536</v>
      </c>
      <c r="J662" s="2">
        <v>2289.8076361400431</v>
      </c>
      <c r="K662" s="2">
        <v>2221.1134070558419</v>
      </c>
      <c r="L662" s="2">
        <v>2154.4800048441666</v>
      </c>
      <c r="M662" s="2">
        <v>2089.8456046988417</v>
      </c>
      <c r="N662" s="2">
        <v>2027.1502365578765</v>
      </c>
      <c r="O662" s="2">
        <v>1966.3357294611401</v>
      </c>
    </row>
    <row r="663" spans="1:15" x14ac:dyDescent="0.25">
      <c r="A663" t="s">
        <v>2520</v>
      </c>
      <c r="B663" t="s">
        <v>2521</v>
      </c>
      <c r="C663" s="2">
        <v>2833.2923519999999</v>
      </c>
      <c r="D663" s="2">
        <v>2748.2935814399998</v>
      </c>
      <c r="E663" s="2">
        <v>2665.8447739967996</v>
      </c>
      <c r="F663" s="2">
        <v>2585.8694307768956</v>
      </c>
      <c r="G663" s="2">
        <v>2508.2933478535888</v>
      </c>
      <c r="H663" s="2">
        <v>2433.044547417981</v>
      </c>
      <c r="I663" s="2">
        <v>2360.0532109954415</v>
      </c>
      <c r="J663" s="2">
        <v>2289.251614665578</v>
      </c>
      <c r="K663" s="2">
        <v>2220.5740662256107</v>
      </c>
      <c r="L663" s="2">
        <v>2153.9568442388422</v>
      </c>
      <c r="M663" s="2">
        <v>2089.3381389116771</v>
      </c>
      <c r="N663" s="2">
        <v>2026.6579947443267</v>
      </c>
      <c r="O663" s="2">
        <v>1965.8582549019968</v>
      </c>
    </row>
    <row r="664" spans="1:15" x14ac:dyDescent="0.25">
      <c r="A664" t="s">
        <v>2522</v>
      </c>
      <c r="B664" t="s">
        <v>2523</v>
      </c>
      <c r="C664" s="2">
        <v>2828.8107100000002</v>
      </c>
      <c r="D664" s="2">
        <v>2743.9463887000002</v>
      </c>
      <c r="E664" s="2">
        <v>2661.6279970390001</v>
      </c>
      <c r="F664" s="2">
        <v>2581.7791571278299</v>
      </c>
      <c r="G664" s="2">
        <v>2504.3257824139951</v>
      </c>
      <c r="H664" s="2">
        <v>2429.1960089415752</v>
      </c>
      <c r="I664" s="2">
        <v>2356.3201286733279</v>
      </c>
      <c r="J664" s="2">
        <v>2285.630524813128</v>
      </c>
      <c r="K664" s="2">
        <v>2217.061609068734</v>
      </c>
      <c r="L664" s="2">
        <v>2150.5497607966718</v>
      </c>
      <c r="M664" s="2">
        <v>2086.0332679727717</v>
      </c>
      <c r="N664" s="2">
        <v>2023.4522699335885</v>
      </c>
      <c r="O664" s="2">
        <v>1962.7487018355807</v>
      </c>
    </row>
    <row r="665" spans="1:15" x14ac:dyDescent="0.25">
      <c r="A665" t="s">
        <v>2524</v>
      </c>
      <c r="B665" t="s">
        <v>2525</v>
      </c>
      <c r="C665" s="2">
        <v>2827.5118080000007</v>
      </c>
      <c r="D665" s="2">
        <v>2742.6864537600004</v>
      </c>
      <c r="E665" s="2">
        <v>2660.4058601472002</v>
      </c>
      <c r="F665" s="2">
        <v>2580.5936843427839</v>
      </c>
      <c r="G665" s="2">
        <v>2503.1758738125004</v>
      </c>
      <c r="H665" s="2">
        <v>2428.0805975981252</v>
      </c>
      <c r="I665" s="2">
        <v>2355.2381796701816</v>
      </c>
      <c r="J665" s="2">
        <v>2284.581034280076</v>
      </c>
      <c r="K665" s="2">
        <v>2216.0436032516736</v>
      </c>
      <c r="L665" s="2">
        <v>2149.5622951541231</v>
      </c>
      <c r="M665" s="2">
        <v>2085.0754262994992</v>
      </c>
      <c r="N665" s="2">
        <v>2022.5231635105142</v>
      </c>
      <c r="O665" s="2">
        <v>1961.8474686051989</v>
      </c>
    </row>
    <row r="666" spans="1:15" x14ac:dyDescent="0.25">
      <c r="A666" t="s">
        <v>2526</v>
      </c>
      <c r="B666" t="s">
        <v>2527</v>
      </c>
      <c r="C666" s="2">
        <v>2820.4116160000003</v>
      </c>
      <c r="D666" s="2">
        <v>2735.7992675200003</v>
      </c>
      <c r="E666" s="2">
        <v>2653.7252894944004</v>
      </c>
      <c r="F666" s="2">
        <v>2574.1135308095681</v>
      </c>
      <c r="G666" s="2">
        <v>2496.8901248852812</v>
      </c>
      <c r="H666" s="2">
        <v>2421.9834211387229</v>
      </c>
      <c r="I666" s="2">
        <v>2349.3239185045613</v>
      </c>
      <c r="J666" s="2">
        <v>2278.8442009494242</v>
      </c>
      <c r="K666" s="2">
        <v>2210.4788749209415</v>
      </c>
      <c r="L666" s="2">
        <v>2144.1645086733133</v>
      </c>
      <c r="M666" s="2">
        <v>2079.8395734131141</v>
      </c>
      <c r="N666" s="2">
        <v>2017.4443862107205</v>
      </c>
      <c r="O666" s="2">
        <v>1956.9210546243987</v>
      </c>
    </row>
    <row r="667" spans="1:15" x14ac:dyDescent="0.25">
      <c r="A667" t="s">
        <v>2528</v>
      </c>
      <c r="B667" t="s">
        <v>2529</v>
      </c>
      <c r="C667" s="2">
        <v>2819.8474260000003</v>
      </c>
      <c r="D667" s="2">
        <v>2735.25200322</v>
      </c>
      <c r="E667" s="2">
        <v>2653.1944431234001</v>
      </c>
      <c r="F667" s="2">
        <v>2573.598609829698</v>
      </c>
      <c r="G667" s="2">
        <v>2496.3906515348071</v>
      </c>
      <c r="H667" s="2">
        <v>2421.4989319887627</v>
      </c>
      <c r="I667" s="2">
        <v>2348.8539640290996</v>
      </c>
      <c r="J667" s="2">
        <v>2278.3883451082265</v>
      </c>
      <c r="K667" s="2">
        <v>2210.0366947549796</v>
      </c>
      <c r="L667" s="2">
        <v>2143.7355939123304</v>
      </c>
      <c r="M667" s="2">
        <v>2079.4235260949604</v>
      </c>
      <c r="N667" s="2">
        <v>2017.0408203121115</v>
      </c>
      <c r="O667" s="2">
        <v>1956.5295957027481</v>
      </c>
    </row>
    <row r="668" spans="1:15" x14ac:dyDescent="0.25">
      <c r="A668" t="s">
        <v>2530</v>
      </c>
      <c r="B668" t="s">
        <v>2531</v>
      </c>
      <c r="C668" s="2">
        <v>2816.8797360000003</v>
      </c>
      <c r="D668" s="2">
        <v>2732.37334392</v>
      </c>
      <c r="E668" s="2">
        <v>2650.4021436024</v>
      </c>
      <c r="F668" s="2">
        <v>2570.8900792943277</v>
      </c>
      <c r="G668" s="2">
        <v>2493.7633769154977</v>
      </c>
      <c r="H668" s="2">
        <v>2418.9504756080328</v>
      </c>
      <c r="I668" s="2">
        <v>2346.3819613397918</v>
      </c>
      <c r="J668" s="2">
        <v>2275.9905024995978</v>
      </c>
      <c r="K668" s="2">
        <v>2207.7107874246099</v>
      </c>
      <c r="L668" s="2">
        <v>2141.4794638018716</v>
      </c>
      <c r="M668" s="2">
        <v>2077.2350798878156</v>
      </c>
      <c r="N668" s="2">
        <v>2014.918027491181</v>
      </c>
      <c r="O668" s="2">
        <v>1954.4704866664456</v>
      </c>
    </row>
    <row r="669" spans="1:15" x14ac:dyDescent="0.25">
      <c r="A669" t="s">
        <v>2532</v>
      </c>
      <c r="B669" t="s">
        <v>2533</v>
      </c>
      <c r="C669" s="2">
        <v>2814.6776239999999</v>
      </c>
      <c r="D669" s="2">
        <v>2730.2372952799997</v>
      </c>
      <c r="E669" s="2">
        <v>2648.3301764215994</v>
      </c>
      <c r="F669" s="2">
        <v>2568.8802711289513</v>
      </c>
      <c r="G669" s="2">
        <v>2491.8138629950827</v>
      </c>
      <c r="H669" s="2">
        <v>2417.05944710523</v>
      </c>
      <c r="I669" s="2">
        <v>2344.547663692073</v>
      </c>
      <c r="J669" s="2">
        <v>2274.211233781311</v>
      </c>
      <c r="K669" s="2">
        <v>2205.9848967678718</v>
      </c>
      <c r="L669" s="2">
        <v>2139.8053498648355</v>
      </c>
      <c r="M669" s="2">
        <v>2075.6111893688903</v>
      </c>
      <c r="N669" s="2">
        <v>2013.3428536878237</v>
      </c>
      <c r="O669" s="2">
        <v>1952.942568077189</v>
      </c>
    </row>
    <row r="670" spans="1:15" x14ac:dyDescent="0.25">
      <c r="A670" t="s">
        <v>2534</v>
      </c>
      <c r="B670" t="s">
        <v>2535</v>
      </c>
      <c r="C670" s="2">
        <v>2814.0668820000001</v>
      </c>
      <c r="D670" s="2">
        <v>2729.6448755400002</v>
      </c>
      <c r="E670" s="2">
        <v>2647.7555292738002</v>
      </c>
      <c r="F670" s="2">
        <v>2568.322863395586</v>
      </c>
      <c r="G670" s="2">
        <v>2491.2731774937183</v>
      </c>
      <c r="H670" s="2">
        <v>2416.5349821689065</v>
      </c>
      <c r="I670" s="2">
        <v>2344.0389327038392</v>
      </c>
      <c r="J670" s="2">
        <v>2273.717764722724</v>
      </c>
      <c r="K670" s="2">
        <v>2205.5062317810421</v>
      </c>
      <c r="L670" s="2">
        <v>2139.3410448276109</v>
      </c>
      <c r="M670" s="2">
        <v>2075.1608134827825</v>
      </c>
      <c r="N670" s="2">
        <v>2012.9059890782989</v>
      </c>
      <c r="O670" s="2">
        <v>1952.5188094059499</v>
      </c>
    </row>
    <row r="671" spans="1:15" x14ac:dyDescent="0.25">
      <c r="A671" t="s">
        <v>2536</v>
      </c>
      <c r="B671" t="s">
        <v>2537</v>
      </c>
      <c r="C671" s="2">
        <v>2807.3689600000002</v>
      </c>
      <c r="D671" s="2">
        <v>2723.1478912000002</v>
      </c>
      <c r="E671" s="2">
        <v>2641.4534544640001</v>
      </c>
      <c r="F671" s="2">
        <v>2562.2098508300801</v>
      </c>
      <c r="G671" s="2">
        <v>2485.3435553051777</v>
      </c>
      <c r="H671" s="2">
        <v>2410.7832486460225</v>
      </c>
      <c r="I671" s="2">
        <v>2338.4597511866418</v>
      </c>
      <c r="J671" s="2">
        <v>2268.3059586510426</v>
      </c>
      <c r="K671" s="2">
        <v>2200.2567798915111</v>
      </c>
      <c r="L671" s="2">
        <v>2134.2490764947656</v>
      </c>
      <c r="M671" s="2">
        <v>2070.2216041999227</v>
      </c>
      <c r="N671" s="2">
        <v>2008.114956073925</v>
      </c>
      <c r="O671" s="2">
        <v>1947.8715073917072</v>
      </c>
    </row>
    <row r="672" spans="1:15" x14ac:dyDescent="0.25">
      <c r="A672" t="s">
        <v>2538</v>
      </c>
      <c r="B672" t="s">
        <v>2539</v>
      </c>
      <c r="C672" s="2">
        <v>2804.1548480000006</v>
      </c>
      <c r="D672" s="2">
        <v>2720.0302025600004</v>
      </c>
      <c r="E672" s="2">
        <v>2638.4292964832002</v>
      </c>
      <c r="F672" s="2">
        <v>2559.2764175887041</v>
      </c>
      <c r="G672" s="2">
        <v>2482.4981250610431</v>
      </c>
      <c r="H672" s="2">
        <v>2408.0231813092119</v>
      </c>
      <c r="I672" s="2">
        <v>2335.7824858699355</v>
      </c>
      <c r="J672" s="2">
        <v>2265.7090112938372</v>
      </c>
      <c r="K672" s="2">
        <v>2197.7377409550222</v>
      </c>
      <c r="L672" s="2">
        <v>2131.8056087263717</v>
      </c>
      <c r="M672" s="2">
        <v>2067.8514404645807</v>
      </c>
      <c r="N672" s="2">
        <v>2005.8158972506433</v>
      </c>
      <c r="O672" s="2">
        <v>1945.641420333124</v>
      </c>
    </row>
    <row r="673" spans="1:15" x14ac:dyDescent="0.25">
      <c r="A673" t="s">
        <v>2540</v>
      </c>
      <c r="B673" t="s">
        <v>2541</v>
      </c>
      <c r="C673" s="2">
        <v>2794.7311040000009</v>
      </c>
      <c r="D673" s="2">
        <v>2710.8891708800006</v>
      </c>
      <c r="E673" s="2">
        <v>2629.5624957536006</v>
      </c>
      <c r="F673" s="2">
        <v>2550.6756208809925</v>
      </c>
      <c r="G673" s="2">
        <v>2474.1553522545628</v>
      </c>
      <c r="H673" s="2">
        <v>2399.9306916869259</v>
      </c>
      <c r="I673" s="2">
        <v>2327.9327709363179</v>
      </c>
      <c r="J673" s="2">
        <v>2258.0947878082284</v>
      </c>
      <c r="K673" s="2">
        <v>2190.3519441739813</v>
      </c>
      <c r="L673" s="2">
        <v>2124.6413858487617</v>
      </c>
      <c r="M673" s="2">
        <v>2060.9021442732987</v>
      </c>
      <c r="N673" s="2">
        <v>1999.0750799450998</v>
      </c>
      <c r="O673" s="2">
        <v>1939.1028275467468</v>
      </c>
    </row>
    <row r="674" spans="1:15" x14ac:dyDescent="0.25">
      <c r="A674" t="s">
        <v>2542</v>
      </c>
      <c r="B674" t="s">
        <v>2543</v>
      </c>
      <c r="C674" s="2">
        <v>2793.9457920000004</v>
      </c>
      <c r="D674" s="2">
        <v>2710.1274182400002</v>
      </c>
      <c r="E674" s="2">
        <v>2628.8235956928002</v>
      </c>
      <c r="F674" s="2">
        <v>2549.9588878220161</v>
      </c>
      <c r="G674" s="2">
        <v>2473.4601211873555</v>
      </c>
      <c r="H674" s="2">
        <v>2399.2563175517348</v>
      </c>
      <c r="I674" s="2">
        <v>2327.2786280251826</v>
      </c>
      <c r="J674" s="2">
        <v>2257.460269184427</v>
      </c>
      <c r="K674" s="2">
        <v>2189.7364611088942</v>
      </c>
      <c r="L674" s="2">
        <v>2124.0443672756273</v>
      </c>
      <c r="M674" s="2">
        <v>2060.3230362573586</v>
      </c>
      <c r="N674" s="2">
        <v>1998.5133451696377</v>
      </c>
      <c r="O674" s="2">
        <v>1938.5579448145484</v>
      </c>
    </row>
    <row r="675" spans="1:15" x14ac:dyDescent="0.25">
      <c r="A675" t="s">
        <v>2544</v>
      </c>
      <c r="B675" t="s">
        <v>2545</v>
      </c>
      <c r="C675" s="2">
        <v>2785.5168440000002</v>
      </c>
      <c r="D675" s="2">
        <v>2701.9513386799999</v>
      </c>
      <c r="E675" s="2">
        <v>2620.8927985196001</v>
      </c>
      <c r="F675" s="2">
        <v>2542.266014564012</v>
      </c>
      <c r="G675" s="2">
        <v>2465.9980341270916</v>
      </c>
      <c r="H675" s="2">
        <v>2392.0180931032787</v>
      </c>
      <c r="I675" s="2">
        <v>2320.2575503101802</v>
      </c>
      <c r="J675" s="2">
        <v>2250.6498238008749</v>
      </c>
      <c r="K675" s="2">
        <v>2183.1303290868486</v>
      </c>
      <c r="L675" s="2">
        <v>2117.6364192142432</v>
      </c>
      <c r="M675" s="2">
        <v>2054.1073266378157</v>
      </c>
      <c r="N675" s="2">
        <v>1992.4841068386811</v>
      </c>
      <c r="O675" s="2">
        <v>1932.7095836335207</v>
      </c>
    </row>
    <row r="676" spans="1:15" x14ac:dyDescent="0.25">
      <c r="A676" t="s">
        <v>2546</v>
      </c>
      <c r="B676" t="s">
        <v>2547</v>
      </c>
      <c r="C676" s="2">
        <v>2784.0686720000008</v>
      </c>
      <c r="D676" s="2">
        <v>2700.5466118400009</v>
      </c>
      <c r="E676" s="2">
        <v>2619.5302134848007</v>
      </c>
      <c r="F676" s="2">
        <v>2540.9443070802567</v>
      </c>
      <c r="G676" s="2">
        <v>2464.7159778678488</v>
      </c>
      <c r="H676" s="2">
        <v>2390.7744985318132</v>
      </c>
      <c r="I676" s="2">
        <v>2319.0512635758587</v>
      </c>
      <c r="J676" s="2">
        <v>2249.4797256685829</v>
      </c>
      <c r="K676" s="2">
        <v>2181.9953338985251</v>
      </c>
      <c r="L676" s="2">
        <v>2116.5354738815695</v>
      </c>
      <c r="M676" s="2">
        <v>2053.0394096651225</v>
      </c>
      <c r="N676" s="2">
        <v>1991.4482273751689</v>
      </c>
      <c r="O676" s="2">
        <v>1931.7047805539139</v>
      </c>
    </row>
    <row r="677" spans="1:15" x14ac:dyDescent="0.25">
      <c r="A677" t="s">
        <v>2548</v>
      </c>
      <c r="B677" t="s">
        <v>2549</v>
      </c>
      <c r="C677" s="2">
        <v>2783.5991040000004</v>
      </c>
      <c r="D677" s="2">
        <v>2700.0911308800005</v>
      </c>
      <c r="E677" s="2">
        <v>2619.0883969536003</v>
      </c>
      <c r="F677" s="2">
        <v>2540.5157450449924</v>
      </c>
      <c r="G677" s="2">
        <v>2464.3002726936425</v>
      </c>
      <c r="H677" s="2">
        <v>2390.371264512833</v>
      </c>
      <c r="I677" s="2">
        <v>2318.660126577448</v>
      </c>
      <c r="J677" s="2">
        <v>2249.1003227801243</v>
      </c>
      <c r="K677" s="2">
        <v>2181.6273130967206</v>
      </c>
      <c r="L677" s="2">
        <v>2116.1784937038187</v>
      </c>
      <c r="M677" s="2">
        <v>2052.6931388927042</v>
      </c>
      <c r="N677" s="2">
        <v>1991.1123447259229</v>
      </c>
      <c r="O677" s="2">
        <v>1931.3789743841451</v>
      </c>
    </row>
    <row r="678" spans="1:15" x14ac:dyDescent="0.25">
      <c r="A678" t="s">
        <v>1104</v>
      </c>
      <c r="B678" t="s">
        <v>2550</v>
      </c>
      <c r="C678" s="2">
        <v>2783.0910800000001</v>
      </c>
      <c r="D678" s="2">
        <v>2699.5983476000001</v>
      </c>
      <c r="E678" s="2">
        <v>2618.6103971719999</v>
      </c>
      <c r="F678" s="2">
        <v>2540.0520852568397</v>
      </c>
      <c r="G678" s="2">
        <v>2463.8505226991347</v>
      </c>
      <c r="H678" s="2">
        <v>2389.9350070181604</v>
      </c>
      <c r="I678" s="2">
        <v>2318.2369568076156</v>
      </c>
      <c r="J678" s="2">
        <v>2248.6898481033872</v>
      </c>
      <c r="K678" s="2">
        <v>2181.2291526602858</v>
      </c>
      <c r="L678" s="2">
        <v>2115.792278080477</v>
      </c>
      <c r="M678" s="2">
        <v>2052.3185097380624</v>
      </c>
      <c r="N678" s="2">
        <v>1990.7489544459204</v>
      </c>
      <c r="O678" s="2">
        <v>1931.0264858125427</v>
      </c>
    </row>
    <row r="679" spans="1:15" x14ac:dyDescent="0.25">
      <c r="A679" t="s">
        <v>2551</v>
      </c>
      <c r="B679" t="s">
        <v>2552</v>
      </c>
      <c r="C679" s="2">
        <v>2782.5871040000002</v>
      </c>
      <c r="D679" s="2">
        <v>2699.1094908800001</v>
      </c>
      <c r="E679" s="2">
        <v>2618.1362061536001</v>
      </c>
      <c r="F679" s="2">
        <v>2539.5921199689919</v>
      </c>
      <c r="G679" s="2">
        <v>2463.404356369922</v>
      </c>
      <c r="H679" s="2">
        <v>2389.5022256788243</v>
      </c>
      <c r="I679" s="2">
        <v>2317.8171589084595</v>
      </c>
      <c r="J679" s="2">
        <v>2248.2826441412058</v>
      </c>
      <c r="K679" s="2">
        <v>2180.8341648169694</v>
      </c>
      <c r="L679" s="2">
        <v>2115.4091398724604</v>
      </c>
      <c r="M679" s="2">
        <v>2051.9468656762865</v>
      </c>
      <c r="N679" s="2">
        <v>1990.3884597059978</v>
      </c>
      <c r="O679" s="2">
        <v>1930.6768059148178</v>
      </c>
    </row>
    <row r="680" spans="1:15" x14ac:dyDescent="0.25">
      <c r="A680" t="s">
        <v>2553</v>
      </c>
      <c r="B680" t="s">
        <v>2554</v>
      </c>
      <c r="C680" s="2">
        <v>2778.0290560000008</v>
      </c>
      <c r="D680" s="2">
        <v>2694.6881843200008</v>
      </c>
      <c r="E680" s="2">
        <v>2613.8475387904009</v>
      </c>
      <c r="F680" s="2">
        <v>2535.4321126266886</v>
      </c>
      <c r="G680" s="2">
        <v>2459.3691492478879</v>
      </c>
      <c r="H680" s="2">
        <v>2385.5880747704514</v>
      </c>
      <c r="I680" s="2">
        <v>2314.0204325273376</v>
      </c>
      <c r="J680" s="2">
        <v>2244.5998195515172</v>
      </c>
      <c r="K680" s="2">
        <v>2177.2618249649718</v>
      </c>
      <c r="L680" s="2">
        <v>2111.9439702160225</v>
      </c>
      <c r="M680" s="2">
        <v>2048.5856511095417</v>
      </c>
      <c r="N680" s="2">
        <v>1987.1280815762555</v>
      </c>
      <c r="O680" s="2">
        <v>1927.5142391289678</v>
      </c>
    </row>
    <row r="681" spans="1:15" x14ac:dyDescent="0.25">
      <c r="A681" t="s">
        <v>2555</v>
      </c>
      <c r="B681" t="s">
        <v>2556</v>
      </c>
      <c r="C681" s="2">
        <v>2776.6203519999999</v>
      </c>
      <c r="D681" s="2">
        <v>2693.3217414399996</v>
      </c>
      <c r="E681" s="2">
        <v>2612.5220891967997</v>
      </c>
      <c r="F681" s="2">
        <v>2534.1464265208956</v>
      </c>
      <c r="G681" s="2">
        <v>2458.1220337252685</v>
      </c>
      <c r="H681" s="2">
        <v>2384.3783727135105</v>
      </c>
      <c r="I681" s="2">
        <v>2312.8470215321054</v>
      </c>
      <c r="J681" s="2">
        <v>2243.4616108861424</v>
      </c>
      <c r="K681" s="2">
        <v>2176.1577625595578</v>
      </c>
      <c r="L681" s="2">
        <v>2110.8730296827712</v>
      </c>
      <c r="M681" s="2">
        <v>2047.5468387922879</v>
      </c>
      <c r="N681" s="2">
        <v>1986.1204336285191</v>
      </c>
      <c r="O681" s="2">
        <v>1926.5368206196636</v>
      </c>
    </row>
    <row r="682" spans="1:15" x14ac:dyDescent="0.25">
      <c r="A682" t="s">
        <v>2557</v>
      </c>
      <c r="B682" t="s">
        <v>2558</v>
      </c>
      <c r="C682" s="2">
        <v>2772.9528640000003</v>
      </c>
      <c r="D682" s="2">
        <v>2689.7642780800002</v>
      </c>
      <c r="E682" s="2">
        <v>2609.0713497376</v>
      </c>
      <c r="F682" s="2">
        <v>2530.799209245472</v>
      </c>
      <c r="G682" s="2">
        <v>2454.8752329681079</v>
      </c>
      <c r="H682" s="2">
        <v>2381.2289759790647</v>
      </c>
      <c r="I682" s="2">
        <v>2309.7921066996928</v>
      </c>
      <c r="J682" s="2">
        <v>2240.4983434987021</v>
      </c>
      <c r="K682" s="2">
        <v>2173.2833931937407</v>
      </c>
      <c r="L682" s="2">
        <v>2108.0848913979285</v>
      </c>
      <c r="M682" s="2">
        <v>2044.8423446559905</v>
      </c>
      <c r="N682" s="2">
        <v>1983.4970743163108</v>
      </c>
      <c r="O682" s="2">
        <v>1923.9921620868215</v>
      </c>
    </row>
    <row r="683" spans="1:15" x14ac:dyDescent="0.25">
      <c r="A683" t="s">
        <v>2559</v>
      </c>
      <c r="B683" t="s">
        <v>2560</v>
      </c>
      <c r="C683" s="2">
        <v>2772.7666560000011</v>
      </c>
      <c r="D683" s="2">
        <v>2689.583656320001</v>
      </c>
      <c r="E683" s="2">
        <v>2608.8961466304008</v>
      </c>
      <c r="F683" s="2">
        <v>2530.6292622314886</v>
      </c>
      <c r="G683" s="2">
        <v>2454.7103843645441</v>
      </c>
      <c r="H683" s="2">
        <v>2381.0690728336076</v>
      </c>
      <c r="I683" s="2">
        <v>2309.6370006485995</v>
      </c>
      <c r="J683" s="2">
        <v>2240.3478906291416</v>
      </c>
      <c r="K683" s="2">
        <v>2173.1374539102671</v>
      </c>
      <c r="L683" s="2">
        <v>2107.9433302929592</v>
      </c>
      <c r="M683" s="2">
        <v>2044.7050303841704</v>
      </c>
      <c r="N683" s="2">
        <v>1983.3638794726453</v>
      </c>
      <c r="O683" s="2">
        <v>1923.8629630884659</v>
      </c>
    </row>
    <row r="684" spans="1:15" x14ac:dyDescent="0.25">
      <c r="A684" t="s">
        <v>2561</v>
      </c>
      <c r="B684" t="s">
        <v>2562</v>
      </c>
      <c r="C684" s="2">
        <v>2767.2613760000008</v>
      </c>
      <c r="D684" s="2">
        <v>2684.2435347200008</v>
      </c>
      <c r="E684" s="2">
        <v>2603.7162286784005</v>
      </c>
      <c r="F684" s="2">
        <v>2525.6047418180483</v>
      </c>
      <c r="G684" s="2">
        <v>2449.8365995635068</v>
      </c>
      <c r="H684" s="2">
        <v>2376.3415015766013</v>
      </c>
      <c r="I684" s="2">
        <v>2305.0512565293034</v>
      </c>
      <c r="J684" s="2">
        <v>2235.8997188334242</v>
      </c>
      <c r="K684" s="2">
        <v>2168.8227272684217</v>
      </c>
      <c r="L684" s="2">
        <v>2103.7580454503691</v>
      </c>
      <c r="M684" s="2">
        <v>2040.645304086858</v>
      </c>
      <c r="N684" s="2">
        <v>1979.4259449642523</v>
      </c>
      <c r="O684" s="2">
        <v>1920.0431666153247</v>
      </c>
    </row>
    <row r="685" spans="1:15" x14ac:dyDescent="0.25">
      <c r="A685" t="s">
        <v>2563</v>
      </c>
      <c r="B685" t="s">
        <v>2564</v>
      </c>
      <c r="C685" s="2">
        <v>2766.5752400000001</v>
      </c>
      <c r="D685" s="2">
        <v>2683.5779828</v>
      </c>
      <c r="E685" s="2">
        <v>2603.0706433159999</v>
      </c>
      <c r="F685" s="2">
        <v>2524.9785240165197</v>
      </c>
      <c r="G685" s="2">
        <v>2449.229168296024</v>
      </c>
      <c r="H685" s="2">
        <v>2375.7522932471434</v>
      </c>
      <c r="I685" s="2">
        <v>2304.479724449729</v>
      </c>
      <c r="J685" s="2">
        <v>2235.345332716237</v>
      </c>
      <c r="K685" s="2">
        <v>2168.2849727347498</v>
      </c>
      <c r="L685" s="2">
        <v>2103.236423552707</v>
      </c>
      <c r="M685" s="2">
        <v>2040.1393308461259</v>
      </c>
      <c r="N685" s="2">
        <v>1978.935150920742</v>
      </c>
      <c r="O685" s="2">
        <v>1919.5670963931198</v>
      </c>
    </row>
    <row r="686" spans="1:15" x14ac:dyDescent="0.25">
      <c r="A686" t="s">
        <v>2565</v>
      </c>
      <c r="B686" t="s">
        <v>2566</v>
      </c>
      <c r="C686" s="2">
        <v>2763.7451819999997</v>
      </c>
      <c r="D686" s="2">
        <v>2680.8328265399996</v>
      </c>
      <c r="E686" s="2">
        <v>2600.4078417437995</v>
      </c>
      <c r="F686" s="2">
        <v>2522.3956064914855</v>
      </c>
      <c r="G686" s="2">
        <v>2446.723738296741</v>
      </c>
      <c r="H686" s="2">
        <v>2373.3220261478386</v>
      </c>
      <c r="I686" s="2">
        <v>2302.1223653634033</v>
      </c>
      <c r="J686" s="2">
        <v>2233.0586944025013</v>
      </c>
      <c r="K686" s="2">
        <v>2166.066933570426</v>
      </c>
      <c r="L686" s="2">
        <v>2101.0849255633134</v>
      </c>
      <c r="M686" s="2">
        <v>2038.052377796414</v>
      </c>
      <c r="N686" s="2">
        <v>1976.9108064625216</v>
      </c>
      <c r="O686" s="2">
        <v>1917.6034822686458</v>
      </c>
    </row>
    <row r="687" spans="1:15" x14ac:dyDescent="0.25">
      <c r="A687" t="s">
        <v>2567</v>
      </c>
      <c r="B687" t="s">
        <v>2568</v>
      </c>
      <c r="C687" s="2">
        <v>2757.3194880000005</v>
      </c>
      <c r="D687" s="2">
        <v>2674.5999033600006</v>
      </c>
      <c r="E687" s="2">
        <v>2594.3619062592006</v>
      </c>
      <c r="F687" s="2">
        <v>2516.5310490714246</v>
      </c>
      <c r="G687" s="2">
        <v>2441.0351175992819</v>
      </c>
      <c r="H687" s="2">
        <v>2367.8040640713034</v>
      </c>
      <c r="I687" s="2">
        <v>2296.7699421491643</v>
      </c>
      <c r="J687" s="2">
        <v>2227.8668438846894</v>
      </c>
      <c r="K687" s="2">
        <v>2161.0308385681487</v>
      </c>
      <c r="L687" s="2">
        <v>2096.1999134111043</v>
      </c>
      <c r="M687" s="2">
        <v>2033.313916008771</v>
      </c>
      <c r="N687" s="2">
        <v>1972.3144985285078</v>
      </c>
      <c r="O687" s="2">
        <v>1913.1450635726526</v>
      </c>
    </row>
    <row r="688" spans="1:15" x14ac:dyDescent="0.25">
      <c r="A688" t="s">
        <v>2569</v>
      </c>
      <c r="B688" t="s">
        <v>2570</v>
      </c>
      <c r="C688" s="2">
        <v>2755.2307200000005</v>
      </c>
      <c r="D688" s="2">
        <v>2672.5737984000002</v>
      </c>
      <c r="E688" s="2">
        <v>2592.3965844480003</v>
      </c>
      <c r="F688" s="2">
        <v>2514.6246869145602</v>
      </c>
      <c r="G688" s="2">
        <v>2439.1859463071232</v>
      </c>
      <c r="H688" s="2">
        <v>2366.0103679179097</v>
      </c>
      <c r="I688" s="2">
        <v>2295.0300568803723</v>
      </c>
      <c r="J688" s="2">
        <v>2226.1791551739611</v>
      </c>
      <c r="K688" s="2">
        <v>2159.3937805187425</v>
      </c>
      <c r="L688" s="2">
        <v>2094.6119671031802</v>
      </c>
      <c r="M688" s="2">
        <v>2031.7736080900847</v>
      </c>
      <c r="N688" s="2">
        <v>1970.8203998473821</v>
      </c>
      <c r="O688" s="2">
        <v>1911.6957878519606</v>
      </c>
    </row>
    <row r="689" spans="1:15" x14ac:dyDescent="0.25">
      <c r="A689" t="s">
        <v>2571</v>
      </c>
      <c r="B689" t="s">
        <v>2572</v>
      </c>
      <c r="C689" s="2">
        <v>2750.2486440000002</v>
      </c>
      <c r="D689" s="2">
        <v>2667.7411846800001</v>
      </c>
      <c r="E689" s="2">
        <v>2587.7089491396</v>
      </c>
      <c r="F689" s="2">
        <v>2510.0776806654121</v>
      </c>
      <c r="G689" s="2">
        <v>2434.7753502454498</v>
      </c>
      <c r="H689" s="2">
        <v>2361.7320897380864</v>
      </c>
      <c r="I689" s="2">
        <v>2290.8801270459439</v>
      </c>
      <c r="J689" s="2">
        <v>2222.1537232345654</v>
      </c>
      <c r="K689" s="2">
        <v>2155.4891115375285</v>
      </c>
      <c r="L689" s="2">
        <v>2090.8244381914028</v>
      </c>
      <c r="M689" s="2">
        <v>2028.0997050456606</v>
      </c>
      <c r="N689" s="2">
        <v>1967.2567138942907</v>
      </c>
      <c r="O689" s="2">
        <v>1908.239012477462</v>
      </c>
    </row>
    <row r="690" spans="1:15" x14ac:dyDescent="0.25">
      <c r="A690" t="s">
        <v>2573</v>
      </c>
      <c r="B690" t="s">
        <v>2574</v>
      </c>
      <c r="C690" s="2">
        <v>2747.2207400000007</v>
      </c>
      <c r="D690" s="2">
        <v>2664.8041178000008</v>
      </c>
      <c r="E690" s="2">
        <v>2584.8599942660007</v>
      </c>
      <c r="F690" s="2">
        <v>2507.3141944380204</v>
      </c>
      <c r="G690" s="2">
        <v>2432.0947686048798</v>
      </c>
      <c r="H690" s="2">
        <v>2359.1319255467333</v>
      </c>
      <c r="I690" s="2">
        <v>2288.3579677803314</v>
      </c>
      <c r="J690" s="2">
        <v>2219.7072287469214</v>
      </c>
      <c r="K690" s="2">
        <v>2153.1160118845137</v>
      </c>
      <c r="L690" s="2">
        <v>2088.5225315279781</v>
      </c>
      <c r="M690" s="2">
        <v>2025.8668555821387</v>
      </c>
      <c r="N690" s="2">
        <v>1965.0908499146744</v>
      </c>
      <c r="O690" s="2">
        <v>1906.1381244172342</v>
      </c>
    </row>
    <row r="691" spans="1:15" x14ac:dyDescent="0.25">
      <c r="A691" t="s">
        <v>2575</v>
      </c>
      <c r="B691" t="s">
        <v>2576</v>
      </c>
      <c r="C691" s="2">
        <v>2747.0456640000002</v>
      </c>
      <c r="D691" s="2">
        <v>2664.63429408</v>
      </c>
      <c r="E691" s="2">
        <v>2584.6952652576001</v>
      </c>
      <c r="F691" s="2">
        <v>2507.1544072998722</v>
      </c>
      <c r="G691" s="2">
        <v>2431.9397750808762</v>
      </c>
      <c r="H691" s="2">
        <v>2358.9815818284496</v>
      </c>
      <c r="I691" s="2">
        <v>2288.2121343735962</v>
      </c>
      <c r="J691" s="2">
        <v>2219.5657703423881</v>
      </c>
      <c r="K691" s="2">
        <v>2152.9787972321164</v>
      </c>
      <c r="L691" s="2">
        <v>2088.3894333151529</v>
      </c>
      <c r="M691" s="2">
        <v>2025.7377503156983</v>
      </c>
      <c r="N691" s="2">
        <v>1964.9656178062273</v>
      </c>
      <c r="O691" s="2">
        <v>1906.0166492720405</v>
      </c>
    </row>
    <row r="692" spans="1:15" x14ac:dyDescent="0.25">
      <c r="A692" t="s">
        <v>2577</v>
      </c>
      <c r="B692" t="s">
        <v>2578</v>
      </c>
      <c r="C692" s="2">
        <v>2747.0132800000006</v>
      </c>
      <c r="D692" s="2">
        <v>2664.6028816000003</v>
      </c>
      <c r="E692" s="2">
        <v>2584.6647951520004</v>
      </c>
      <c r="F692" s="2">
        <v>2507.1248512974403</v>
      </c>
      <c r="G692" s="2">
        <v>2431.9111057585169</v>
      </c>
      <c r="H692" s="2">
        <v>2358.9537725857613</v>
      </c>
      <c r="I692" s="2">
        <v>2288.1851594081882</v>
      </c>
      <c r="J692" s="2">
        <v>2219.5396046259425</v>
      </c>
      <c r="K692" s="2">
        <v>2152.9534164871643</v>
      </c>
      <c r="L692" s="2">
        <v>2088.3648139925494</v>
      </c>
      <c r="M692" s="2">
        <v>2025.7138695727729</v>
      </c>
      <c r="N692" s="2">
        <v>1964.9424534855896</v>
      </c>
      <c r="O692" s="2">
        <v>1905.9941798810219</v>
      </c>
    </row>
    <row r="693" spans="1:15" x14ac:dyDescent="0.25">
      <c r="A693" t="s">
        <v>2579</v>
      </c>
      <c r="B693" t="s">
        <v>2580</v>
      </c>
      <c r="C693" s="2">
        <v>2740.0208660000003</v>
      </c>
      <c r="D693" s="2">
        <v>2657.8202400200003</v>
      </c>
      <c r="E693" s="2">
        <v>2578.0856328194</v>
      </c>
      <c r="F693" s="2">
        <v>2500.7430638348178</v>
      </c>
      <c r="G693" s="2">
        <v>2425.7207719197731</v>
      </c>
      <c r="H693" s="2">
        <v>2352.9491487621799</v>
      </c>
      <c r="I693" s="2">
        <v>2282.3606742993143</v>
      </c>
      <c r="J693" s="2">
        <v>2213.8898540703349</v>
      </c>
      <c r="K693" s="2">
        <v>2147.4731584482247</v>
      </c>
      <c r="L693" s="2">
        <v>2083.0489636947777</v>
      </c>
      <c r="M693" s="2">
        <v>2020.5574947839343</v>
      </c>
      <c r="N693" s="2">
        <v>1959.9407699404162</v>
      </c>
      <c r="O693" s="2">
        <v>1901.1425468422037</v>
      </c>
    </row>
    <row r="694" spans="1:15" x14ac:dyDescent="0.25">
      <c r="A694" t="s">
        <v>2581</v>
      </c>
      <c r="B694" t="s">
        <v>2580</v>
      </c>
      <c r="C694" s="2">
        <v>2740.0208660000003</v>
      </c>
      <c r="D694" s="2">
        <v>2657.8202400200003</v>
      </c>
      <c r="E694" s="2">
        <v>2578.0856328194</v>
      </c>
      <c r="F694" s="2">
        <v>2500.7430638348178</v>
      </c>
      <c r="G694" s="2">
        <v>2425.7207719197731</v>
      </c>
      <c r="H694" s="2">
        <v>2352.9491487621799</v>
      </c>
      <c r="I694" s="2">
        <v>2282.3606742993143</v>
      </c>
      <c r="J694" s="2">
        <v>2213.8898540703349</v>
      </c>
      <c r="K694" s="2">
        <v>2147.4731584482247</v>
      </c>
      <c r="L694" s="2">
        <v>2083.0489636947777</v>
      </c>
      <c r="M694" s="2">
        <v>2020.5574947839343</v>
      </c>
      <c r="N694" s="2">
        <v>1959.9407699404162</v>
      </c>
      <c r="O694" s="2">
        <v>1901.1425468422037</v>
      </c>
    </row>
    <row r="695" spans="1:15" x14ac:dyDescent="0.25">
      <c r="A695" t="s">
        <v>2582</v>
      </c>
      <c r="B695" t="s">
        <v>2580</v>
      </c>
      <c r="C695" s="2">
        <v>2740.0208660000003</v>
      </c>
      <c r="D695" s="2">
        <v>2657.8202400200003</v>
      </c>
      <c r="E695" s="2">
        <v>2578.0856328194</v>
      </c>
      <c r="F695" s="2">
        <v>2500.7430638348178</v>
      </c>
      <c r="G695" s="2">
        <v>2425.7207719197731</v>
      </c>
      <c r="H695" s="2">
        <v>2352.9491487621799</v>
      </c>
      <c r="I695" s="2">
        <v>2282.3606742993143</v>
      </c>
      <c r="J695" s="2">
        <v>2213.8898540703349</v>
      </c>
      <c r="K695" s="2">
        <v>2147.4731584482247</v>
      </c>
      <c r="L695" s="2">
        <v>2083.0489636947777</v>
      </c>
      <c r="M695" s="2">
        <v>2020.5574947839343</v>
      </c>
      <c r="N695" s="2">
        <v>1959.9407699404162</v>
      </c>
      <c r="O695" s="2">
        <v>1901.1425468422037</v>
      </c>
    </row>
    <row r="696" spans="1:15" x14ac:dyDescent="0.25">
      <c r="A696" t="s">
        <v>2583</v>
      </c>
      <c r="B696" t="s">
        <v>2584</v>
      </c>
      <c r="C696" s="2">
        <v>2737.0015640000006</v>
      </c>
      <c r="D696" s="2">
        <v>2654.8915170800005</v>
      </c>
      <c r="E696" s="2">
        <v>2575.2447715676003</v>
      </c>
      <c r="F696" s="2">
        <v>2497.9874284205721</v>
      </c>
      <c r="G696" s="2">
        <v>2423.047805567955</v>
      </c>
      <c r="H696" s="2">
        <v>2350.3563714009165</v>
      </c>
      <c r="I696" s="2">
        <v>2279.8456802588889</v>
      </c>
      <c r="J696" s="2">
        <v>2211.4503098511223</v>
      </c>
      <c r="K696" s="2">
        <v>2145.1068005555885</v>
      </c>
      <c r="L696" s="2">
        <v>2080.7535965389206</v>
      </c>
      <c r="M696" s="2">
        <v>2018.330988642753</v>
      </c>
      <c r="N696" s="2">
        <v>1957.7810589834703</v>
      </c>
      <c r="O696" s="2">
        <v>1899.0476272139661</v>
      </c>
    </row>
    <row r="697" spans="1:15" x14ac:dyDescent="0.25">
      <c r="A697" t="s">
        <v>2585</v>
      </c>
      <c r="B697" t="s">
        <v>2586</v>
      </c>
      <c r="C697" s="2">
        <v>2732.9930320000003</v>
      </c>
      <c r="D697" s="2">
        <v>2651.0032410400004</v>
      </c>
      <c r="E697" s="2">
        <v>2571.4731438088002</v>
      </c>
      <c r="F697" s="2">
        <v>2494.3289494945361</v>
      </c>
      <c r="G697" s="2">
        <v>2419.4990810097001</v>
      </c>
      <c r="H697" s="2">
        <v>2346.914108579409</v>
      </c>
      <c r="I697" s="2">
        <v>2276.5066853220269</v>
      </c>
      <c r="J697" s="2">
        <v>2208.2114847623661</v>
      </c>
      <c r="K697" s="2">
        <v>2141.965140219495</v>
      </c>
      <c r="L697" s="2">
        <v>2077.7061860129102</v>
      </c>
      <c r="M697" s="2">
        <v>2015.3750004325227</v>
      </c>
      <c r="N697" s="2">
        <v>1954.9137504195469</v>
      </c>
      <c r="O697" s="2">
        <v>1896.2663379069604</v>
      </c>
    </row>
    <row r="698" spans="1:15" x14ac:dyDescent="0.25">
      <c r="A698" t="s">
        <v>2587</v>
      </c>
      <c r="B698" t="s">
        <v>2588</v>
      </c>
      <c r="C698" s="2">
        <v>2730.6446860000005</v>
      </c>
      <c r="D698" s="2">
        <v>2648.7253454200004</v>
      </c>
      <c r="E698" s="2">
        <v>2569.2635850574002</v>
      </c>
      <c r="F698" s="2">
        <v>2492.1856775056781</v>
      </c>
      <c r="G698" s="2">
        <v>2417.4201071805078</v>
      </c>
      <c r="H698" s="2">
        <v>2344.8975039650927</v>
      </c>
      <c r="I698" s="2">
        <v>2274.5505788461401</v>
      </c>
      <c r="J698" s="2">
        <v>2206.3140614807558</v>
      </c>
      <c r="K698" s="2">
        <v>2140.1246396363331</v>
      </c>
      <c r="L698" s="2">
        <v>2075.9209004472432</v>
      </c>
      <c r="M698" s="2">
        <v>2013.6432734338259</v>
      </c>
      <c r="N698" s="2">
        <v>1953.233975230811</v>
      </c>
      <c r="O698" s="2">
        <v>1894.6369559738866</v>
      </c>
    </row>
    <row r="699" spans="1:15" x14ac:dyDescent="0.25">
      <c r="A699" t="s">
        <v>2589</v>
      </c>
      <c r="B699" t="s">
        <v>2590</v>
      </c>
      <c r="C699" s="2">
        <v>2726.3603840000005</v>
      </c>
      <c r="D699" s="2">
        <v>2644.5695724800003</v>
      </c>
      <c r="E699" s="2">
        <v>2565.2324853056002</v>
      </c>
      <c r="F699" s="2">
        <v>2488.2755107464322</v>
      </c>
      <c r="G699" s="2">
        <v>2413.6272454240393</v>
      </c>
      <c r="H699" s="2">
        <v>2341.2184280613183</v>
      </c>
      <c r="I699" s="2">
        <v>2270.9818752194788</v>
      </c>
      <c r="J699" s="2">
        <v>2202.8524189628943</v>
      </c>
      <c r="K699" s="2">
        <v>2136.7668463940072</v>
      </c>
      <c r="L699" s="2">
        <v>2072.6638410021869</v>
      </c>
      <c r="M699" s="2">
        <v>2010.4839257721212</v>
      </c>
      <c r="N699" s="2">
        <v>1950.1694079989575</v>
      </c>
      <c r="O699" s="2">
        <v>1891.6643257589888</v>
      </c>
    </row>
    <row r="700" spans="1:15" x14ac:dyDescent="0.25">
      <c r="A700" t="s">
        <v>2591</v>
      </c>
      <c r="B700" t="s">
        <v>2592</v>
      </c>
      <c r="C700" s="2">
        <v>2726.020352</v>
      </c>
      <c r="D700" s="2">
        <v>2644.2397414399998</v>
      </c>
      <c r="E700" s="2">
        <v>2564.9125491967998</v>
      </c>
      <c r="F700" s="2">
        <v>2487.9651727208957</v>
      </c>
      <c r="G700" s="2">
        <v>2413.3262175392688</v>
      </c>
      <c r="H700" s="2">
        <v>2340.9264310130907</v>
      </c>
      <c r="I700" s="2">
        <v>2270.6986380826979</v>
      </c>
      <c r="J700" s="2">
        <v>2202.5776789402171</v>
      </c>
      <c r="K700" s="2">
        <v>2136.5003485720104</v>
      </c>
      <c r="L700" s="2">
        <v>2072.4053381148501</v>
      </c>
      <c r="M700" s="2">
        <v>2010.2331779714045</v>
      </c>
      <c r="N700" s="2">
        <v>1949.9261826322625</v>
      </c>
      <c r="O700" s="2">
        <v>1891.4283971532946</v>
      </c>
    </row>
    <row r="701" spans="1:15" x14ac:dyDescent="0.25">
      <c r="A701" t="s">
        <v>2593</v>
      </c>
      <c r="B701" t="s">
        <v>2594</v>
      </c>
      <c r="C701" s="2">
        <v>2721.4319439999999</v>
      </c>
      <c r="D701" s="2">
        <v>2639.7889856799998</v>
      </c>
      <c r="E701" s="2">
        <v>2560.5953161095995</v>
      </c>
      <c r="F701" s="2">
        <v>2483.7774566263115</v>
      </c>
      <c r="G701" s="2">
        <v>2409.264132927522</v>
      </c>
      <c r="H701" s="2">
        <v>2336.9862089396961</v>
      </c>
      <c r="I701" s="2">
        <v>2266.8766226715052</v>
      </c>
      <c r="J701" s="2">
        <v>2198.8703239913598</v>
      </c>
      <c r="K701" s="2">
        <v>2132.9042142716189</v>
      </c>
      <c r="L701" s="2">
        <v>2068.9170878434702</v>
      </c>
      <c r="M701" s="2">
        <v>2006.849575208166</v>
      </c>
      <c r="N701" s="2">
        <v>1946.6440879519209</v>
      </c>
      <c r="O701" s="2">
        <v>1888.2447653133634</v>
      </c>
    </row>
    <row r="702" spans="1:15" x14ac:dyDescent="0.25">
      <c r="A702" t="s">
        <v>2595</v>
      </c>
      <c r="B702" t="s">
        <v>2596</v>
      </c>
      <c r="C702" s="2">
        <v>2721.1824860000002</v>
      </c>
      <c r="D702" s="2">
        <v>2639.5470114200002</v>
      </c>
      <c r="E702" s="2">
        <v>2560.3606010774001</v>
      </c>
      <c r="F702" s="2">
        <v>2483.5497830450781</v>
      </c>
      <c r="G702" s="2">
        <v>2409.0432895537256</v>
      </c>
      <c r="H702" s="2">
        <v>2336.7719908671138</v>
      </c>
      <c r="I702" s="2">
        <v>2266.6688311411003</v>
      </c>
      <c r="J702" s="2">
        <v>2198.6687662068671</v>
      </c>
      <c r="K702" s="2">
        <v>2132.7087032206609</v>
      </c>
      <c r="L702" s="2">
        <v>2068.7274421240409</v>
      </c>
      <c r="M702" s="2">
        <v>2006.6656188603197</v>
      </c>
      <c r="N702" s="2">
        <v>1946.4656502945099</v>
      </c>
      <c r="O702" s="2">
        <v>1888.0716807856745</v>
      </c>
    </row>
    <row r="703" spans="1:15" x14ac:dyDescent="0.25">
      <c r="A703" t="s">
        <v>1100</v>
      </c>
      <c r="B703" t="s">
        <v>2597</v>
      </c>
      <c r="C703" s="2">
        <v>2720.7867939999996</v>
      </c>
      <c r="D703" s="2">
        <v>2639.1631901799997</v>
      </c>
      <c r="E703" s="2">
        <v>2559.9882944745996</v>
      </c>
      <c r="F703" s="2">
        <v>2483.1886456403613</v>
      </c>
      <c r="G703" s="2">
        <v>2408.6929862711504</v>
      </c>
      <c r="H703" s="2">
        <v>2336.4321966830157</v>
      </c>
      <c r="I703" s="2">
        <v>2266.3392307825252</v>
      </c>
      <c r="J703" s="2">
        <v>2198.3490538590495</v>
      </c>
      <c r="K703" s="2">
        <v>2132.3985822432778</v>
      </c>
      <c r="L703" s="2">
        <v>2068.4266247759792</v>
      </c>
      <c r="M703" s="2">
        <v>2006.3738260326998</v>
      </c>
      <c r="N703" s="2">
        <v>1946.1826112517188</v>
      </c>
      <c r="O703" s="2">
        <v>1887.7971329141672</v>
      </c>
    </row>
    <row r="704" spans="1:15" x14ac:dyDescent="0.25">
      <c r="A704" t="s">
        <v>2598</v>
      </c>
      <c r="B704" t="s">
        <v>2599</v>
      </c>
      <c r="C704" s="2">
        <v>2717.8838720000008</v>
      </c>
      <c r="D704" s="2">
        <v>2636.3473558400005</v>
      </c>
      <c r="E704" s="2">
        <v>2557.2569351648003</v>
      </c>
      <c r="F704" s="2">
        <v>2480.5392271098563</v>
      </c>
      <c r="G704" s="2">
        <v>2406.1230502965605</v>
      </c>
      <c r="H704" s="2">
        <v>2333.9393587876634</v>
      </c>
      <c r="I704" s="2">
        <v>2263.9211780240335</v>
      </c>
      <c r="J704" s="2">
        <v>2196.0035426833124</v>
      </c>
      <c r="K704" s="2">
        <v>2130.1234364028128</v>
      </c>
      <c r="L704" s="2">
        <v>2066.2197333107283</v>
      </c>
      <c r="M704" s="2">
        <v>2004.2331413114064</v>
      </c>
      <c r="N704" s="2">
        <v>1944.1061470720642</v>
      </c>
      <c r="O704" s="2">
        <v>1885.7829626599023</v>
      </c>
    </row>
    <row r="705" spans="1:15" x14ac:dyDescent="0.25">
      <c r="A705" t="s">
        <v>2600</v>
      </c>
      <c r="B705" t="s">
        <v>2601</v>
      </c>
      <c r="C705" s="2">
        <v>2716.5804160000007</v>
      </c>
      <c r="D705" s="2">
        <v>2635.0830035200006</v>
      </c>
      <c r="E705" s="2">
        <v>2556.0305134144005</v>
      </c>
      <c r="F705" s="2">
        <v>2479.3495980119683</v>
      </c>
      <c r="G705" s="2">
        <v>2404.9691100716091</v>
      </c>
      <c r="H705" s="2">
        <v>2332.8200367694608</v>
      </c>
      <c r="I705" s="2">
        <v>2262.8354356663767</v>
      </c>
      <c r="J705" s="2">
        <v>2194.9503725963855</v>
      </c>
      <c r="K705" s="2">
        <v>2129.1018614184941</v>
      </c>
      <c r="L705" s="2">
        <v>2065.2288055759391</v>
      </c>
      <c r="M705" s="2">
        <v>2003.271941408661</v>
      </c>
      <c r="N705" s="2">
        <v>1943.1737831664011</v>
      </c>
      <c r="O705" s="2">
        <v>1884.878569671409</v>
      </c>
    </row>
    <row r="706" spans="1:15" x14ac:dyDescent="0.25">
      <c r="A706" t="s">
        <v>2602</v>
      </c>
      <c r="B706" t="s">
        <v>2603</v>
      </c>
      <c r="C706" s="2">
        <v>2711.8685439999999</v>
      </c>
      <c r="D706" s="2">
        <v>2630.51248768</v>
      </c>
      <c r="E706" s="2">
        <v>2551.5971130496</v>
      </c>
      <c r="F706" s="2">
        <v>2475.0491996581118</v>
      </c>
      <c r="G706" s="2">
        <v>2400.7977236683682</v>
      </c>
      <c r="H706" s="2">
        <v>2328.7737919583169</v>
      </c>
      <c r="I706" s="2">
        <v>2258.9105781995672</v>
      </c>
      <c r="J706" s="2">
        <v>2191.1432608535802</v>
      </c>
      <c r="K706" s="2">
        <v>2125.4089630279727</v>
      </c>
      <c r="L706" s="2">
        <v>2061.6466941371336</v>
      </c>
      <c r="M706" s="2">
        <v>1999.7972933130195</v>
      </c>
      <c r="N706" s="2">
        <v>1939.8033745136288</v>
      </c>
      <c r="O706" s="2">
        <v>1881.6092732782199</v>
      </c>
    </row>
    <row r="707" spans="1:15" x14ac:dyDescent="0.25">
      <c r="A707" t="s">
        <v>2604</v>
      </c>
      <c r="B707" t="s">
        <v>2605</v>
      </c>
      <c r="C707" s="2">
        <v>2710.7917760000005</v>
      </c>
      <c r="D707" s="2">
        <v>2629.4680227200006</v>
      </c>
      <c r="E707" s="2">
        <v>2550.5839820384003</v>
      </c>
      <c r="F707" s="2">
        <v>2474.0664625772483</v>
      </c>
      <c r="G707" s="2">
        <v>2399.844468699931</v>
      </c>
      <c r="H707" s="2">
        <v>2327.8491346389328</v>
      </c>
      <c r="I707" s="2">
        <v>2258.013660599765</v>
      </c>
      <c r="J707" s="2">
        <v>2190.2732507817718</v>
      </c>
      <c r="K707" s="2">
        <v>2124.5650532583186</v>
      </c>
      <c r="L707" s="2">
        <v>2060.8281016605688</v>
      </c>
      <c r="M707" s="2">
        <v>1999.0032586107516</v>
      </c>
      <c r="N707" s="2">
        <v>1939.0331608524289</v>
      </c>
      <c r="O707" s="2">
        <v>1880.8621660268559</v>
      </c>
    </row>
    <row r="708" spans="1:15" x14ac:dyDescent="0.25">
      <c r="A708" t="s">
        <v>2606</v>
      </c>
      <c r="B708" t="s">
        <v>2607</v>
      </c>
      <c r="C708" s="2">
        <v>2709.4397440000002</v>
      </c>
      <c r="D708" s="2">
        <v>2628.1565516800001</v>
      </c>
      <c r="E708" s="2">
        <v>2549.3118551296002</v>
      </c>
      <c r="F708" s="2">
        <v>2472.8324994757122</v>
      </c>
      <c r="G708" s="2">
        <v>2398.6475244914409</v>
      </c>
      <c r="H708" s="2">
        <v>2326.6880987566974</v>
      </c>
      <c r="I708" s="2">
        <v>2256.8874557939962</v>
      </c>
      <c r="J708" s="2">
        <v>2189.1808321201761</v>
      </c>
      <c r="K708" s="2">
        <v>2123.5054071565705</v>
      </c>
      <c r="L708" s="2">
        <v>2059.8002449418732</v>
      </c>
      <c r="M708" s="2">
        <v>1998.006237593617</v>
      </c>
      <c r="N708" s="2">
        <v>1938.0660504658085</v>
      </c>
      <c r="O708" s="2">
        <v>1879.9240689518342</v>
      </c>
    </row>
    <row r="709" spans="1:15" x14ac:dyDescent="0.25">
      <c r="A709" t="s">
        <v>2608</v>
      </c>
      <c r="B709" t="s">
        <v>2609</v>
      </c>
      <c r="C709" s="2">
        <v>2708.9216000000006</v>
      </c>
      <c r="D709" s="2">
        <v>2627.6539520000006</v>
      </c>
      <c r="E709" s="2">
        <v>2548.8243334400004</v>
      </c>
      <c r="F709" s="2">
        <v>2472.3596034368002</v>
      </c>
      <c r="G709" s="2">
        <v>2398.1888153336963</v>
      </c>
      <c r="H709" s="2">
        <v>2326.2431508736854</v>
      </c>
      <c r="I709" s="2">
        <v>2256.4558563474748</v>
      </c>
      <c r="J709" s="2">
        <v>2188.7621806570505</v>
      </c>
      <c r="K709" s="2">
        <v>2123.0993152373389</v>
      </c>
      <c r="L709" s="2">
        <v>2059.4063357802188</v>
      </c>
      <c r="M709" s="2">
        <v>1997.6241457068122</v>
      </c>
      <c r="N709" s="2">
        <v>1937.6954213356078</v>
      </c>
      <c r="O709" s="2">
        <v>1879.5645586955395</v>
      </c>
    </row>
    <row r="710" spans="1:15" x14ac:dyDescent="0.25">
      <c r="A710" t="s">
        <v>2610</v>
      </c>
      <c r="B710" t="s">
        <v>2611</v>
      </c>
      <c r="C710" s="2">
        <v>2706.2499200000002</v>
      </c>
      <c r="D710" s="2">
        <v>2625.0624224000003</v>
      </c>
      <c r="E710" s="2">
        <v>2546.3105497280003</v>
      </c>
      <c r="F710" s="2">
        <v>2469.9212332361603</v>
      </c>
      <c r="G710" s="2">
        <v>2395.8235962390754</v>
      </c>
      <c r="H710" s="2">
        <v>2323.948888351903</v>
      </c>
      <c r="I710" s="2">
        <v>2254.2304217013457</v>
      </c>
      <c r="J710" s="2">
        <v>2186.6035090503051</v>
      </c>
      <c r="K710" s="2">
        <v>2121.0054037787959</v>
      </c>
      <c r="L710" s="2">
        <v>2057.375241665432</v>
      </c>
      <c r="M710" s="2">
        <v>1995.653984415469</v>
      </c>
      <c r="N710" s="2">
        <v>1935.7843648830049</v>
      </c>
      <c r="O710" s="2">
        <v>1877.7108339365147</v>
      </c>
    </row>
    <row r="711" spans="1:15" x14ac:dyDescent="0.25">
      <c r="A711" t="s">
        <v>2612</v>
      </c>
      <c r="B711" t="s">
        <v>2613</v>
      </c>
      <c r="C711" s="2">
        <v>2704.7116800000003</v>
      </c>
      <c r="D711" s="2">
        <v>2623.5703296000002</v>
      </c>
      <c r="E711" s="2">
        <v>2544.863219712</v>
      </c>
      <c r="F711" s="2">
        <v>2468.51732312064</v>
      </c>
      <c r="G711" s="2">
        <v>2394.4618034270206</v>
      </c>
      <c r="H711" s="2">
        <v>2322.62794932421</v>
      </c>
      <c r="I711" s="2">
        <v>2252.9491108444836</v>
      </c>
      <c r="J711" s="2">
        <v>2185.3606375191489</v>
      </c>
      <c r="K711" s="2">
        <v>2119.7998183935742</v>
      </c>
      <c r="L711" s="2">
        <v>2056.2058238417671</v>
      </c>
      <c r="M711" s="2">
        <v>1994.519649126514</v>
      </c>
      <c r="N711" s="2">
        <v>1934.6840596527186</v>
      </c>
      <c r="O711" s="2">
        <v>1876.643537863137</v>
      </c>
    </row>
    <row r="712" spans="1:15" x14ac:dyDescent="0.25">
      <c r="A712" t="s">
        <v>2614</v>
      </c>
      <c r="B712" t="s">
        <v>2615</v>
      </c>
      <c r="C712" s="2">
        <v>2703.3161320000004</v>
      </c>
      <c r="D712" s="2">
        <v>2622.2166480400001</v>
      </c>
      <c r="E712" s="2">
        <v>2543.5501485988002</v>
      </c>
      <c r="F712" s="2">
        <v>2467.2436441408363</v>
      </c>
      <c r="G712" s="2">
        <v>2393.2263348166111</v>
      </c>
      <c r="H712" s="2">
        <v>2321.4295447721129</v>
      </c>
      <c r="I712" s="2">
        <v>2251.7866584289495</v>
      </c>
      <c r="J712" s="2">
        <v>2184.2330586760809</v>
      </c>
      <c r="K712" s="2">
        <v>2118.7060669157986</v>
      </c>
      <c r="L712" s="2">
        <v>2055.1448849083245</v>
      </c>
      <c r="M712" s="2">
        <v>1993.4905383610746</v>
      </c>
      <c r="N712" s="2">
        <v>1933.6858222102423</v>
      </c>
      <c r="O712" s="2">
        <v>1875.675247543935</v>
      </c>
    </row>
    <row r="713" spans="1:15" x14ac:dyDescent="0.25">
      <c r="A713" t="s">
        <v>2616</v>
      </c>
      <c r="B713" t="s">
        <v>2617</v>
      </c>
      <c r="C713" s="2">
        <v>2702.5849619999999</v>
      </c>
      <c r="D713" s="2">
        <v>2621.5074131399997</v>
      </c>
      <c r="E713" s="2">
        <v>2542.8621907457996</v>
      </c>
      <c r="F713" s="2">
        <v>2466.5763250234254</v>
      </c>
      <c r="G713" s="2">
        <v>2392.5790352727226</v>
      </c>
      <c r="H713" s="2">
        <v>2320.8016642145408</v>
      </c>
      <c r="I713" s="2">
        <v>2251.1776142881045</v>
      </c>
      <c r="J713" s="2">
        <v>2183.6422858594615</v>
      </c>
      <c r="K713" s="2">
        <v>2118.1330172836774</v>
      </c>
      <c r="L713" s="2">
        <v>2054.5890267651671</v>
      </c>
      <c r="M713" s="2">
        <v>1992.9513559622121</v>
      </c>
      <c r="N713" s="2">
        <v>1933.1628152833457</v>
      </c>
      <c r="O713" s="2">
        <v>1875.1679308248454</v>
      </c>
    </row>
    <row r="714" spans="1:15" x14ac:dyDescent="0.25">
      <c r="A714" t="s">
        <v>2618</v>
      </c>
      <c r="B714" t="s">
        <v>2619</v>
      </c>
      <c r="C714" s="2">
        <v>2702.3638400000004</v>
      </c>
      <c r="D714" s="2">
        <v>2621.2929248000005</v>
      </c>
      <c r="E714" s="2">
        <v>2542.6541370560003</v>
      </c>
      <c r="F714" s="2">
        <v>2466.37451294432</v>
      </c>
      <c r="G714" s="2">
        <v>2392.3832775559904</v>
      </c>
      <c r="H714" s="2">
        <v>2320.6117792293107</v>
      </c>
      <c r="I714" s="2">
        <v>2250.9934258524313</v>
      </c>
      <c r="J714" s="2">
        <v>2183.4636230768583</v>
      </c>
      <c r="K714" s="2">
        <v>2117.9597143845526</v>
      </c>
      <c r="L714" s="2">
        <v>2054.4209229530161</v>
      </c>
      <c r="M714" s="2">
        <v>1992.7882952644256</v>
      </c>
      <c r="N714" s="2">
        <v>1933.0046464064928</v>
      </c>
      <c r="O714" s="2">
        <v>1875.014507014298</v>
      </c>
    </row>
    <row r="715" spans="1:15" x14ac:dyDescent="0.25">
      <c r="A715" t="s">
        <v>2620</v>
      </c>
      <c r="B715" t="s">
        <v>2621</v>
      </c>
      <c r="C715" s="2">
        <v>2700.7770240000004</v>
      </c>
      <c r="D715" s="2">
        <v>2619.7537132800003</v>
      </c>
      <c r="E715" s="2">
        <v>2541.1611018816002</v>
      </c>
      <c r="F715" s="2">
        <v>2464.926268825152</v>
      </c>
      <c r="G715" s="2">
        <v>2390.9784807603974</v>
      </c>
      <c r="H715" s="2">
        <v>2319.2491263375855</v>
      </c>
      <c r="I715" s="2">
        <v>2249.6716525474581</v>
      </c>
      <c r="J715" s="2">
        <v>2182.1815029710342</v>
      </c>
      <c r="K715" s="2">
        <v>2116.716057881903</v>
      </c>
      <c r="L715" s="2">
        <v>2053.2145761454458</v>
      </c>
      <c r="M715" s="2">
        <v>1991.6181388610823</v>
      </c>
      <c r="N715" s="2">
        <v>1931.8695946952498</v>
      </c>
      <c r="O715" s="2">
        <v>1873.9135068543924</v>
      </c>
    </row>
    <row r="716" spans="1:15" x14ac:dyDescent="0.25">
      <c r="A716" t="s">
        <v>2622</v>
      </c>
      <c r="B716" t="s">
        <v>2623</v>
      </c>
      <c r="C716" s="2">
        <v>2700.4946760000003</v>
      </c>
      <c r="D716" s="2">
        <v>2619.4798357200002</v>
      </c>
      <c r="E716" s="2">
        <v>2540.8954406483999</v>
      </c>
      <c r="F716" s="2">
        <v>2464.6685774289481</v>
      </c>
      <c r="G716" s="2">
        <v>2390.7285201060795</v>
      </c>
      <c r="H716" s="2">
        <v>2319.0066645028969</v>
      </c>
      <c r="I716" s="2">
        <v>2249.4364645678102</v>
      </c>
      <c r="J716" s="2">
        <v>2181.9533706307757</v>
      </c>
      <c r="K716" s="2">
        <v>2116.4947695118522</v>
      </c>
      <c r="L716" s="2">
        <v>2052.9999264264966</v>
      </c>
      <c r="M716" s="2">
        <v>1991.4099286337016</v>
      </c>
      <c r="N716" s="2">
        <v>1931.6676307746905</v>
      </c>
      <c r="O716" s="2">
        <v>1873.7176018514497</v>
      </c>
    </row>
    <row r="717" spans="1:15" x14ac:dyDescent="0.25">
      <c r="A717" t="s">
        <v>2624</v>
      </c>
      <c r="B717" t="s">
        <v>2625</v>
      </c>
      <c r="C717" s="2">
        <v>2699.8925360000003</v>
      </c>
      <c r="D717" s="2">
        <v>2618.8957599200003</v>
      </c>
      <c r="E717" s="2">
        <v>2540.3288871224004</v>
      </c>
      <c r="F717" s="2">
        <v>2464.1190205087282</v>
      </c>
      <c r="G717" s="2">
        <v>2390.1954498934665</v>
      </c>
      <c r="H717" s="2">
        <v>2318.4895863966626</v>
      </c>
      <c r="I717" s="2">
        <v>2248.9348988047627</v>
      </c>
      <c r="J717" s="2">
        <v>2181.4668518406197</v>
      </c>
      <c r="K717" s="2">
        <v>2116.0228462854011</v>
      </c>
      <c r="L717" s="2">
        <v>2052.5421608968391</v>
      </c>
      <c r="M717" s="2">
        <v>1990.9658960699339</v>
      </c>
      <c r="N717" s="2">
        <v>1931.2369191878358</v>
      </c>
      <c r="O717" s="2">
        <v>1873.2998116122008</v>
      </c>
    </row>
    <row r="718" spans="1:15" x14ac:dyDescent="0.25">
      <c r="A718" t="s">
        <v>2626</v>
      </c>
      <c r="B718" t="s">
        <v>2625</v>
      </c>
      <c r="C718" s="2">
        <v>2699.8925360000003</v>
      </c>
      <c r="D718" s="2">
        <v>2618.8957599200003</v>
      </c>
      <c r="E718" s="2">
        <v>2540.3288871224004</v>
      </c>
      <c r="F718" s="2">
        <v>2464.1190205087282</v>
      </c>
      <c r="G718" s="2">
        <v>2390.1954498934665</v>
      </c>
      <c r="H718" s="2">
        <v>2318.4895863966626</v>
      </c>
      <c r="I718" s="2">
        <v>2248.9348988047627</v>
      </c>
      <c r="J718" s="2">
        <v>2181.4668518406197</v>
      </c>
      <c r="K718" s="2">
        <v>2116.0228462854011</v>
      </c>
      <c r="L718" s="2">
        <v>2052.5421608968391</v>
      </c>
      <c r="M718" s="2">
        <v>1990.9658960699339</v>
      </c>
      <c r="N718" s="2">
        <v>1931.2369191878358</v>
      </c>
      <c r="O718" s="2">
        <v>1873.2998116122008</v>
      </c>
    </row>
    <row r="719" spans="1:15" x14ac:dyDescent="0.25">
      <c r="A719" t="s">
        <v>2627</v>
      </c>
      <c r="B719" t="s">
        <v>2625</v>
      </c>
      <c r="C719" s="2">
        <v>2699.8925360000003</v>
      </c>
      <c r="D719" s="2">
        <v>2618.8957599200003</v>
      </c>
      <c r="E719" s="2">
        <v>2540.3288871224004</v>
      </c>
      <c r="F719" s="2">
        <v>2464.1190205087282</v>
      </c>
      <c r="G719" s="2">
        <v>2390.1954498934665</v>
      </c>
      <c r="H719" s="2">
        <v>2318.4895863966626</v>
      </c>
      <c r="I719" s="2">
        <v>2248.9348988047627</v>
      </c>
      <c r="J719" s="2">
        <v>2181.4668518406197</v>
      </c>
      <c r="K719" s="2">
        <v>2116.0228462854011</v>
      </c>
      <c r="L719" s="2">
        <v>2052.5421608968391</v>
      </c>
      <c r="M719" s="2">
        <v>1990.9658960699339</v>
      </c>
      <c r="N719" s="2">
        <v>1931.2369191878358</v>
      </c>
      <c r="O719" s="2">
        <v>1873.2998116122008</v>
      </c>
    </row>
    <row r="720" spans="1:15" x14ac:dyDescent="0.25">
      <c r="A720" t="s">
        <v>2628</v>
      </c>
      <c r="B720" t="s">
        <v>2629</v>
      </c>
      <c r="C720" s="2">
        <v>2699.3359360000004</v>
      </c>
      <c r="D720" s="2">
        <v>2618.3558579200003</v>
      </c>
      <c r="E720" s="2">
        <v>2539.8051821824001</v>
      </c>
      <c r="F720" s="2">
        <v>2463.6110267169279</v>
      </c>
      <c r="G720" s="2">
        <v>2389.70269591542</v>
      </c>
      <c r="H720" s="2">
        <v>2318.0116150379572</v>
      </c>
      <c r="I720" s="2">
        <v>2248.4712665868183</v>
      </c>
      <c r="J720" s="2">
        <v>2181.0171285892138</v>
      </c>
      <c r="K720" s="2">
        <v>2115.5866147315373</v>
      </c>
      <c r="L720" s="2">
        <v>2052.1190162895909</v>
      </c>
      <c r="M720" s="2">
        <v>1990.5554458009033</v>
      </c>
      <c r="N720" s="2">
        <v>1930.8387824268762</v>
      </c>
      <c r="O720" s="2">
        <v>1872.9136189540698</v>
      </c>
    </row>
    <row r="721" spans="1:15" x14ac:dyDescent="0.25">
      <c r="A721" t="s">
        <v>2630</v>
      </c>
      <c r="B721" t="s">
        <v>2631</v>
      </c>
      <c r="C721" s="2">
        <v>2696.1137280000007</v>
      </c>
      <c r="D721" s="2">
        <v>2615.2303161600007</v>
      </c>
      <c r="E721" s="2">
        <v>2536.7734066752005</v>
      </c>
      <c r="F721" s="2">
        <v>2460.6702044749445</v>
      </c>
      <c r="G721" s="2">
        <v>2386.8500983406961</v>
      </c>
      <c r="H721" s="2">
        <v>2315.2445953904753</v>
      </c>
      <c r="I721" s="2">
        <v>2245.7872575287611</v>
      </c>
      <c r="J721" s="2">
        <v>2178.4136398028982</v>
      </c>
      <c r="K721" s="2">
        <v>2113.061230608811</v>
      </c>
      <c r="L721" s="2">
        <v>2049.6693936905467</v>
      </c>
      <c r="M721" s="2">
        <v>1988.1793118798303</v>
      </c>
      <c r="N721" s="2">
        <v>1928.5339325234354</v>
      </c>
      <c r="O721" s="2">
        <v>1870.6779145477324</v>
      </c>
    </row>
    <row r="722" spans="1:15" x14ac:dyDescent="0.25">
      <c r="A722" t="s">
        <v>2632</v>
      </c>
      <c r="B722" t="s">
        <v>2633</v>
      </c>
      <c r="C722" s="2">
        <v>2695.9356160000007</v>
      </c>
      <c r="D722" s="2">
        <v>2615.0575475200008</v>
      </c>
      <c r="E722" s="2">
        <v>2536.6058210944007</v>
      </c>
      <c r="F722" s="2">
        <v>2460.5076464615686</v>
      </c>
      <c r="G722" s="2">
        <v>2386.6924170677216</v>
      </c>
      <c r="H722" s="2">
        <v>2315.09164455569</v>
      </c>
      <c r="I722" s="2">
        <v>2245.6388952190191</v>
      </c>
      <c r="J722" s="2">
        <v>2178.2697283624484</v>
      </c>
      <c r="K722" s="2">
        <v>2112.9216365115749</v>
      </c>
      <c r="L722" s="2">
        <v>2049.5339874162278</v>
      </c>
      <c r="M722" s="2">
        <v>1988.0479677937408</v>
      </c>
      <c r="N722" s="2">
        <v>1928.4065287599285</v>
      </c>
      <c r="O722" s="2">
        <v>1870.5543328971305</v>
      </c>
    </row>
    <row r="723" spans="1:15" x14ac:dyDescent="0.25">
      <c r="A723" t="s">
        <v>2634</v>
      </c>
      <c r="B723" t="s">
        <v>2635</v>
      </c>
      <c r="C723" s="2">
        <v>2690.6023760000003</v>
      </c>
      <c r="D723" s="2">
        <v>2609.8843047200003</v>
      </c>
      <c r="E723" s="2">
        <v>2531.5877755784004</v>
      </c>
      <c r="F723" s="2">
        <v>2455.6401423110483</v>
      </c>
      <c r="G723" s="2">
        <v>2381.9709380417166</v>
      </c>
      <c r="H723" s="2">
        <v>2310.5118099004649</v>
      </c>
      <c r="I723" s="2">
        <v>2241.1964556034509</v>
      </c>
      <c r="J723" s="2">
        <v>2173.9605619353474</v>
      </c>
      <c r="K723" s="2">
        <v>2108.7417450772869</v>
      </c>
      <c r="L723" s="2">
        <v>2045.4794927249682</v>
      </c>
      <c r="M723" s="2">
        <v>1984.1151079432191</v>
      </c>
      <c r="N723" s="2">
        <v>1924.5916547049223</v>
      </c>
      <c r="O723" s="2">
        <v>1866.8539050637746</v>
      </c>
    </row>
    <row r="724" spans="1:15" x14ac:dyDescent="0.25">
      <c r="A724" t="s">
        <v>2636</v>
      </c>
      <c r="B724" t="s">
        <v>2637</v>
      </c>
      <c r="C724" s="2">
        <v>2689.4750080000008</v>
      </c>
      <c r="D724" s="2">
        <v>2608.7907577600008</v>
      </c>
      <c r="E724" s="2">
        <v>2530.5270350272008</v>
      </c>
      <c r="F724" s="2">
        <v>2454.6112239763847</v>
      </c>
      <c r="G724" s="2">
        <v>2380.9728872570931</v>
      </c>
      <c r="H724" s="2">
        <v>2309.5437006393804</v>
      </c>
      <c r="I724" s="2">
        <v>2240.2573896201989</v>
      </c>
      <c r="J724" s="2">
        <v>2173.0496679315929</v>
      </c>
      <c r="K724" s="2">
        <v>2107.858177893645</v>
      </c>
      <c r="L724" s="2">
        <v>2044.6224325568355</v>
      </c>
      <c r="M724" s="2">
        <v>1983.2837595801304</v>
      </c>
      <c r="N724" s="2">
        <v>1923.7852467927264</v>
      </c>
      <c r="O724" s="2">
        <v>1866.0716893889446</v>
      </c>
    </row>
    <row r="725" spans="1:15" x14ac:dyDescent="0.25">
      <c r="A725" t="s">
        <v>2638</v>
      </c>
      <c r="B725" t="s">
        <v>2639</v>
      </c>
      <c r="C725" s="2">
        <v>2688.9487680000007</v>
      </c>
      <c r="D725" s="2">
        <v>2608.2803049600006</v>
      </c>
      <c r="E725" s="2">
        <v>2530.0318958112007</v>
      </c>
      <c r="F725" s="2">
        <v>2454.1309389368648</v>
      </c>
      <c r="G725" s="2">
        <v>2380.5070107687588</v>
      </c>
      <c r="H725" s="2">
        <v>2309.0918004456962</v>
      </c>
      <c r="I725" s="2">
        <v>2239.8190464323252</v>
      </c>
      <c r="J725" s="2">
        <v>2172.6244750393553</v>
      </c>
      <c r="K725" s="2">
        <v>2107.4457407881746</v>
      </c>
      <c r="L725" s="2">
        <v>2044.2223685645292</v>
      </c>
      <c r="M725" s="2">
        <v>1982.8956975075932</v>
      </c>
      <c r="N725" s="2">
        <v>1923.4088265823655</v>
      </c>
      <c r="O725" s="2">
        <v>1865.7065617848943</v>
      </c>
    </row>
    <row r="726" spans="1:15" x14ac:dyDescent="0.25">
      <c r="A726" t="s">
        <v>2640</v>
      </c>
      <c r="B726" t="s">
        <v>2641</v>
      </c>
      <c r="C726" s="2">
        <v>2688.4630080000006</v>
      </c>
      <c r="D726" s="2">
        <v>2607.8091177600004</v>
      </c>
      <c r="E726" s="2">
        <v>2529.5748442272002</v>
      </c>
      <c r="F726" s="2">
        <v>2453.6875989003843</v>
      </c>
      <c r="G726" s="2">
        <v>2380.0769709333726</v>
      </c>
      <c r="H726" s="2">
        <v>2308.6746618053712</v>
      </c>
      <c r="I726" s="2">
        <v>2239.41442195121</v>
      </c>
      <c r="J726" s="2">
        <v>2172.2319892926735</v>
      </c>
      <c r="K726" s="2">
        <v>2107.0650296138933</v>
      </c>
      <c r="L726" s="2">
        <v>2043.8530787254765</v>
      </c>
      <c r="M726" s="2">
        <v>1982.5374863637121</v>
      </c>
      <c r="N726" s="2">
        <v>1923.0613617728006</v>
      </c>
      <c r="O726" s="2">
        <v>1865.3695209196167</v>
      </c>
    </row>
    <row r="727" spans="1:15" x14ac:dyDescent="0.25">
      <c r="A727" t="s">
        <v>2642</v>
      </c>
      <c r="B727" t="s">
        <v>2643</v>
      </c>
      <c r="C727" s="2">
        <v>2686.4476100000002</v>
      </c>
      <c r="D727" s="2">
        <v>2605.8541817</v>
      </c>
      <c r="E727" s="2">
        <v>2527.6785562489999</v>
      </c>
      <c r="F727" s="2">
        <v>2451.8481995615298</v>
      </c>
      <c r="G727" s="2">
        <v>2378.292753574684</v>
      </c>
      <c r="H727" s="2">
        <v>2306.9439709674434</v>
      </c>
      <c r="I727" s="2">
        <v>2237.7356518384199</v>
      </c>
      <c r="J727" s="2">
        <v>2170.6035822832673</v>
      </c>
      <c r="K727" s="2">
        <v>2105.4854748147691</v>
      </c>
      <c r="L727" s="2">
        <v>2042.3209105703259</v>
      </c>
      <c r="M727" s="2">
        <v>1981.0512832532161</v>
      </c>
      <c r="N727" s="2">
        <v>1921.6197447556194</v>
      </c>
      <c r="O727" s="2">
        <v>1863.9711524129507</v>
      </c>
    </row>
    <row r="728" spans="1:15" x14ac:dyDescent="0.25">
      <c r="A728" t="s">
        <v>2644</v>
      </c>
      <c r="B728" t="s">
        <v>2645</v>
      </c>
      <c r="C728" s="2">
        <v>2685.4325740000004</v>
      </c>
      <c r="D728" s="2">
        <v>2604.8695967800004</v>
      </c>
      <c r="E728" s="2">
        <v>2526.7235088766001</v>
      </c>
      <c r="F728" s="2">
        <v>2450.921803610302</v>
      </c>
      <c r="G728" s="2">
        <v>2377.3941495019931</v>
      </c>
      <c r="H728" s="2">
        <v>2306.0723250169331</v>
      </c>
      <c r="I728" s="2">
        <v>2236.8901552664252</v>
      </c>
      <c r="J728" s="2">
        <v>2169.7834506084323</v>
      </c>
      <c r="K728" s="2">
        <v>2104.6899470901794</v>
      </c>
      <c r="L728" s="2">
        <v>2041.549248677474</v>
      </c>
      <c r="M728" s="2">
        <v>1980.3027712171497</v>
      </c>
      <c r="N728" s="2">
        <v>1920.8936880806352</v>
      </c>
      <c r="O728" s="2">
        <v>1863.2668774382162</v>
      </c>
    </row>
    <row r="729" spans="1:15" x14ac:dyDescent="0.25">
      <c r="A729" t="s">
        <v>2646</v>
      </c>
      <c r="B729" t="s">
        <v>2647</v>
      </c>
      <c r="C729" s="2">
        <v>2682.7553280000002</v>
      </c>
      <c r="D729" s="2">
        <v>2602.2726681600002</v>
      </c>
      <c r="E729" s="2">
        <v>2524.2044881152001</v>
      </c>
      <c r="F729" s="2">
        <v>2448.478353471744</v>
      </c>
      <c r="G729" s="2">
        <v>2375.0240028675917</v>
      </c>
      <c r="H729" s="2">
        <v>2303.7732827815639</v>
      </c>
      <c r="I729" s="2">
        <v>2234.660084298117</v>
      </c>
      <c r="J729" s="2">
        <v>2167.6202817691733</v>
      </c>
      <c r="K729" s="2">
        <v>2102.591673316098</v>
      </c>
      <c r="L729" s="2">
        <v>2039.5139231166149</v>
      </c>
      <c r="M729" s="2">
        <v>1978.3285054231164</v>
      </c>
      <c r="N729" s="2">
        <v>1918.9786502604229</v>
      </c>
      <c r="O729" s="2">
        <v>1861.4092907526101</v>
      </c>
    </row>
    <row r="730" spans="1:15" x14ac:dyDescent="0.25">
      <c r="A730" t="s">
        <v>2648</v>
      </c>
      <c r="B730" t="s">
        <v>2649</v>
      </c>
      <c r="C730" s="2">
        <v>2677.4605440000005</v>
      </c>
      <c r="D730" s="2">
        <v>2597.1367276800006</v>
      </c>
      <c r="E730" s="2">
        <v>2519.2226258496007</v>
      </c>
      <c r="F730" s="2">
        <v>2443.6459470741124</v>
      </c>
      <c r="G730" s="2">
        <v>2370.336568661889</v>
      </c>
      <c r="H730" s="2">
        <v>2299.2264716020322</v>
      </c>
      <c r="I730" s="2">
        <v>2230.2496774539713</v>
      </c>
      <c r="J730" s="2">
        <v>2163.3421871303522</v>
      </c>
      <c r="K730" s="2">
        <v>2098.4419215164417</v>
      </c>
      <c r="L730" s="2">
        <v>2035.4886638709484</v>
      </c>
      <c r="M730" s="2">
        <v>1974.4240039548199</v>
      </c>
      <c r="N730" s="2">
        <v>1915.1912838361752</v>
      </c>
      <c r="O730" s="2">
        <v>1857.7355453210898</v>
      </c>
    </row>
    <row r="731" spans="1:15" x14ac:dyDescent="0.25">
      <c r="A731" t="s">
        <v>2650</v>
      </c>
      <c r="B731" t="s">
        <v>2651</v>
      </c>
      <c r="C731" s="2">
        <v>2676.6347520000004</v>
      </c>
      <c r="D731" s="2">
        <v>2596.3357094400003</v>
      </c>
      <c r="E731" s="2">
        <v>2518.4456381568002</v>
      </c>
      <c r="F731" s="2">
        <v>2442.8922690120962</v>
      </c>
      <c r="G731" s="2">
        <v>2369.6055009417332</v>
      </c>
      <c r="H731" s="2">
        <v>2298.517335913481</v>
      </c>
      <c r="I731" s="2">
        <v>2229.5618158360767</v>
      </c>
      <c r="J731" s="2">
        <v>2162.6749613609945</v>
      </c>
      <c r="K731" s="2">
        <v>2097.7947125201645</v>
      </c>
      <c r="L731" s="2">
        <v>2034.8608711445595</v>
      </c>
      <c r="M731" s="2">
        <v>1973.8150450102225</v>
      </c>
      <c r="N731" s="2">
        <v>1914.6005936599158</v>
      </c>
      <c r="O731" s="2">
        <v>1857.1625758501184</v>
      </c>
    </row>
    <row r="732" spans="1:15" x14ac:dyDescent="0.25">
      <c r="A732" t="s">
        <v>2652</v>
      </c>
      <c r="B732" t="s">
        <v>2653</v>
      </c>
      <c r="C732" s="2">
        <v>2674.3678720000007</v>
      </c>
      <c r="D732" s="2">
        <v>2594.1368358400005</v>
      </c>
      <c r="E732" s="2">
        <v>2516.3127307648006</v>
      </c>
      <c r="F732" s="2">
        <v>2440.8233488418564</v>
      </c>
      <c r="G732" s="2">
        <v>2367.5986483766005</v>
      </c>
      <c r="H732" s="2">
        <v>2296.5706889253024</v>
      </c>
      <c r="I732" s="2">
        <v>2227.6735682575431</v>
      </c>
      <c r="J732" s="2">
        <v>2160.843361209817</v>
      </c>
      <c r="K732" s="2">
        <v>2096.0180603735225</v>
      </c>
      <c r="L732" s="2">
        <v>2033.1375185623167</v>
      </c>
      <c r="M732" s="2">
        <v>1972.1433930054473</v>
      </c>
      <c r="N732" s="2">
        <v>1912.9790912152837</v>
      </c>
      <c r="O732" s="2">
        <v>1855.589718478825</v>
      </c>
    </row>
    <row r="733" spans="1:15" x14ac:dyDescent="0.25">
      <c r="A733" t="s">
        <v>2654</v>
      </c>
      <c r="B733" t="s">
        <v>2655</v>
      </c>
      <c r="C733" s="2">
        <v>2669.2673920000007</v>
      </c>
      <c r="D733" s="2">
        <v>2589.1893702400007</v>
      </c>
      <c r="E733" s="2">
        <v>2511.5136891328007</v>
      </c>
      <c r="F733" s="2">
        <v>2436.1682784588165</v>
      </c>
      <c r="G733" s="2">
        <v>2363.0832301050518</v>
      </c>
      <c r="H733" s="2">
        <v>2292.1907332019</v>
      </c>
      <c r="I733" s="2">
        <v>2223.425011205843</v>
      </c>
      <c r="J733" s="2">
        <v>2156.7222608696675</v>
      </c>
      <c r="K733" s="2">
        <v>2092.0205930435773</v>
      </c>
      <c r="L733" s="2">
        <v>2029.2599752522699</v>
      </c>
      <c r="M733" s="2">
        <v>1968.3821759947018</v>
      </c>
      <c r="N733" s="2">
        <v>1909.3307107148607</v>
      </c>
      <c r="O733" s="2">
        <v>1852.0507893934148</v>
      </c>
    </row>
    <row r="734" spans="1:15" x14ac:dyDescent="0.25">
      <c r="A734" t="s">
        <v>2656</v>
      </c>
      <c r="B734" t="s">
        <v>2657</v>
      </c>
      <c r="C734" s="2">
        <v>2664.1669120000001</v>
      </c>
      <c r="D734" s="2">
        <v>2584.24190464</v>
      </c>
      <c r="E734" s="2">
        <v>2506.7146475007999</v>
      </c>
      <c r="F734" s="2">
        <v>2431.5132080757758</v>
      </c>
      <c r="G734" s="2">
        <v>2358.5678118335022</v>
      </c>
      <c r="H734" s="2">
        <v>2287.8107774784971</v>
      </c>
      <c r="I734" s="2">
        <v>2219.176454154142</v>
      </c>
      <c r="J734" s="2">
        <v>2152.6011605295175</v>
      </c>
      <c r="K734" s="2">
        <v>2088.023125713632</v>
      </c>
      <c r="L734" s="2">
        <v>2025.3824319422231</v>
      </c>
      <c r="M734" s="2">
        <v>1964.6209589839564</v>
      </c>
      <c r="N734" s="2">
        <v>1905.6823302144376</v>
      </c>
      <c r="O734" s="2">
        <v>1848.5118603080043</v>
      </c>
    </row>
    <row r="735" spans="1:15" x14ac:dyDescent="0.25">
      <c r="A735" t="s">
        <v>2658</v>
      </c>
      <c r="B735" t="s">
        <v>2659</v>
      </c>
      <c r="C735" s="2">
        <v>2663.5435200000006</v>
      </c>
      <c r="D735" s="2">
        <v>2583.6372144000006</v>
      </c>
      <c r="E735" s="2">
        <v>2506.1280979680005</v>
      </c>
      <c r="F735" s="2">
        <v>2430.9442550289605</v>
      </c>
      <c r="G735" s="2">
        <v>2358.0159273780914</v>
      </c>
      <c r="H735" s="2">
        <v>2287.2754495567488</v>
      </c>
      <c r="I735" s="2">
        <v>2218.657186070046</v>
      </c>
      <c r="J735" s="2">
        <v>2152.0974704879445</v>
      </c>
      <c r="K735" s="2">
        <v>2087.5345463733061</v>
      </c>
      <c r="L735" s="2">
        <v>2024.9085099821068</v>
      </c>
      <c r="M735" s="2">
        <v>1964.1612546826436</v>
      </c>
      <c r="N735" s="2">
        <v>1905.2364170421642</v>
      </c>
      <c r="O735" s="2">
        <v>1848.0793245308992</v>
      </c>
    </row>
    <row r="736" spans="1:15" x14ac:dyDescent="0.25">
      <c r="A736" t="s">
        <v>2660</v>
      </c>
      <c r="B736" t="s">
        <v>2661</v>
      </c>
      <c r="C736" s="2">
        <v>2663.1275880000003</v>
      </c>
      <c r="D736" s="2">
        <v>2583.2337603600004</v>
      </c>
      <c r="E736" s="2">
        <v>2505.7367475492001</v>
      </c>
      <c r="F736" s="2">
        <v>2430.564645122724</v>
      </c>
      <c r="G736" s="2">
        <v>2357.6477057690422</v>
      </c>
      <c r="H736" s="2">
        <v>2286.9182745959711</v>
      </c>
      <c r="I736" s="2">
        <v>2218.3107263580919</v>
      </c>
      <c r="J736" s="2">
        <v>2151.761404567349</v>
      </c>
      <c r="K736" s="2">
        <v>2087.2085624303286</v>
      </c>
      <c r="L736" s="2">
        <v>2024.5923055574187</v>
      </c>
      <c r="M736" s="2">
        <v>1963.854536390696</v>
      </c>
      <c r="N736" s="2">
        <v>1904.9389002989751</v>
      </c>
      <c r="O736" s="2">
        <v>1847.7907332900058</v>
      </c>
    </row>
    <row r="737" spans="1:15" x14ac:dyDescent="0.25">
      <c r="A737" t="s">
        <v>2662</v>
      </c>
      <c r="B737" t="s">
        <v>2663</v>
      </c>
      <c r="C737" s="2">
        <v>2656.2571200000007</v>
      </c>
      <c r="D737" s="2">
        <v>2576.5694064000004</v>
      </c>
      <c r="E737" s="2">
        <v>2499.2723242080001</v>
      </c>
      <c r="F737" s="2">
        <v>2424.29415448176</v>
      </c>
      <c r="G737" s="2">
        <v>2351.5653298473071</v>
      </c>
      <c r="H737" s="2">
        <v>2281.018369951888</v>
      </c>
      <c r="I737" s="2">
        <v>2212.5878188533311</v>
      </c>
      <c r="J737" s="2">
        <v>2146.210184287731</v>
      </c>
      <c r="K737" s="2">
        <v>2081.823878759099</v>
      </c>
      <c r="L737" s="2">
        <v>2019.3691623963259</v>
      </c>
      <c r="M737" s="2">
        <v>1958.7880875244362</v>
      </c>
      <c r="N737" s="2">
        <v>1900.024444898703</v>
      </c>
      <c r="O737" s="2">
        <v>1843.0237115517418</v>
      </c>
    </row>
    <row r="738" spans="1:15" x14ac:dyDescent="0.25">
      <c r="A738" t="s">
        <v>2664</v>
      </c>
      <c r="B738" t="s">
        <v>2665</v>
      </c>
      <c r="C738" s="2">
        <v>2656.0223360000005</v>
      </c>
      <c r="D738" s="2">
        <v>2576.3416659200002</v>
      </c>
      <c r="E738" s="2">
        <v>2499.0514159424001</v>
      </c>
      <c r="F738" s="2">
        <v>2424.079873464128</v>
      </c>
      <c r="G738" s="2">
        <v>2351.3574772602042</v>
      </c>
      <c r="H738" s="2">
        <v>2280.8167529423981</v>
      </c>
      <c r="I738" s="2">
        <v>2212.3922503541262</v>
      </c>
      <c r="J738" s="2">
        <v>2146.0204828435021</v>
      </c>
      <c r="K738" s="2">
        <v>2081.639868358197</v>
      </c>
      <c r="L738" s="2">
        <v>2019.190672307451</v>
      </c>
      <c r="M738" s="2">
        <v>1958.6149521382274</v>
      </c>
      <c r="N738" s="2">
        <v>1899.8565035740805</v>
      </c>
      <c r="O738" s="2">
        <v>1842.8608084668581</v>
      </c>
    </row>
    <row r="739" spans="1:15" x14ac:dyDescent="0.25">
      <c r="A739" t="s">
        <v>2666</v>
      </c>
      <c r="B739" t="s">
        <v>2667</v>
      </c>
      <c r="C739" s="2">
        <v>2654.353548</v>
      </c>
      <c r="D739" s="2">
        <v>2574.72294156</v>
      </c>
      <c r="E739" s="2">
        <v>2497.4812533131999</v>
      </c>
      <c r="F739" s="2">
        <v>2422.5568157138036</v>
      </c>
      <c r="G739" s="2">
        <v>2349.8801112423894</v>
      </c>
      <c r="H739" s="2">
        <v>2279.3837079051177</v>
      </c>
      <c r="I739" s="2">
        <v>2211.0021966679642</v>
      </c>
      <c r="J739" s="2">
        <v>2144.6721307679254</v>
      </c>
      <c r="K739" s="2">
        <v>2080.3319668448876</v>
      </c>
      <c r="L739" s="2">
        <v>2017.9220078395408</v>
      </c>
      <c r="M739" s="2">
        <v>1957.3843476043546</v>
      </c>
      <c r="N739" s="2">
        <v>1898.6628171762238</v>
      </c>
      <c r="O739" s="2">
        <v>1841.702932660937</v>
      </c>
    </row>
    <row r="740" spans="1:15" x14ac:dyDescent="0.25">
      <c r="A740" t="s">
        <v>2668</v>
      </c>
      <c r="B740" t="s">
        <v>2669</v>
      </c>
      <c r="C740" s="2">
        <v>2653.5773440000003</v>
      </c>
      <c r="D740" s="2">
        <v>2573.9700236800004</v>
      </c>
      <c r="E740" s="2">
        <v>2496.7509229696002</v>
      </c>
      <c r="F740" s="2">
        <v>2421.8483952805122</v>
      </c>
      <c r="G740" s="2">
        <v>2349.192943422097</v>
      </c>
      <c r="H740" s="2">
        <v>2278.7171551194342</v>
      </c>
      <c r="I740" s="2">
        <v>2210.3556404658511</v>
      </c>
      <c r="J740" s="2">
        <v>2144.0449712518757</v>
      </c>
      <c r="K740" s="2">
        <v>2079.7236221143194</v>
      </c>
      <c r="L740" s="2">
        <v>2017.3319134508897</v>
      </c>
      <c r="M740" s="2">
        <v>1956.8119560473631</v>
      </c>
      <c r="N740" s="2">
        <v>1898.1075973659422</v>
      </c>
      <c r="O740" s="2">
        <v>1841.1643694449638</v>
      </c>
    </row>
    <row r="741" spans="1:15" x14ac:dyDescent="0.25">
      <c r="A741" t="s">
        <v>2670</v>
      </c>
      <c r="B741" t="s">
        <v>2671</v>
      </c>
      <c r="C741" s="2">
        <v>2653.0915840000002</v>
      </c>
      <c r="D741" s="2">
        <v>2573.4988364800001</v>
      </c>
      <c r="E741" s="2">
        <v>2496.2938713856001</v>
      </c>
      <c r="F741" s="2">
        <v>2421.4050552440322</v>
      </c>
      <c r="G741" s="2">
        <v>2348.7629035867112</v>
      </c>
      <c r="H741" s="2">
        <v>2278.3000164791097</v>
      </c>
      <c r="I741" s="2">
        <v>2209.9510159847364</v>
      </c>
      <c r="J741" s="2">
        <v>2143.6524855051944</v>
      </c>
      <c r="K741" s="2">
        <v>2079.3429109400386</v>
      </c>
      <c r="L741" s="2">
        <v>2016.9626236118374</v>
      </c>
      <c r="M741" s="2">
        <v>1956.4537449034822</v>
      </c>
      <c r="N741" s="2">
        <v>1897.7601325563776</v>
      </c>
      <c r="O741" s="2">
        <v>1840.8273285796863</v>
      </c>
    </row>
    <row r="742" spans="1:15" x14ac:dyDescent="0.25">
      <c r="A742" t="s">
        <v>2672</v>
      </c>
      <c r="B742" t="s">
        <v>2673</v>
      </c>
      <c r="C742" s="2">
        <v>2652.7363720000003</v>
      </c>
      <c r="D742" s="2">
        <v>2573.1542808400004</v>
      </c>
      <c r="E742" s="2">
        <v>2495.9596524148005</v>
      </c>
      <c r="F742" s="2">
        <v>2421.0808628423565</v>
      </c>
      <c r="G742" s="2">
        <v>2348.448436957086</v>
      </c>
      <c r="H742" s="2">
        <v>2277.9949838483735</v>
      </c>
      <c r="I742" s="2">
        <v>2209.6551343329224</v>
      </c>
      <c r="J742" s="2">
        <v>2143.3654803029349</v>
      </c>
      <c r="K742" s="2">
        <v>2079.0645158938469</v>
      </c>
      <c r="L742" s="2">
        <v>2016.6925804170314</v>
      </c>
      <c r="M742" s="2">
        <v>1956.1918030045204</v>
      </c>
      <c r="N742" s="2">
        <v>1897.5060489143848</v>
      </c>
      <c r="O742" s="2">
        <v>1840.5808674469531</v>
      </c>
    </row>
    <row r="743" spans="1:15" x14ac:dyDescent="0.25">
      <c r="A743" t="s">
        <v>2674</v>
      </c>
      <c r="B743" t="s">
        <v>2675</v>
      </c>
      <c r="C743" s="2">
        <v>2652.1514360000006</v>
      </c>
      <c r="D743" s="2">
        <v>2572.5868929200005</v>
      </c>
      <c r="E743" s="2">
        <v>2495.4092861324007</v>
      </c>
      <c r="F743" s="2">
        <v>2420.5470075484286</v>
      </c>
      <c r="G743" s="2">
        <v>2347.9305973219757</v>
      </c>
      <c r="H743" s="2">
        <v>2277.4926794023163</v>
      </c>
      <c r="I743" s="2">
        <v>2209.1678990202468</v>
      </c>
      <c r="J743" s="2">
        <v>2142.8928620496395</v>
      </c>
      <c r="K743" s="2">
        <v>2078.6060761881504</v>
      </c>
      <c r="L743" s="2">
        <v>2016.2478939025059</v>
      </c>
      <c r="M743" s="2">
        <v>1955.7604570854307</v>
      </c>
      <c r="N743" s="2">
        <v>1897.0876433728677</v>
      </c>
      <c r="O743" s="2">
        <v>1840.1750140716815</v>
      </c>
    </row>
    <row r="744" spans="1:15" x14ac:dyDescent="0.25">
      <c r="A744" t="s">
        <v>2676</v>
      </c>
      <c r="B744" t="s">
        <v>2677</v>
      </c>
      <c r="C744" s="2">
        <v>2650.8408960000006</v>
      </c>
      <c r="D744" s="2">
        <v>2571.3156691200006</v>
      </c>
      <c r="E744" s="2">
        <v>2494.1761990464006</v>
      </c>
      <c r="F744" s="2">
        <v>2419.3509130750085</v>
      </c>
      <c r="G744" s="2">
        <v>2346.7703856827584</v>
      </c>
      <c r="H744" s="2">
        <v>2276.3672741122755</v>
      </c>
      <c r="I744" s="2">
        <v>2208.0762558889073</v>
      </c>
      <c r="J744" s="2">
        <v>2141.8339682122401</v>
      </c>
      <c r="K744" s="2">
        <v>2077.5789491658729</v>
      </c>
      <c r="L744" s="2">
        <v>2015.2515806908966</v>
      </c>
      <c r="M744" s="2">
        <v>1954.7940332701696</v>
      </c>
      <c r="N744" s="2">
        <v>1896.1502122720644</v>
      </c>
      <c r="O744" s="2">
        <v>1839.2657059039025</v>
      </c>
    </row>
    <row r="745" spans="1:15" x14ac:dyDescent="0.25">
      <c r="A745" t="s">
        <v>2678</v>
      </c>
      <c r="B745" t="s">
        <v>2679</v>
      </c>
      <c r="C745" s="2">
        <v>2649.1650240000004</v>
      </c>
      <c r="D745" s="2">
        <v>2569.6900732800004</v>
      </c>
      <c r="E745" s="2">
        <v>2492.5993710816006</v>
      </c>
      <c r="F745" s="2">
        <v>2417.8213899491525</v>
      </c>
      <c r="G745" s="2">
        <v>2345.2867482506776</v>
      </c>
      <c r="H745" s="2">
        <v>2274.9281458031573</v>
      </c>
      <c r="I745" s="2">
        <v>2206.6803014290626</v>
      </c>
      <c r="J745" s="2">
        <v>2140.4798923861908</v>
      </c>
      <c r="K745" s="2">
        <v>2076.2654956146052</v>
      </c>
      <c r="L745" s="2">
        <v>2013.9775307461671</v>
      </c>
      <c r="M745" s="2">
        <v>1953.558204823782</v>
      </c>
      <c r="N745" s="2">
        <v>1894.9514586790685</v>
      </c>
      <c r="O745" s="2">
        <v>1838.1029149186963</v>
      </c>
    </row>
    <row r="746" spans="1:15" x14ac:dyDescent="0.25">
      <c r="A746" t="s">
        <v>2680</v>
      </c>
      <c r="B746" t="s">
        <v>2681</v>
      </c>
      <c r="C746" s="2">
        <v>2646.8414720000005</v>
      </c>
      <c r="D746" s="2">
        <v>2567.4362278400004</v>
      </c>
      <c r="E746" s="2">
        <v>2490.4131410048003</v>
      </c>
      <c r="F746" s="2">
        <v>2415.7007467746562</v>
      </c>
      <c r="G746" s="2">
        <v>2343.2297243714165</v>
      </c>
      <c r="H746" s="2">
        <v>2272.9328326402738</v>
      </c>
      <c r="I746" s="2">
        <v>2204.7448476610657</v>
      </c>
      <c r="J746" s="2">
        <v>2138.6025022312338</v>
      </c>
      <c r="K746" s="2">
        <v>2074.4444271642965</v>
      </c>
      <c r="L746" s="2">
        <v>2012.2110943493676</v>
      </c>
      <c r="M746" s="2">
        <v>1951.8447615188866</v>
      </c>
      <c r="N746" s="2">
        <v>1893.2894186733199</v>
      </c>
      <c r="O746" s="2">
        <v>1836.4907361131202</v>
      </c>
    </row>
    <row r="747" spans="1:15" x14ac:dyDescent="0.25">
      <c r="A747" t="s">
        <v>2682</v>
      </c>
      <c r="B747" t="s">
        <v>2683</v>
      </c>
      <c r="C747" s="2">
        <v>2645.9347200000002</v>
      </c>
      <c r="D747" s="2">
        <v>2566.5566784000002</v>
      </c>
      <c r="E747" s="2">
        <v>2489.5599780480002</v>
      </c>
      <c r="F747" s="2">
        <v>2414.8731787065599</v>
      </c>
      <c r="G747" s="2">
        <v>2342.4269833453632</v>
      </c>
      <c r="H747" s="2">
        <v>2272.1541738450023</v>
      </c>
      <c r="I747" s="2">
        <v>2203.9895486296523</v>
      </c>
      <c r="J747" s="2">
        <v>2137.8698621707626</v>
      </c>
      <c r="K747" s="2">
        <v>2073.7337663056396</v>
      </c>
      <c r="L747" s="2">
        <v>2011.5217533164703</v>
      </c>
      <c r="M747" s="2">
        <v>1951.1761007169762</v>
      </c>
      <c r="N747" s="2">
        <v>1892.6408176954669</v>
      </c>
      <c r="O747" s="2">
        <v>1835.8615931646029</v>
      </c>
    </row>
    <row r="748" spans="1:15" x14ac:dyDescent="0.25">
      <c r="A748" t="s">
        <v>2684</v>
      </c>
      <c r="B748" t="s">
        <v>2685</v>
      </c>
      <c r="C748" s="2">
        <v>2642.4999920000005</v>
      </c>
      <c r="D748" s="2">
        <v>2563.2249922400006</v>
      </c>
      <c r="E748" s="2">
        <v>2486.3282424728004</v>
      </c>
      <c r="F748" s="2">
        <v>2411.7383951986162</v>
      </c>
      <c r="G748" s="2">
        <v>2339.3862433426575</v>
      </c>
      <c r="H748" s="2">
        <v>2269.2046560423778</v>
      </c>
      <c r="I748" s="2">
        <v>2201.1285163611064</v>
      </c>
      <c r="J748" s="2">
        <v>2135.0946608702734</v>
      </c>
      <c r="K748" s="2">
        <v>2071.0418210441653</v>
      </c>
      <c r="L748" s="2">
        <v>2008.9105664128404</v>
      </c>
      <c r="M748" s="2">
        <v>1948.643249420455</v>
      </c>
      <c r="N748" s="2">
        <v>1890.1839519378414</v>
      </c>
      <c r="O748" s="2">
        <v>1833.4784333797061</v>
      </c>
    </row>
    <row r="749" spans="1:15" x14ac:dyDescent="0.25">
      <c r="A749" t="s">
        <v>2686</v>
      </c>
      <c r="B749" t="s">
        <v>2687</v>
      </c>
      <c r="C749" s="2">
        <v>2642.4534400000007</v>
      </c>
      <c r="D749" s="2">
        <v>2563.1798368000004</v>
      </c>
      <c r="E749" s="2">
        <v>2486.2844416960002</v>
      </c>
      <c r="F749" s="2">
        <v>2411.69590844512</v>
      </c>
      <c r="G749" s="2">
        <v>2339.3450311917663</v>
      </c>
      <c r="H749" s="2">
        <v>2269.1646802560131</v>
      </c>
      <c r="I749" s="2">
        <v>2201.0897398483326</v>
      </c>
      <c r="J749" s="2">
        <v>2135.0570476528824</v>
      </c>
      <c r="K749" s="2">
        <v>2071.0053362232957</v>
      </c>
      <c r="L749" s="2">
        <v>2008.8751761365968</v>
      </c>
      <c r="M749" s="2">
        <v>1948.6089208524988</v>
      </c>
      <c r="N749" s="2">
        <v>1890.1506532269239</v>
      </c>
      <c r="O749" s="2">
        <v>1833.446133630116</v>
      </c>
    </row>
    <row r="750" spans="1:15" x14ac:dyDescent="0.25">
      <c r="A750" t="s">
        <v>1185</v>
      </c>
      <c r="B750" t="s">
        <v>2688</v>
      </c>
      <c r="C750" s="2">
        <v>2638.2506040000007</v>
      </c>
      <c r="D750" s="2">
        <v>2559.1030858800004</v>
      </c>
      <c r="E750" s="2">
        <v>2482.3299933036005</v>
      </c>
      <c r="F750" s="2">
        <v>2407.8600935044924</v>
      </c>
      <c r="G750" s="2">
        <v>2335.6242906993575</v>
      </c>
      <c r="H750" s="2">
        <v>2265.5555619783768</v>
      </c>
      <c r="I750" s="2">
        <v>2197.5888951190254</v>
      </c>
      <c r="J750" s="2">
        <v>2131.6612282654546</v>
      </c>
      <c r="K750" s="2">
        <v>2067.7113914174911</v>
      </c>
      <c r="L750" s="2">
        <v>2005.6800496749663</v>
      </c>
      <c r="M750" s="2">
        <v>1945.5096481847172</v>
      </c>
      <c r="N750" s="2">
        <v>1887.1443587391757</v>
      </c>
      <c r="O750" s="2">
        <v>1830.5300279770004</v>
      </c>
    </row>
    <row r="751" spans="1:15" x14ac:dyDescent="0.25">
      <c r="A751" t="s">
        <v>2689</v>
      </c>
      <c r="B751" t="s">
        <v>2690</v>
      </c>
      <c r="C751" s="2">
        <v>2636.2680960000007</v>
      </c>
      <c r="D751" s="2">
        <v>2557.1800531200006</v>
      </c>
      <c r="E751" s="2">
        <v>2480.4646515264003</v>
      </c>
      <c r="F751" s="2">
        <v>2406.0507119806084</v>
      </c>
      <c r="G751" s="2">
        <v>2333.8691906211902</v>
      </c>
      <c r="H751" s="2">
        <v>2263.8531149025544</v>
      </c>
      <c r="I751" s="2">
        <v>2195.9375214554775</v>
      </c>
      <c r="J751" s="2">
        <v>2130.0593958118129</v>
      </c>
      <c r="K751" s="2">
        <v>2066.1576139374583</v>
      </c>
      <c r="L751" s="2">
        <v>2004.1728855193346</v>
      </c>
      <c r="M751" s="2">
        <v>1944.0476989537544</v>
      </c>
      <c r="N751" s="2">
        <v>1885.7262679851417</v>
      </c>
      <c r="O751" s="2">
        <v>1829.1544799455874</v>
      </c>
    </row>
    <row r="752" spans="1:15" x14ac:dyDescent="0.25">
      <c r="A752" t="s">
        <v>1148</v>
      </c>
      <c r="B752" t="s">
        <v>2691</v>
      </c>
      <c r="C752" s="2">
        <v>2635.3259239999998</v>
      </c>
      <c r="D752" s="2">
        <v>2556.2661462799997</v>
      </c>
      <c r="E752" s="2">
        <v>2479.5781618915998</v>
      </c>
      <c r="F752" s="2">
        <v>2405.190817034852</v>
      </c>
      <c r="G752" s="2">
        <v>2333.0350925238063</v>
      </c>
      <c r="H752" s="2">
        <v>2263.044039748092</v>
      </c>
      <c r="I752" s="2">
        <v>2195.1527185556492</v>
      </c>
      <c r="J752" s="2">
        <v>2129.2981369989798</v>
      </c>
      <c r="K752" s="2">
        <v>2065.4191928890104</v>
      </c>
      <c r="L752" s="2">
        <v>2003.45661710234</v>
      </c>
      <c r="M752" s="2">
        <v>1943.3529185892698</v>
      </c>
      <c r="N752" s="2">
        <v>1885.0523310315916</v>
      </c>
      <c r="O752" s="2">
        <v>1828.5007611006438</v>
      </c>
    </row>
    <row r="753" spans="1:15" x14ac:dyDescent="0.25">
      <c r="A753" t="s">
        <v>2692</v>
      </c>
      <c r="B753" t="s">
        <v>2693</v>
      </c>
      <c r="C753" s="2">
        <v>2631.7262400000009</v>
      </c>
      <c r="D753" s="2">
        <v>2552.7744528000007</v>
      </c>
      <c r="E753" s="2">
        <v>2476.1912192160007</v>
      </c>
      <c r="F753" s="2">
        <v>2401.9054826395204</v>
      </c>
      <c r="G753" s="2">
        <v>2329.8483181603347</v>
      </c>
      <c r="H753" s="2">
        <v>2259.9528686155245</v>
      </c>
      <c r="I753" s="2">
        <v>2192.1542825570587</v>
      </c>
      <c r="J753" s="2">
        <v>2126.3896540803466</v>
      </c>
      <c r="K753" s="2">
        <v>2062.5979644579361</v>
      </c>
      <c r="L753" s="2">
        <v>2000.720025524198</v>
      </c>
      <c r="M753" s="2">
        <v>1940.6984247584721</v>
      </c>
      <c r="N753" s="2">
        <v>1882.4774720157179</v>
      </c>
      <c r="O753" s="2">
        <v>1826.0031478552464</v>
      </c>
    </row>
    <row r="754" spans="1:15" x14ac:dyDescent="0.25">
      <c r="A754" t="s">
        <v>2694</v>
      </c>
      <c r="B754" t="s">
        <v>2695</v>
      </c>
      <c r="C754" s="2">
        <v>2631.2404800000004</v>
      </c>
      <c r="D754" s="2">
        <v>2552.3032656000005</v>
      </c>
      <c r="E754" s="2">
        <v>2475.7341676320002</v>
      </c>
      <c r="F754" s="2">
        <v>2401.4621426030403</v>
      </c>
      <c r="G754" s="2">
        <v>2329.4182783249489</v>
      </c>
      <c r="H754" s="2">
        <v>2259.5357299752004</v>
      </c>
      <c r="I754" s="2">
        <v>2191.7496580759444</v>
      </c>
      <c r="J754" s="2">
        <v>2125.9971683336657</v>
      </c>
      <c r="K754" s="2">
        <v>2062.2172532836557</v>
      </c>
      <c r="L754" s="2">
        <v>2000.350735685146</v>
      </c>
      <c r="M754" s="2">
        <v>1940.3402136145914</v>
      </c>
      <c r="N754" s="2">
        <v>1882.1300072061536</v>
      </c>
      <c r="O754" s="2">
        <v>1825.666106989969</v>
      </c>
    </row>
    <row r="755" spans="1:15" x14ac:dyDescent="0.25">
      <c r="A755" t="s">
        <v>2696</v>
      </c>
      <c r="B755" t="s">
        <v>2697</v>
      </c>
      <c r="C755" s="2">
        <v>2627.8077760000006</v>
      </c>
      <c r="D755" s="2">
        <v>2548.9735427200003</v>
      </c>
      <c r="E755" s="2">
        <v>2472.5043364384001</v>
      </c>
      <c r="F755" s="2">
        <v>2398.3292063452482</v>
      </c>
      <c r="G755" s="2">
        <v>2326.3793301548908</v>
      </c>
      <c r="H755" s="2">
        <v>2256.5879502502439</v>
      </c>
      <c r="I755" s="2">
        <v>2188.8903117427367</v>
      </c>
      <c r="J755" s="2">
        <v>2123.2236023904547</v>
      </c>
      <c r="K755" s="2">
        <v>2059.5268943187411</v>
      </c>
      <c r="L755" s="2">
        <v>1997.7410874891789</v>
      </c>
      <c r="M755" s="2">
        <v>1937.8088548645035</v>
      </c>
      <c r="N755" s="2">
        <v>1879.6745892185684</v>
      </c>
      <c r="O755" s="2">
        <v>1823.2843515420113</v>
      </c>
    </row>
    <row r="756" spans="1:15" x14ac:dyDescent="0.25">
      <c r="A756" t="s">
        <v>2698</v>
      </c>
      <c r="B756" t="s">
        <v>2699</v>
      </c>
      <c r="C756" s="2">
        <v>2621.2824000000005</v>
      </c>
      <c r="D756" s="2">
        <v>2542.6439280000004</v>
      </c>
      <c r="E756" s="2">
        <v>2466.3646101600002</v>
      </c>
      <c r="F756" s="2">
        <v>2392.3736718552</v>
      </c>
      <c r="G756" s="2">
        <v>2320.6024616995437</v>
      </c>
      <c r="H756" s="2">
        <v>2250.9843878485572</v>
      </c>
      <c r="I756" s="2">
        <v>2183.4548562131004</v>
      </c>
      <c r="J756" s="2">
        <v>2117.9512105267072</v>
      </c>
      <c r="K756" s="2">
        <v>2054.4126742109061</v>
      </c>
      <c r="L756" s="2">
        <v>1992.7802939845787</v>
      </c>
      <c r="M756" s="2">
        <v>1932.9968851650412</v>
      </c>
      <c r="N756" s="2">
        <v>1875.0069786100901</v>
      </c>
      <c r="O756" s="2">
        <v>1818.7567692517873</v>
      </c>
    </row>
    <row r="757" spans="1:15" x14ac:dyDescent="0.25">
      <c r="A757" t="s">
        <v>2700</v>
      </c>
      <c r="B757" t="s">
        <v>2681</v>
      </c>
      <c r="C757" s="2">
        <v>2620.4808960000009</v>
      </c>
      <c r="D757" s="2">
        <v>2541.8664691200011</v>
      </c>
      <c r="E757" s="2">
        <v>2465.610475046401</v>
      </c>
      <c r="F757" s="2">
        <v>2391.6421607950087</v>
      </c>
      <c r="G757" s="2">
        <v>2319.8928959711584</v>
      </c>
      <c r="H757" s="2">
        <v>2250.2961090920235</v>
      </c>
      <c r="I757" s="2">
        <v>2182.7872258192629</v>
      </c>
      <c r="J757" s="2">
        <v>2117.3036090446849</v>
      </c>
      <c r="K757" s="2">
        <v>2053.7845007733445</v>
      </c>
      <c r="L757" s="2">
        <v>1992.170965750144</v>
      </c>
      <c r="M757" s="2">
        <v>1932.4058367776397</v>
      </c>
      <c r="N757" s="2">
        <v>1874.4336616743105</v>
      </c>
      <c r="O757" s="2">
        <v>1818.2006518240812</v>
      </c>
    </row>
    <row r="758" spans="1:15" x14ac:dyDescent="0.25">
      <c r="A758" t="s">
        <v>2701</v>
      </c>
      <c r="B758" t="s">
        <v>2702</v>
      </c>
      <c r="C758" s="2">
        <v>2618.7240640000009</v>
      </c>
      <c r="D758" s="2">
        <v>2540.1623420800006</v>
      </c>
      <c r="E758" s="2">
        <v>2463.9574718176004</v>
      </c>
      <c r="F758" s="2">
        <v>2390.0387476630722</v>
      </c>
      <c r="G758" s="2">
        <v>2318.3375852331801</v>
      </c>
      <c r="H758" s="2">
        <v>2248.7874576761847</v>
      </c>
      <c r="I758" s="2">
        <v>2181.323833945899</v>
      </c>
      <c r="J758" s="2">
        <v>2115.8841189275217</v>
      </c>
      <c r="K758" s="2">
        <v>2052.4075953596962</v>
      </c>
      <c r="L758" s="2">
        <v>1990.8353674989053</v>
      </c>
      <c r="M758" s="2">
        <v>1931.110306473938</v>
      </c>
      <c r="N758" s="2">
        <v>1873.1769972797197</v>
      </c>
      <c r="O758" s="2">
        <v>1816.9816873613281</v>
      </c>
    </row>
    <row r="759" spans="1:15" x14ac:dyDescent="0.25">
      <c r="A759" t="s">
        <v>2703</v>
      </c>
      <c r="B759" t="s">
        <v>2704</v>
      </c>
      <c r="C759" s="2">
        <v>2618.4973760000007</v>
      </c>
      <c r="D759" s="2">
        <v>2539.9424547200006</v>
      </c>
      <c r="E759" s="2">
        <v>2463.7441810784003</v>
      </c>
      <c r="F759" s="2">
        <v>2389.8318556460481</v>
      </c>
      <c r="G759" s="2">
        <v>2318.1368999766664</v>
      </c>
      <c r="H759" s="2">
        <v>2248.5927929773666</v>
      </c>
      <c r="I759" s="2">
        <v>2181.1350091880454</v>
      </c>
      <c r="J759" s="2">
        <v>2115.7009589124041</v>
      </c>
      <c r="K759" s="2">
        <v>2052.2299301450321</v>
      </c>
      <c r="L759" s="2">
        <v>1990.6630322406811</v>
      </c>
      <c r="M759" s="2">
        <v>1930.9431412734607</v>
      </c>
      <c r="N759" s="2">
        <v>1873.0148470352569</v>
      </c>
      <c r="O759" s="2">
        <v>1816.8244016241993</v>
      </c>
    </row>
    <row r="760" spans="1:15" x14ac:dyDescent="0.25">
      <c r="A760" t="s">
        <v>2705</v>
      </c>
      <c r="B760" t="s">
        <v>2706</v>
      </c>
      <c r="C760" s="2">
        <v>2616.3033600000003</v>
      </c>
      <c r="D760" s="2">
        <v>2537.8142592000004</v>
      </c>
      <c r="E760" s="2">
        <v>2461.6798314240004</v>
      </c>
      <c r="F760" s="2">
        <v>2387.8294364812805</v>
      </c>
      <c r="G760" s="2">
        <v>2316.194553386842</v>
      </c>
      <c r="H760" s="2">
        <v>2246.7087167852369</v>
      </c>
      <c r="I760" s="2">
        <v>2179.3074552816797</v>
      </c>
      <c r="J760" s="2">
        <v>2113.9282316232293</v>
      </c>
      <c r="K760" s="2">
        <v>2050.5103846745324</v>
      </c>
      <c r="L760" s="2">
        <v>1988.9950731342963</v>
      </c>
      <c r="M760" s="2">
        <v>1929.3252209402674</v>
      </c>
      <c r="N760" s="2">
        <v>1871.4454643120594</v>
      </c>
      <c r="O760" s="2">
        <v>1815.3021003826975</v>
      </c>
    </row>
    <row r="761" spans="1:15" x14ac:dyDescent="0.25">
      <c r="A761" t="s">
        <v>2707</v>
      </c>
      <c r="B761" t="s">
        <v>2708</v>
      </c>
      <c r="C761" s="2">
        <v>2607.8025600000005</v>
      </c>
      <c r="D761" s="2">
        <v>2529.5684832000006</v>
      </c>
      <c r="E761" s="2">
        <v>2453.6814287040006</v>
      </c>
      <c r="F761" s="2">
        <v>2380.0709858428804</v>
      </c>
      <c r="G761" s="2">
        <v>2308.668856267594</v>
      </c>
      <c r="H761" s="2">
        <v>2239.4087905795664</v>
      </c>
      <c r="I761" s="2">
        <v>2172.2265268621795</v>
      </c>
      <c r="J761" s="2">
        <v>2107.0597310563139</v>
      </c>
      <c r="K761" s="2">
        <v>2043.8479391246244</v>
      </c>
      <c r="L761" s="2">
        <v>1982.5325009508856</v>
      </c>
      <c r="M761" s="2">
        <v>1923.056525922359</v>
      </c>
      <c r="N761" s="2">
        <v>1865.3648301446881</v>
      </c>
      <c r="O761" s="2">
        <v>1809.4038852403473</v>
      </c>
    </row>
    <row r="762" spans="1:15" x14ac:dyDescent="0.25">
      <c r="A762" t="s">
        <v>2709</v>
      </c>
      <c r="B762" t="s">
        <v>2710</v>
      </c>
      <c r="C762" s="2">
        <v>2606.036114</v>
      </c>
      <c r="D762" s="2">
        <v>2527.8550305799999</v>
      </c>
      <c r="E762" s="2">
        <v>2452.0193796625999</v>
      </c>
      <c r="F762" s="2">
        <v>2378.4587982727217</v>
      </c>
      <c r="G762" s="2">
        <v>2307.1050343245402</v>
      </c>
      <c r="H762" s="2">
        <v>2237.8918832948038</v>
      </c>
      <c r="I762" s="2">
        <v>2170.7551267959598</v>
      </c>
      <c r="J762" s="2">
        <v>2105.6324729920807</v>
      </c>
      <c r="K762" s="2">
        <v>2042.4634988023183</v>
      </c>
      <c r="L762" s="2">
        <v>1981.1895938382488</v>
      </c>
      <c r="M762" s="2">
        <v>1921.7539060231013</v>
      </c>
      <c r="N762" s="2">
        <v>1864.1012888424082</v>
      </c>
      <c r="O762" s="2">
        <v>1808.1782501771359</v>
      </c>
    </row>
    <row r="763" spans="1:15" x14ac:dyDescent="0.25">
      <c r="A763" t="s">
        <v>2711</v>
      </c>
      <c r="B763" t="s">
        <v>2712</v>
      </c>
      <c r="C763" s="2">
        <v>2604.7544160000002</v>
      </c>
      <c r="D763" s="2">
        <v>2526.6117835200002</v>
      </c>
      <c r="E763" s="2">
        <v>2450.8134300144002</v>
      </c>
      <c r="F763" s="2">
        <v>2377.2890271139681</v>
      </c>
      <c r="G763" s="2">
        <v>2305.9703563005492</v>
      </c>
      <c r="H763" s="2">
        <v>2236.7912456115328</v>
      </c>
      <c r="I763" s="2">
        <v>2169.6875082431866</v>
      </c>
      <c r="J763" s="2">
        <v>2104.5968829958911</v>
      </c>
      <c r="K763" s="2">
        <v>2041.4589765060143</v>
      </c>
      <c r="L763" s="2">
        <v>1980.2152072108338</v>
      </c>
      <c r="M763" s="2">
        <v>1920.8087509945087</v>
      </c>
      <c r="N763" s="2">
        <v>1863.1844884646734</v>
      </c>
      <c r="O763" s="2">
        <v>1807.2889538107331</v>
      </c>
    </row>
    <row r="764" spans="1:15" x14ac:dyDescent="0.25">
      <c r="A764" t="s">
        <v>2713</v>
      </c>
      <c r="B764" t="s">
        <v>2714</v>
      </c>
      <c r="C764" s="2">
        <v>2602.2406080000001</v>
      </c>
      <c r="D764" s="2">
        <v>2524.1733897600002</v>
      </c>
      <c r="E764" s="2">
        <v>2448.4481880672001</v>
      </c>
      <c r="F764" s="2">
        <v>2374.9947424251841</v>
      </c>
      <c r="G764" s="2">
        <v>2303.7449001524287</v>
      </c>
      <c r="H764" s="2">
        <v>2234.632553147856</v>
      </c>
      <c r="I764" s="2">
        <v>2167.5935765534205</v>
      </c>
      <c r="J764" s="2">
        <v>2102.5657692568179</v>
      </c>
      <c r="K764" s="2">
        <v>2039.4887961791133</v>
      </c>
      <c r="L764" s="2">
        <v>1978.3041322937397</v>
      </c>
      <c r="M764" s="2">
        <v>1918.9550083249276</v>
      </c>
      <c r="N764" s="2">
        <v>1861.3863580751797</v>
      </c>
      <c r="O764" s="2">
        <v>1805.5447673329243</v>
      </c>
    </row>
    <row r="765" spans="1:15" x14ac:dyDescent="0.25">
      <c r="A765" t="s">
        <v>2715</v>
      </c>
      <c r="B765" t="s">
        <v>2716</v>
      </c>
      <c r="C765" s="2">
        <v>2597.3911040000007</v>
      </c>
      <c r="D765" s="2">
        <v>2519.4693708800005</v>
      </c>
      <c r="E765" s="2">
        <v>2443.8852897536003</v>
      </c>
      <c r="F765" s="2">
        <v>2370.5687310609924</v>
      </c>
      <c r="G765" s="2">
        <v>2299.4516691291624</v>
      </c>
      <c r="H765" s="2">
        <v>2230.4681190552874</v>
      </c>
      <c r="I765" s="2">
        <v>2163.5540754836288</v>
      </c>
      <c r="J765" s="2">
        <v>2098.6474532191201</v>
      </c>
      <c r="K765" s="2">
        <v>2035.6880296225463</v>
      </c>
      <c r="L765" s="2">
        <v>1974.6173887338698</v>
      </c>
      <c r="M765" s="2">
        <v>1915.3788670718536</v>
      </c>
      <c r="N765" s="2">
        <v>1857.917501059698</v>
      </c>
      <c r="O765" s="2">
        <v>1802.1799760279071</v>
      </c>
    </row>
    <row r="766" spans="1:15" x14ac:dyDescent="0.25">
      <c r="A766" t="s">
        <v>2717</v>
      </c>
      <c r="B766" t="s">
        <v>2718</v>
      </c>
      <c r="C766" s="2">
        <v>2596.1605120000008</v>
      </c>
      <c r="D766" s="2">
        <v>2518.2756966400007</v>
      </c>
      <c r="E766" s="2">
        <v>2442.7274257408008</v>
      </c>
      <c r="F766" s="2">
        <v>2369.4456029685766</v>
      </c>
      <c r="G766" s="2">
        <v>2298.3622348795193</v>
      </c>
      <c r="H766" s="2">
        <v>2229.4113678331337</v>
      </c>
      <c r="I766" s="2">
        <v>2162.5290267981395</v>
      </c>
      <c r="J766" s="2">
        <v>2097.6531559941955</v>
      </c>
      <c r="K766" s="2">
        <v>2034.7235613143696</v>
      </c>
      <c r="L766" s="2">
        <v>1973.6818544749385</v>
      </c>
      <c r="M766" s="2">
        <v>1914.4713988406902</v>
      </c>
      <c r="N766" s="2">
        <v>1857.0372568754694</v>
      </c>
      <c r="O766" s="2">
        <v>1801.3261391692054</v>
      </c>
    </row>
    <row r="767" spans="1:15" x14ac:dyDescent="0.25">
      <c r="A767" t="s">
        <v>2719</v>
      </c>
      <c r="B767" t="s">
        <v>2720</v>
      </c>
      <c r="C767" s="2">
        <v>2594.6986779999997</v>
      </c>
      <c r="D767" s="2">
        <v>2516.8577176599997</v>
      </c>
      <c r="E767" s="2">
        <v>2441.3519861301997</v>
      </c>
      <c r="F767" s="2">
        <v>2368.1114265462938</v>
      </c>
      <c r="G767" s="2">
        <v>2297.0680837499049</v>
      </c>
      <c r="H767" s="2">
        <v>2228.1560412374079</v>
      </c>
      <c r="I767" s="2">
        <v>2161.3113600002857</v>
      </c>
      <c r="J767" s="2">
        <v>2096.4720192002769</v>
      </c>
      <c r="K767" s="2">
        <v>2033.5778586242686</v>
      </c>
      <c r="L767" s="2">
        <v>1972.5705228655406</v>
      </c>
      <c r="M767" s="2">
        <v>1913.3934071795743</v>
      </c>
      <c r="N767" s="2">
        <v>1855.991604964187</v>
      </c>
      <c r="O767" s="2">
        <v>1800.3118568152613</v>
      </c>
    </row>
    <row r="768" spans="1:15" x14ac:dyDescent="0.25">
      <c r="A768" t="s">
        <v>2721</v>
      </c>
      <c r="B768" t="s">
        <v>2722</v>
      </c>
      <c r="C768" s="2">
        <v>2594.4603520000001</v>
      </c>
      <c r="D768" s="2">
        <v>2516.62654144</v>
      </c>
      <c r="E768" s="2">
        <v>2441.1277451967999</v>
      </c>
      <c r="F768" s="2">
        <v>2367.8939128408956</v>
      </c>
      <c r="G768" s="2">
        <v>2296.8570954556685</v>
      </c>
      <c r="H768" s="2">
        <v>2227.9513825919985</v>
      </c>
      <c r="I768" s="2">
        <v>2161.1128411142386</v>
      </c>
      <c r="J768" s="2">
        <v>2096.2794558808114</v>
      </c>
      <c r="K768" s="2">
        <v>2033.391072204387</v>
      </c>
      <c r="L768" s="2">
        <v>1972.3893400382553</v>
      </c>
      <c r="M768" s="2">
        <v>1913.2176598371077</v>
      </c>
      <c r="N768" s="2">
        <v>1855.8211300419944</v>
      </c>
      <c r="O768" s="2">
        <v>1800.1464961407346</v>
      </c>
    </row>
    <row r="769" spans="1:15" x14ac:dyDescent="0.25">
      <c r="A769" t="s">
        <v>2723</v>
      </c>
      <c r="B769" t="s">
        <v>2724</v>
      </c>
      <c r="C769" s="2">
        <v>2594.2857820000004</v>
      </c>
      <c r="D769" s="2">
        <v>2516.4572085400005</v>
      </c>
      <c r="E769" s="2">
        <v>2440.9634922838004</v>
      </c>
      <c r="F769" s="2">
        <v>2367.7345875152864</v>
      </c>
      <c r="G769" s="2">
        <v>2296.7025498898279</v>
      </c>
      <c r="H769" s="2">
        <v>2227.8014733931332</v>
      </c>
      <c r="I769" s="2">
        <v>2160.9674291913393</v>
      </c>
      <c r="J769" s="2">
        <v>2096.1384063155992</v>
      </c>
      <c r="K769" s="2">
        <v>2033.2542541261312</v>
      </c>
      <c r="L769" s="2">
        <v>1972.2566265023472</v>
      </c>
      <c r="M769" s="2">
        <v>1913.0889277072768</v>
      </c>
      <c r="N769" s="2">
        <v>1855.6962598760583</v>
      </c>
      <c r="O769" s="2">
        <v>1800.0253720797766</v>
      </c>
    </row>
    <row r="770" spans="1:15" x14ac:dyDescent="0.25">
      <c r="A770" t="s">
        <v>2725</v>
      </c>
      <c r="B770" t="s">
        <v>2726</v>
      </c>
      <c r="C770" s="2">
        <v>2594.1223439999999</v>
      </c>
      <c r="D770" s="2">
        <v>2516.2986736799999</v>
      </c>
      <c r="E770" s="2">
        <v>2440.8097134696</v>
      </c>
      <c r="F770" s="2">
        <v>2367.5854220655119</v>
      </c>
      <c r="G770" s="2">
        <v>2296.5578594035464</v>
      </c>
      <c r="H770" s="2">
        <v>2227.6611236214399</v>
      </c>
      <c r="I770" s="2">
        <v>2160.8312899127968</v>
      </c>
      <c r="J770" s="2">
        <v>2096.0063512154129</v>
      </c>
      <c r="K770" s="2">
        <v>2033.1261606789506</v>
      </c>
      <c r="L770" s="2">
        <v>1972.132375858582</v>
      </c>
      <c r="M770" s="2">
        <v>1912.9684045828244</v>
      </c>
      <c r="N770" s="2">
        <v>1855.5793524453395</v>
      </c>
      <c r="O770" s="2">
        <v>1799.9119718719792</v>
      </c>
    </row>
    <row r="771" spans="1:15" x14ac:dyDescent="0.25">
      <c r="A771" t="s">
        <v>2727</v>
      </c>
      <c r="B771" t="s">
        <v>2728</v>
      </c>
      <c r="C771" s="2">
        <v>2592.6387520000003</v>
      </c>
      <c r="D771" s="2">
        <v>2514.85958944</v>
      </c>
      <c r="E771" s="2">
        <v>2439.4138017567998</v>
      </c>
      <c r="F771" s="2">
        <v>2366.2313877040956</v>
      </c>
      <c r="G771" s="2">
        <v>2295.2444460729726</v>
      </c>
      <c r="H771" s="2">
        <v>2226.3871126907834</v>
      </c>
      <c r="I771" s="2">
        <v>2159.5954993100599</v>
      </c>
      <c r="J771" s="2">
        <v>2094.807634330758</v>
      </c>
      <c r="K771" s="2">
        <v>2031.9634053008351</v>
      </c>
      <c r="L771" s="2">
        <v>1971.0045031418101</v>
      </c>
      <c r="M771" s="2">
        <v>1911.8743680475557</v>
      </c>
      <c r="N771" s="2">
        <v>1854.5181370061289</v>
      </c>
      <c r="O771" s="2">
        <v>1798.882592895945</v>
      </c>
    </row>
    <row r="772" spans="1:15" x14ac:dyDescent="0.25">
      <c r="A772" t="s">
        <v>1219</v>
      </c>
      <c r="B772" t="s">
        <v>2729</v>
      </c>
      <c r="C772" s="2">
        <v>2591.1202460000004</v>
      </c>
      <c r="D772" s="2">
        <v>2513.3866386200002</v>
      </c>
      <c r="E772" s="2">
        <v>2437.9850394614</v>
      </c>
      <c r="F772" s="2">
        <v>2364.8454882775577</v>
      </c>
      <c r="G772" s="2">
        <v>2293.9001236292311</v>
      </c>
      <c r="H772" s="2">
        <v>2225.083119920354</v>
      </c>
      <c r="I772" s="2">
        <v>2158.3306263227432</v>
      </c>
      <c r="J772" s="2">
        <v>2093.5807075330608</v>
      </c>
      <c r="K772" s="2">
        <v>2030.7732863070689</v>
      </c>
      <c r="L772" s="2">
        <v>1969.8500877178567</v>
      </c>
      <c r="M772" s="2">
        <v>1910.754585086321</v>
      </c>
      <c r="N772" s="2">
        <v>1853.4319475337313</v>
      </c>
      <c r="O772" s="2">
        <v>1797.8289891077193</v>
      </c>
    </row>
    <row r="773" spans="1:15" x14ac:dyDescent="0.25">
      <c r="A773" t="s">
        <v>2730</v>
      </c>
      <c r="B773" t="s">
        <v>2731</v>
      </c>
      <c r="C773" s="2">
        <v>2588.0726080000004</v>
      </c>
      <c r="D773" s="2">
        <v>2510.4304297600002</v>
      </c>
      <c r="E773" s="2">
        <v>2435.1175168672003</v>
      </c>
      <c r="F773" s="2">
        <v>2362.063991361184</v>
      </c>
      <c r="G773" s="2">
        <v>2291.2020716203483</v>
      </c>
      <c r="H773" s="2">
        <v>2222.4660094717378</v>
      </c>
      <c r="I773" s="2">
        <v>2155.7920291875857</v>
      </c>
      <c r="J773" s="2">
        <v>2091.1182683119582</v>
      </c>
      <c r="K773" s="2">
        <v>2028.3847202625993</v>
      </c>
      <c r="L773" s="2">
        <v>1967.5331786547213</v>
      </c>
      <c r="M773" s="2">
        <v>1908.5071832950796</v>
      </c>
      <c r="N773" s="2">
        <v>1851.2519677962271</v>
      </c>
      <c r="O773" s="2">
        <v>1795.7144087623401</v>
      </c>
    </row>
    <row r="774" spans="1:15" x14ac:dyDescent="0.25">
      <c r="A774" t="s">
        <v>2732</v>
      </c>
      <c r="B774" t="s">
        <v>2733</v>
      </c>
      <c r="C774" s="2">
        <v>2587.805440000001</v>
      </c>
      <c r="D774" s="2">
        <v>2510.1712768000011</v>
      </c>
      <c r="E774" s="2">
        <v>2434.866138496001</v>
      </c>
      <c r="F774" s="2">
        <v>2361.820154341121</v>
      </c>
      <c r="G774" s="2">
        <v>2290.9655497108874</v>
      </c>
      <c r="H774" s="2">
        <v>2222.2365832195605</v>
      </c>
      <c r="I774" s="2">
        <v>2155.5694857229737</v>
      </c>
      <c r="J774" s="2">
        <v>2090.9024011512843</v>
      </c>
      <c r="K774" s="2">
        <v>2028.1753291167456</v>
      </c>
      <c r="L774" s="2">
        <v>1967.3300692432431</v>
      </c>
      <c r="M774" s="2">
        <v>1908.3101671659458</v>
      </c>
      <c r="N774" s="2">
        <v>1851.0608621509673</v>
      </c>
      <c r="O774" s="2">
        <v>1795.5290362864382</v>
      </c>
    </row>
    <row r="775" spans="1:15" x14ac:dyDescent="0.25">
      <c r="A775" t="s">
        <v>2734</v>
      </c>
      <c r="B775" t="s">
        <v>2735</v>
      </c>
      <c r="C775" s="2">
        <v>2575.9933760000008</v>
      </c>
      <c r="D775" s="2">
        <v>2498.7135747200009</v>
      </c>
      <c r="E775" s="2">
        <v>2423.7521674784007</v>
      </c>
      <c r="F775" s="2">
        <v>2351.0396024540487</v>
      </c>
      <c r="G775" s="2">
        <v>2280.508414380427</v>
      </c>
      <c r="H775" s="2">
        <v>2212.0931619490143</v>
      </c>
      <c r="I775" s="2">
        <v>2145.730367090544</v>
      </c>
      <c r="J775" s="2">
        <v>2081.3584560778277</v>
      </c>
      <c r="K775" s="2">
        <v>2018.9177023954928</v>
      </c>
      <c r="L775" s="2">
        <v>1958.350171323628</v>
      </c>
      <c r="M775" s="2">
        <v>1899.5996661839192</v>
      </c>
      <c r="N775" s="2">
        <v>1842.6116761984017</v>
      </c>
      <c r="O775" s="2">
        <v>1787.3333259124497</v>
      </c>
    </row>
    <row r="776" spans="1:15" x14ac:dyDescent="0.25">
      <c r="A776" t="s">
        <v>1125</v>
      </c>
      <c r="B776" t="s">
        <v>2736</v>
      </c>
      <c r="C776" s="2">
        <v>2574.7420379999999</v>
      </c>
      <c r="D776" s="2">
        <v>2497.4997768599997</v>
      </c>
      <c r="E776" s="2">
        <v>2422.5747835541997</v>
      </c>
      <c r="F776" s="2">
        <v>2349.8975400475738</v>
      </c>
      <c r="G776" s="2">
        <v>2279.4006138461464</v>
      </c>
      <c r="H776" s="2">
        <v>2211.0185954307617</v>
      </c>
      <c r="I776" s="2">
        <v>2144.6880375678388</v>
      </c>
      <c r="J776" s="2">
        <v>2080.3473964408035</v>
      </c>
      <c r="K776" s="2">
        <v>2017.9369745475794</v>
      </c>
      <c r="L776" s="2">
        <v>1957.3988653111519</v>
      </c>
      <c r="M776" s="2">
        <v>1898.6768993518174</v>
      </c>
      <c r="N776" s="2">
        <v>1841.7165923712628</v>
      </c>
      <c r="O776" s="2">
        <v>1786.4650946001248</v>
      </c>
    </row>
    <row r="777" spans="1:15" x14ac:dyDescent="0.25">
      <c r="A777" t="s">
        <v>2737</v>
      </c>
      <c r="B777" t="s">
        <v>2738</v>
      </c>
      <c r="C777" s="2">
        <v>2568.7798400000006</v>
      </c>
      <c r="D777" s="2">
        <v>2491.7164448000003</v>
      </c>
      <c r="E777" s="2">
        <v>2416.9649514560001</v>
      </c>
      <c r="F777" s="2">
        <v>2344.4560029123199</v>
      </c>
      <c r="G777" s="2">
        <v>2274.1223228249501</v>
      </c>
      <c r="H777" s="2">
        <v>2205.8986531402015</v>
      </c>
      <c r="I777" s="2">
        <v>2139.7216935459955</v>
      </c>
      <c r="J777" s="2">
        <v>2075.5300427396155</v>
      </c>
      <c r="K777" s="2">
        <v>2013.2641414574271</v>
      </c>
      <c r="L777" s="2">
        <v>1952.8662172137042</v>
      </c>
      <c r="M777" s="2">
        <v>1894.2802306972931</v>
      </c>
      <c r="N777" s="2">
        <v>1837.4518237763741</v>
      </c>
      <c r="O777" s="2">
        <v>1782.3282690630829</v>
      </c>
    </row>
    <row r="778" spans="1:15" x14ac:dyDescent="0.25">
      <c r="A778" t="s">
        <v>2739</v>
      </c>
      <c r="B778" t="s">
        <v>2738</v>
      </c>
      <c r="C778" s="2">
        <v>2568.7798400000006</v>
      </c>
      <c r="D778" s="2">
        <v>2491.7164448000003</v>
      </c>
      <c r="E778" s="2">
        <v>2416.9649514560001</v>
      </c>
      <c r="F778" s="2">
        <v>2344.4560029123199</v>
      </c>
      <c r="G778" s="2">
        <v>2274.1223228249501</v>
      </c>
      <c r="H778" s="2">
        <v>2205.8986531402015</v>
      </c>
      <c r="I778" s="2">
        <v>2139.7216935459955</v>
      </c>
      <c r="J778" s="2">
        <v>2075.5300427396155</v>
      </c>
      <c r="K778" s="2">
        <v>2013.2641414574271</v>
      </c>
      <c r="L778" s="2">
        <v>1952.8662172137042</v>
      </c>
      <c r="M778" s="2">
        <v>1894.2802306972931</v>
      </c>
      <c r="N778" s="2">
        <v>1837.4518237763741</v>
      </c>
      <c r="O778" s="2">
        <v>1782.3282690630829</v>
      </c>
    </row>
    <row r="779" spans="1:15" x14ac:dyDescent="0.25">
      <c r="A779" t="s">
        <v>2740</v>
      </c>
      <c r="B779" t="s">
        <v>2738</v>
      </c>
      <c r="C779" s="2">
        <v>2568.7798400000006</v>
      </c>
      <c r="D779" s="2">
        <v>2491.7164448000003</v>
      </c>
      <c r="E779" s="2">
        <v>2416.9649514560001</v>
      </c>
      <c r="F779" s="2">
        <v>2344.4560029123199</v>
      </c>
      <c r="G779" s="2">
        <v>2274.1223228249501</v>
      </c>
      <c r="H779" s="2">
        <v>2205.8986531402015</v>
      </c>
      <c r="I779" s="2">
        <v>2139.7216935459955</v>
      </c>
      <c r="J779" s="2">
        <v>2075.5300427396155</v>
      </c>
      <c r="K779" s="2">
        <v>2013.2641414574271</v>
      </c>
      <c r="L779" s="2">
        <v>1952.8662172137042</v>
      </c>
      <c r="M779" s="2">
        <v>1894.2802306972931</v>
      </c>
      <c r="N779" s="2">
        <v>1837.4518237763741</v>
      </c>
      <c r="O779" s="2">
        <v>1782.3282690630829</v>
      </c>
    </row>
    <row r="780" spans="1:15" x14ac:dyDescent="0.25">
      <c r="A780" t="s">
        <v>2741</v>
      </c>
      <c r="B780" t="s">
        <v>2742</v>
      </c>
      <c r="C780" s="2">
        <v>2564.5056580000005</v>
      </c>
      <c r="D780" s="2">
        <v>2487.5704882600003</v>
      </c>
      <c r="E780" s="2">
        <v>2412.9433736122</v>
      </c>
      <c r="F780" s="2">
        <v>2340.5550724038339</v>
      </c>
      <c r="G780" s="2">
        <v>2270.3384202317188</v>
      </c>
      <c r="H780" s="2">
        <v>2202.2282676247673</v>
      </c>
      <c r="I780" s="2">
        <v>2136.1614195960242</v>
      </c>
      <c r="J780" s="2">
        <v>2072.0765770081434</v>
      </c>
      <c r="K780" s="2">
        <v>2009.914279697899</v>
      </c>
      <c r="L780" s="2">
        <v>1949.616851306962</v>
      </c>
      <c r="M780" s="2">
        <v>1891.128345767753</v>
      </c>
      <c r="N780" s="2">
        <v>1834.3944953947203</v>
      </c>
      <c r="O780" s="2">
        <v>1779.3626605328786</v>
      </c>
    </row>
    <row r="781" spans="1:15" x14ac:dyDescent="0.25">
      <c r="A781" t="s">
        <v>2743</v>
      </c>
      <c r="B781" t="s">
        <v>2744</v>
      </c>
      <c r="C781" s="2">
        <v>2561.1857920000007</v>
      </c>
      <c r="D781" s="2">
        <v>2484.3502182400007</v>
      </c>
      <c r="E781" s="2">
        <v>2409.8197116928004</v>
      </c>
      <c r="F781" s="2">
        <v>2337.5251203420162</v>
      </c>
      <c r="G781" s="2">
        <v>2267.3993667317554</v>
      </c>
      <c r="H781" s="2">
        <v>2199.3773857298029</v>
      </c>
      <c r="I781" s="2">
        <v>2133.3960641579088</v>
      </c>
      <c r="J781" s="2">
        <v>2069.3941822331713</v>
      </c>
      <c r="K781" s="2">
        <v>2007.312356766176</v>
      </c>
      <c r="L781" s="2">
        <v>1947.0929860631907</v>
      </c>
      <c r="M781" s="2">
        <v>1888.6801964812948</v>
      </c>
      <c r="N781" s="2">
        <v>1832.0197905868558</v>
      </c>
      <c r="O781" s="2">
        <v>1777.0591968692502</v>
      </c>
    </row>
    <row r="782" spans="1:15" x14ac:dyDescent="0.25">
      <c r="A782" t="s">
        <v>2745</v>
      </c>
      <c r="B782" t="s">
        <v>2746</v>
      </c>
      <c r="C782" s="2">
        <v>2561.1422760000005</v>
      </c>
      <c r="D782" s="2">
        <v>2484.3080077200002</v>
      </c>
      <c r="E782" s="2">
        <v>2409.7787674884003</v>
      </c>
      <c r="F782" s="2">
        <v>2337.4854044637482</v>
      </c>
      <c r="G782" s="2">
        <v>2267.3608423298356</v>
      </c>
      <c r="H782" s="2">
        <v>2199.3400170599402</v>
      </c>
      <c r="I782" s="2">
        <v>2133.3598165481421</v>
      </c>
      <c r="J782" s="2">
        <v>2069.3590220516976</v>
      </c>
      <c r="K782" s="2">
        <v>2007.2782513901466</v>
      </c>
      <c r="L782" s="2">
        <v>1947.0599038484422</v>
      </c>
      <c r="M782" s="2">
        <v>1888.6481067329889</v>
      </c>
      <c r="N782" s="2">
        <v>1831.9886635309992</v>
      </c>
      <c r="O782" s="2">
        <v>1777.0290036250692</v>
      </c>
    </row>
    <row r="783" spans="1:15" x14ac:dyDescent="0.25">
      <c r="A783" t="s">
        <v>2747</v>
      </c>
      <c r="B783" t="s">
        <v>2748</v>
      </c>
      <c r="C783" s="2">
        <v>2556.7977600000004</v>
      </c>
      <c r="D783" s="2">
        <v>2480.0938272000003</v>
      </c>
      <c r="E783" s="2">
        <v>2405.6910123840003</v>
      </c>
      <c r="F783" s="2">
        <v>2333.52028201248</v>
      </c>
      <c r="G783" s="2">
        <v>2263.5146735521057</v>
      </c>
      <c r="H783" s="2">
        <v>2195.6092333455426</v>
      </c>
      <c r="I783" s="2">
        <v>2129.7409563451761</v>
      </c>
      <c r="J783" s="2">
        <v>2065.8487276548208</v>
      </c>
      <c r="K783" s="2">
        <v>2003.8732658251761</v>
      </c>
      <c r="L783" s="2">
        <v>1943.7570678504208</v>
      </c>
      <c r="M783" s="2">
        <v>1885.444355814908</v>
      </c>
      <c r="N783" s="2">
        <v>1828.8810251404607</v>
      </c>
      <c r="O783" s="2">
        <v>1774.0145943862467</v>
      </c>
    </row>
    <row r="784" spans="1:15" x14ac:dyDescent="0.25">
      <c r="A784" t="s">
        <v>2749</v>
      </c>
      <c r="B784" t="s">
        <v>2750</v>
      </c>
      <c r="C784" s="2">
        <v>2556.3120000000004</v>
      </c>
      <c r="D784" s="2">
        <v>2479.6226400000005</v>
      </c>
      <c r="E784" s="2">
        <v>2405.2339608000002</v>
      </c>
      <c r="F784" s="2">
        <v>2333.0769419759999</v>
      </c>
      <c r="G784" s="2">
        <v>2263.08463371672</v>
      </c>
      <c r="H784" s="2">
        <v>2195.1920947052181</v>
      </c>
      <c r="I784" s="2">
        <v>2129.3363318640613</v>
      </c>
      <c r="J784" s="2">
        <v>2065.4562419081394</v>
      </c>
      <c r="K784" s="2">
        <v>2003.4925546508953</v>
      </c>
      <c r="L784" s="2">
        <v>1943.3877780113683</v>
      </c>
      <c r="M784" s="2">
        <v>1885.0861446710271</v>
      </c>
      <c r="N784" s="2">
        <v>1828.5335603308963</v>
      </c>
      <c r="O784" s="2">
        <v>1773.6775535209695</v>
      </c>
    </row>
    <row r="785" spans="1:15" x14ac:dyDescent="0.25">
      <c r="A785" t="s">
        <v>2751</v>
      </c>
      <c r="B785" t="s">
        <v>2752</v>
      </c>
      <c r="C785" s="2">
        <v>2555.2190400000004</v>
      </c>
      <c r="D785" s="2">
        <v>2478.5624688000003</v>
      </c>
      <c r="E785" s="2">
        <v>2404.205594736</v>
      </c>
      <c r="F785" s="2">
        <v>2332.0794268939198</v>
      </c>
      <c r="G785" s="2">
        <v>2262.1170440871024</v>
      </c>
      <c r="H785" s="2">
        <v>2194.2535327644891</v>
      </c>
      <c r="I785" s="2">
        <v>2128.4259267815546</v>
      </c>
      <c r="J785" s="2">
        <v>2064.5731489781078</v>
      </c>
      <c r="K785" s="2">
        <v>2002.6359545087646</v>
      </c>
      <c r="L785" s="2">
        <v>1942.5568758735017</v>
      </c>
      <c r="M785" s="2">
        <v>1884.2801695972967</v>
      </c>
      <c r="N785" s="2">
        <v>1827.7517645093776</v>
      </c>
      <c r="O785" s="2">
        <v>1772.9192115740962</v>
      </c>
    </row>
    <row r="786" spans="1:15" x14ac:dyDescent="0.25">
      <c r="A786" t="s">
        <v>2753</v>
      </c>
      <c r="B786" t="s">
        <v>2754</v>
      </c>
      <c r="C786" s="2">
        <v>2545.1152320000006</v>
      </c>
      <c r="D786" s="2">
        <v>2468.7617750400004</v>
      </c>
      <c r="E786" s="2">
        <v>2394.6989217888004</v>
      </c>
      <c r="F786" s="2">
        <v>2322.8579541351364</v>
      </c>
      <c r="G786" s="2">
        <v>2253.1722155110824</v>
      </c>
      <c r="H786" s="2">
        <v>2185.5770490457498</v>
      </c>
      <c r="I786" s="2">
        <v>2120.0097375743771</v>
      </c>
      <c r="J786" s="2">
        <v>2056.4094454471456</v>
      </c>
      <c r="K786" s="2">
        <v>1994.7171620837312</v>
      </c>
      <c r="L786" s="2">
        <v>1934.8756472212192</v>
      </c>
      <c r="M786" s="2">
        <v>1876.8293778045825</v>
      </c>
      <c r="N786" s="2">
        <v>1820.524496470445</v>
      </c>
      <c r="O786" s="2">
        <v>1765.9087615763317</v>
      </c>
    </row>
    <row r="787" spans="1:15" x14ac:dyDescent="0.25">
      <c r="A787" t="s">
        <v>2755</v>
      </c>
      <c r="B787" t="s">
        <v>2756</v>
      </c>
      <c r="C787" s="2">
        <v>2543.7632000000008</v>
      </c>
      <c r="D787" s="2">
        <v>2467.4503040000009</v>
      </c>
      <c r="E787" s="2">
        <v>2393.4267948800007</v>
      </c>
      <c r="F787" s="2">
        <v>2321.6239910336008</v>
      </c>
      <c r="G787" s="2">
        <v>2251.9752713025928</v>
      </c>
      <c r="H787" s="2">
        <v>2184.4160131635149</v>
      </c>
      <c r="I787" s="2">
        <v>2118.8835327686093</v>
      </c>
      <c r="J787" s="2">
        <v>2055.3170267855508</v>
      </c>
      <c r="K787" s="2">
        <v>1993.6575159819843</v>
      </c>
      <c r="L787" s="2">
        <v>1933.8477905025247</v>
      </c>
      <c r="M787" s="2">
        <v>1875.832356787449</v>
      </c>
      <c r="N787" s="2">
        <v>1819.5573860838256</v>
      </c>
      <c r="O787" s="2">
        <v>1764.9706645013107</v>
      </c>
    </row>
    <row r="788" spans="1:15" x14ac:dyDescent="0.25">
      <c r="A788" t="s">
        <v>2757</v>
      </c>
      <c r="B788" t="s">
        <v>2758</v>
      </c>
      <c r="C788" s="2">
        <v>2543.3533400000001</v>
      </c>
      <c r="D788" s="2">
        <v>2467.0527397999999</v>
      </c>
      <c r="E788" s="2">
        <v>2393.0411576060001</v>
      </c>
      <c r="F788" s="2">
        <v>2321.2499228778202</v>
      </c>
      <c r="G788" s="2">
        <v>2251.6124251914853</v>
      </c>
      <c r="H788" s="2">
        <v>2184.0640524357405</v>
      </c>
      <c r="I788" s="2">
        <v>2118.5421308626683</v>
      </c>
      <c r="J788" s="2">
        <v>2054.9858669367882</v>
      </c>
      <c r="K788" s="2">
        <v>1993.3362909286845</v>
      </c>
      <c r="L788" s="2">
        <v>1933.5362022008239</v>
      </c>
      <c r="M788" s="2">
        <v>1875.5301161347991</v>
      </c>
      <c r="N788" s="2">
        <v>1819.2642126507551</v>
      </c>
      <c r="O788" s="2">
        <v>1764.6862862712323</v>
      </c>
    </row>
    <row r="789" spans="1:15" x14ac:dyDescent="0.25">
      <c r="A789" t="s">
        <v>2759</v>
      </c>
      <c r="B789" t="s">
        <v>2760</v>
      </c>
      <c r="C789" s="2">
        <v>2541.4639360000006</v>
      </c>
      <c r="D789" s="2">
        <v>2465.2200179200004</v>
      </c>
      <c r="E789" s="2">
        <v>2391.2634173824003</v>
      </c>
      <c r="F789" s="2">
        <v>2319.5255148609281</v>
      </c>
      <c r="G789" s="2">
        <v>2249.9397494151003</v>
      </c>
      <c r="H789" s="2">
        <v>2182.4415569326475</v>
      </c>
      <c r="I789" s="2">
        <v>2116.9683102246681</v>
      </c>
      <c r="J789" s="2">
        <v>2053.4592609179281</v>
      </c>
      <c r="K789" s="2">
        <v>1991.8554830903902</v>
      </c>
      <c r="L789" s="2">
        <v>1932.0998185976784</v>
      </c>
      <c r="M789" s="2">
        <v>1874.136824039748</v>
      </c>
      <c r="N789" s="2">
        <v>1817.9127193185554</v>
      </c>
      <c r="O789" s="2">
        <v>1763.3753377389987</v>
      </c>
    </row>
    <row r="790" spans="1:15" x14ac:dyDescent="0.25">
      <c r="A790" t="s">
        <v>2761</v>
      </c>
      <c r="B790" t="s">
        <v>2762</v>
      </c>
      <c r="C790" s="2">
        <v>2541.2615360000009</v>
      </c>
      <c r="D790" s="2">
        <v>2465.0236899200008</v>
      </c>
      <c r="E790" s="2">
        <v>2391.0729792224006</v>
      </c>
      <c r="F790" s="2">
        <v>2319.3407898457285</v>
      </c>
      <c r="G790" s="2">
        <v>2249.7605661503567</v>
      </c>
      <c r="H790" s="2">
        <v>2182.267749165846</v>
      </c>
      <c r="I790" s="2">
        <v>2116.7997166908704</v>
      </c>
      <c r="J790" s="2">
        <v>2053.2957251901444</v>
      </c>
      <c r="K790" s="2">
        <v>1991.6968534344401</v>
      </c>
      <c r="L790" s="2">
        <v>1931.9459478314068</v>
      </c>
      <c r="M790" s="2">
        <v>1873.9875693964646</v>
      </c>
      <c r="N790" s="2">
        <v>1817.7679423145705</v>
      </c>
      <c r="O790" s="2">
        <v>1763.2349040451334</v>
      </c>
    </row>
    <row r="791" spans="1:15" x14ac:dyDescent="0.25">
      <c r="A791" t="s">
        <v>2763</v>
      </c>
      <c r="B791" t="s">
        <v>2764</v>
      </c>
      <c r="C791" s="2">
        <v>2539.7880640000008</v>
      </c>
      <c r="D791" s="2">
        <v>2463.5944220800006</v>
      </c>
      <c r="E791" s="2">
        <v>2389.6865894176008</v>
      </c>
      <c r="F791" s="2">
        <v>2317.9959917350725</v>
      </c>
      <c r="G791" s="2">
        <v>2248.45611198302</v>
      </c>
      <c r="H791" s="2">
        <v>2181.0024286235293</v>
      </c>
      <c r="I791" s="2">
        <v>2115.5723557648234</v>
      </c>
      <c r="J791" s="2">
        <v>2052.1051850918789</v>
      </c>
      <c r="K791" s="2">
        <v>1990.5420295391225</v>
      </c>
      <c r="L791" s="2">
        <v>1930.8257686529487</v>
      </c>
      <c r="M791" s="2">
        <v>1872.9009955933602</v>
      </c>
      <c r="N791" s="2">
        <v>1816.7139657255593</v>
      </c>
      <c r="O791" s="2">
        <v>1762.2125467537926</v>
      </c>
    </row>
    <row r="792" spans="1:15" x14ac:dyDescent="0.25">
      <c r="A792" t="s">
        <v>2765</v>
      </c>
      <c r="B792" t="s">
        <v>2766</v>
      </c>
      <c r="C792" s="2">
        <v>2538.9147080000002</v>
      </c>
      <c r="D792" s="2">
        <v>2462.74726676</v>
      </c>
      <c r="E792" s="2">
        <v>2388.8648487572</v>
      </c>
      <c r="F792" s="2">
        <v>2317.1989032944839</v>
      </c>
      <c r="G792" s="2">
        <v>2247.6829361956493</v>
      </c>
      <c r="H792" s="2">
        <v>2180.2524481097798</v>
      </c>
      <c r="I792" s="2">
        <v>2114.8448746664862</v>
      </c>
      <c r="J792" s="2">
        <v>2051.3995284264915</v>
      </c>
      <c r="K792" s="2">
        <v>1989.8575425736967</v>
      </c>
      <c r="L792" s="2">
        <v>1930.1618162964858</v>
      </c>
      <c r="M792" s="2">
        <v>1872.2569618075911</v>
      </c>
      <c r="N792" s="2">
        <v>1816.0892529533633</v>
      </c>
      <c r="O792" s="2">
        <v>1761.6065753647624</v>
      </c>
    </row>
    <row r="793" spans="1:15" x14ac:dyDescent="0.25">
      <c r="A793" t="s">
        <v>2767</v>
      </c>
      <c r="B793" t="s">
        <v>2768</v>
      </c>
      <c r="C793" s="2">
        <v>2537.3997440000003</v>
      </c>
      <c r="D793" s="2">
        <v>2461.2777516800002</v>
      </c>
      <c r="E793" s="2">
        <v>2387.4394191296001</v>
      </c>
      <c r="F793" s="2">
        <v>2315.8162365557118</v>
      </c>
      <c r="G793" s="2">
        <v>2246.3417494590403</v>
      </c>
      <c r="H793" s="2">
        <v>2178.951496975269</v>
      </c>
      <c r="I793" s="2">
        <v>2113.5829520660109</v>
      </c>
      <c r="J793" s="2">
        <v>2050.1754635040306</v>
      </c>
      <c r="K793" s="2">
        <v>1988.6701995989097</v>
      </c>
      <c r="L793" s="2">
        <v>1929.0100936109422</v>
      </c>
      <c r="M793" s="2">
        <v>1871.139790802614</v>
      </c>
      <c r="N793" s="2">
        <v>1815.0055970785356</v>
      </c>
      <c r="O793" s="2">
        <v>1760.5554291661795</v>
      </c>
    </row>
    <row r="794" spans="1:15" x14ac:dyDescent="0.25">
      <c r="A794" t="s">
        <v>2769</v>
      </c>
      <c r="B794" t="s">
        <v>2770</v>
      </c>
      <c r="C794" s="2">
        <v>2532.6635840000004</v>
      </c>
      <c r="D794" s="2">
        <v>2456.6836764800005</v>
      </c>
      <c r="E794" s="2">
        <v>2382.9831661856006</v>
      </c>
      <c r="F794" s="2">
        <v>2311.4936712000326</v>
      </c>
      <c r="G794" s="2">
        <v>2242.1488610640317</v>
      </c>
      <c r="H794" s="2">
        <v>2174.8843952321108</v>
      </c>
      <c r="I794" s="2">
        <v>2109.6378633751474</v>
      </c>
      <c r="J794" s="2">
        <v>2046.348727473893</v>
      </c>
      <c r="K794" s="2">
        <v>1984.9582656496762</v>
      </c>
      <c r="L794" s="2">
        <v>1925.4095176801859</v>
      </c>
      <c r="M794" s="2">
        <v>1867.6472321497802</v>
      </c>
      <c r="N794" s="2">
        <v>1811.6178151852866</v>
      </c>
      <c r="O794" s="2">
        <v>1757.2692807297281</v>
      </c>
    </row>
    <row r="795" spans="1:15" x14ac:dyDescent="0.25">
      <c r="A795" t="s">
        <v>2771</v>
      </c>
      <c r="B795" t="s">
        <v>2772</v>
      </c>
      <c r="C795" s="2">
        <v>2528.3888960000004</v>
      </c>
      <c r="D795" s="2">
        <v>2452.5372291200001</v>
      </c>
      <c r="E795" s="2">
        <v>2378.9611122464003</v>
      </c>
      <c r="F795" s="2">
        <v>2307.5922788790081</v>
      </c>
      <c r="G795" s="2">
        <v>2238.3645105126379</v>
      </c>
      <c r="H795" s="2">
        <v>2171.2135751972587</v>
      </c>
      <c r="I795" s="2">
        <v>2106.077167941341</v>
      </c>
      <c r="J795" s="2">
        <v>2042.8948529031009</v>
      </c>
      <c r="K795" s="2">
        <v>1981.6080073160078</v>
      </c>
      <c r="L795" s="2">
        <v>1922.1597670965275</v>
      </c>
      <c r="M795" s="2">
        <v>1864.4949740836316</v>
      </c>
      <c r="N795" s="2">
        <v>1808.5601248611226</v>
      </c>
      <c r="O795" s="2">
        <v>1754.303321115289</v>
      </c>
    </row>
    <row r="796" spans="1:15" x14ac:dyDescent="0.25">
      <c r="A796" t="s">
        <v>2773</v>
      </c>
      <c r="B796" t="s">
        <v>2774</v>
      </c>
      <c r="C796" s="2">
        <v>2527.465952</v>
      </c>
      <c r="D796" s="2">
        <v>2451.6419734400001</v>
      </c>
      <c r="E796" s="2">
        <v>2378.0927142368</v>
      </c>
      <c r="F796" s="2">
        <v>2306.749932809696</v>
      </c>
      <c r="G796" s="2">
        <v>2237.5474348254052</v>
      </c>
      <c r="H796" s="2">
        <v>2170.4210117806429</v>
      </c>
      <c r="I796" s="2">
        <v>2105.3083814272236</v>
      </c>
      <c r="J796" s="2">
        <v>2042.1491299844067</v>
      </c>
      <c r="K796" s="2">
        <v>1980.8846560848745</v>
      </c>
      <c r="L796" s="2">
        <v>1921.4581164023282</v>
      </c>
      <c r="M796" s="2">
        <v>1863.8143729102583</v>
      </c>
      <c r="N796" s="2">
        <v>1807.8999417229504</v>
      </c>
      <c r="O796" s="2">
        <v>1753.6629434712618</v>
      </c>
    </row>
    <row r="797" spans="1:15" x14ac:dyDescent="0.25">
      <c r="A797" t="s">
        <v>2775</v>
      </c>
      <c r="B797" t="s">
        <v>2776</v>
      </c>
      <c r="C797" s="2">
        <v>2527.2554560000008</v>
      </c>
      <c r="D797" s="2">
        <v>2451.4377923200009</v>
      </c>
      <c r="E797" s="2">
        <v>2377.8946585504009</v>
      </c>
      <c r="F797" s="2">
        <v>2306.5578187938886</v>
      </c>
      <c r="G797" s="2">
        <v>2237.3610842300718</v>
      </c>
      <c r="H797" s="2">
        <v>2170.2402517031696</v>
      </c>
      <c r="I797" s="2">
        <v>2105.1330441520745</v>
      </c>
      <c r="J797" s="2">
        <v>2041.9790528275123</v>
      </c>
      <c r="K797" s="2">
        <v>1980.7196812426869</v>
      </c>
      <c r="L797" s="2">
        <v>1921.2980908054062</v>
      </c>
      <c r="M797" s="2">
        <v>1863.659148081244</v>
      </c>
      <c r="N797" s="2">
        <v>1807.7493736388067</v>
      </c>
      <c r="O797" s="2">
        <v>1753.5168924296424</v>
      </c>
    </row>
    <row r="798" spans="1:15" x14ac:dyDescent="0.25">
      <c r="A798" t="s">
        <v>2777</v>
      </c>
      <c r="B798" t="s">
        <v>2778</v>
      </c>
      <c r="C798" s="2">
        <v>2527.2554560000008</v>
      </c>
      <c r="D798" s="2">
        <v>2451.4377923200009</v>
      </c>
      <c r="E798" s="2">
        <v>2377.8946585504009</v>
      </c>
      <c r="F798" s="2">
        <v>2306.5578187938886</v>
      </c>
      <c r="G798" s="2">
        <v>2237.3610842300718</v>
      </c>
      <c r="H798" s="2">
        <v>2170.2402517031696</v>
      </c>
      <c r="I798" s="2">
        <v>2105.1330441520745</v>
      </c>
      <c r="J798" s="2">
        <v>2041.9790528275123</v>
      </c>
      <c r="K798" s="2">
        <v>1980.7196812426869</v>
      </c>
      <c r="L798" s="2">
        <v>1921.2980908054062</v>
      </c>
      <c r="M798" s="2">
        <v>1863.659148081244</v>
      </c>
      <c r="N798" s="2">
        <v>1807.7493736388067</v>
      </c>
      <c r="O798" s="2">
        <v>1753.5168924296424</v>
      </c>
    </row>
    <row r="799" spans="1:15" x14ac:dyDescent="0.25">
      <c r="A799" t="s">
        <v>2779</v>
      </c>
      <c r="B799" t="s">
        <v>2780</v>
      </c>
      <c r="C799" s="2">
        <v>2525.2375280000001</v>
      </c>
      <c r="D799" s="2">
        <v>2449.4804021600003</v>
      </c>
      <c r="E799" s="2">
        <v>2375.9959900952003</v>
      </c>
      <c r="F799" s="2">
        <v>2304.7161103923445</v>
      </c>
      <c r="G799" s="2">
        <v>2235.5746270805739</v>
      </c>
      <c r="H799" s="2">
        <v>2168.5073882681568</v>
      </c>
      <c r="I799" s="2">
        <v>2103.4521666201122</v>
      </c>
      <c r="J799" s="2">
        <v>2040.3486016215088</v>
      </c>
      <c r="K799" s="2">
        <v>1979.1381435728636</v>
      </c>
      <c r="L799" s="2">
        <v>1919.7639992656775</v>
      </c>
      <c r="M799" s="2">
        <v>1862.1710792877072</v>
      </c>
      <c r="N799" s="2">
        <v>1806.3059469090761</v>
      </c>
      <c r="O799" s="2">
        <v>1752.1167685018038</v>
      </c>
    </row>
    <row r="800" spans="1:15" x14ac:dyDescent="0.25">
      <c r="A800" t="s">
        <v>2781</v>
      </c>
      <c r="B800" t="s">
        <v>2782</v>
      </c>
      <c r="C800" s="2">
        <v>2522.4464320000002</v>
      </c>
      <c r="D800" s="2">
        <v>2446.7730390400002</v>
      </c>
      <c r="E800" s="2">
        <v>2373.3698478688002</v>
      </c>
      <c r="F800" s="2">
        <v>2302.1687524327363</v>
      </c>
      <c r="G800" s="2">
        <v>2233.103689859754</v>
      </c>
      <c r="H800" s="2">
        <v>2166.1105791639611</v>
      </c>
      <c r="I800" s="2">
        <v>2101.1272617890422</v>
      </c>
      <c r="J800" s="2">
        <v>2038.0934439353709</v>
      </c>
      <c r="K800" s="2">
        <v>1976.9506406173098</v>
      </c>
      <c r="L800" s="2">
        <v>1917.6421213987903</v>
      </c>
      <c r="M800" s="2">
        <v>1860.1128577568265</v>
      </c>
      <c r="N800" s="2">
        <v>1804.3094720241218</v>
      </c>
      <c r="O800" s="2">
        <v>1750.180187863398</v>
      </c>
    </row>
    <row r="801" spans="1:15" x14ac:dyDescent="0.25">
      <c r="A801" t="s">
        <v>2783</v>
      </c>
      <c r="B801" t="s">
        <v>2784</v>
      </c>
      <c r="C801" s="2">
        <v>2520.7867520000004</v>
      </c>
      <c r="D801" s="2">
        <v>2445.1631494400003</v>
      </c>
      <c r="E801" s="2">
        <v>2371.8082549568003</v>
      </c>
      <c r="F801" s="2">
        <v>2300.6540073080964</v>
      </c>
      <c r="G801" s="2">
        <v>2231.6343870888536</v>
      </c>
      <c r="H801" s="2">
        <v>2164.6853554761879</v>
      </c>
      <c r="I801" s="2">
        <v>2099.744794811902</v>
      </c>
      <c r="J801" s="2">
        <v>2036.752450967545</v>
      </c>
      <c r="K801" s="2">
        <v>1975.6498774385186</v>
      </c>
      <c r="L801" s="2">
        <v>1916.380381115363</v>
      </c>
      <c r="M801" s="2">
        <v>1858.8889696819019</v>
      </c>
      <c r="N801" s="2">
        <v>1803.1223005914449</v>
      </c>
      <c r="O801" s="2">
        <v>1749.0286315737014</v>
      </c>
    </row>
    <row r="802" spans="1:15" x14ac:dyDescent="0.25">
      <c r="A802" t="s">
        <v>2785</v>
      </c>
      <c r="B802" t="s">
        <v>2786</v>
      </c>
      <c r="C802" s="2">
        <v>2518.770848000001</v>
      </c>
      <c r="D802" s="2">
        <v>2443.207722560001</v>
      </c>
      <c r="E802" s="2">
        <v>2369.9114908832007</v>
      </c>
      <c r="F802" s="2">
        <v>2298.8141461567047</v>
      </c>
      <c r="G802" s="2">
        <v>2229.8497217720037</v>
      </c>
      <c r="H802" s="2">
        <v>2162.9542301188435</v>
      </c>
      <c r="I802" s="2">
        <v>2098.0656032152783</v>
      </c>
      <c r="J802" s="2">
        <v>2035.1236351188199</v>
      </c>
      <c r="K802" s="2">
        <v>1974.0699260652552</v>
      </c>
      <c r="L802" s="2">
        <v>1914.8478282832975</v>
      </c>
      <c r="M802" s="2">
        <v>1857.4023934347986</v>
      </c>
      <c r="N802" s="2">
        <v>1801.6803216317546</v>
      </c>
      <c r="O802" s="2">
        <v>1747.629911982802</v>
      </c>
    </row>
    <row r="803" spans="1:15" x14ac:dyDescent="0.25">
      <c r="A803" t="s">
        <v>2787</v>
      </c>
      <c r="B803" t="s">
        <v>2788</v>
      </c>
      <c r="C803" s="2">
        <v>2517.313568</v>
      </c>
      <c r="D803" s="2">
        <v>2441.7941609599998</v>
      </c>
      <c r="E803" s="2">
        <v>2368.5403361311996</v>
      </c>
      <c r="F803" s="2">
        <v>2297.4841260472635</v>
      </c>
      <c r="G803" s="2">
        <v>2228.5596022658456</v>
      </c>
      <c r="H803" s="2">
        <v>2161.7028141978703</v>
      </c>
      <c r="I803" s="2">
        <v>2096.8517297719341</v>
      </c>
      <c r="J803" s="2">
        <v>2033.9461778787759</v>
      </c>
      <c r="K803" s="2">
        <v>1972.9277925424126</v>
      </c>
      <c r="L803" s="2">
        <v>1913.7399587661403</v>
      </c>
      <c r="M803" s="2">
        <v>1856.3277600031561</v>
      </c>
      <c r="N803" s="2">
        <v>1800.6379272030613</v>
      </c>
      <c r="O803" s="2">
        <v>1746.6187893869694</v>
      </c>
    </row>
    <row r="804" spans="1:15" x14ac:dyDescent="0.25">
      <c r="A804" t="s">
        <v>2789</v>
      </c>
      <c r="B804" t="s">
        <v>2788</v>
      </c>
      <c r="C804" s="2">
        <v>2517.313568</v>
      </c>
      <c r="D804" s="2">
        <v>2441.7941609599998</v>
      </c>
      <c r="E804" s="2">
        <v>2368.5403361311996</v>
      </c>
      <c r="F804" s="2">
        <v>2297.4841260472635</v>
      </c>
      <c r="G804" s="2">
        <v>2228.5596022658456</v>
      </c>
      <c r="H804" s="2">
        <v>2161.7028141978703</v>
      </c>
      <c r="I804" s="2">
        <v>2096.8517297719341</v>
      </c>
      <c r="J804" s="2">
        <v>2033.9461778787759</v>
      </c>
      <c r="K804" s="2">
        <v>1972.9277925424126</v>
      </c>
      <c r="L804" s="2">
        <v>1913.7399587661403</v>
      </c>
      <c r="M804" s="2">
        <v>1856.3277600031561</v>
      </c>
      <c r="N804" s="2">
        <v>1800.6379272030613</v>
      </c>
      <c r="O804" s="2">
        <v>1746.6187893869694</v>
      </c>
    </row>
    <row r="805" spans="1:15" x14ac:dyDescent="0.25">
      <c r="A805" t="s">
        <v>2790</v>
      </c>
      <c r="B805" t="s">
        <v>2788</v>
      </c>
      <c r="C805" s="2">
        <v>2517.313568</v>
      </c>
      <c r="D805" s="2">
        <v>2441.7941609599998</v>
      </c>
      <c r="E805" s="2">
        <v>2368.5403361311996</v>
      </c>
      <c r="F805" s="2">
        <v>2297.4841260472635</v>
      </c>
      <c r="G805" s="2">
        <v>2228.5596022658456</v>
      </c>
      <c r="H805" s="2">
        <v>2161.7028141978703</v>
      </c>
      <c r="I805" s="2">
        <v>2096.8517297719341</v>
      </c>
      <c r="J805" s="2">
        <v>2033.9461778787759</v>
      </c>
      <c r="K805" s="2">
        <v>1972.9277925424126</v>
      </c>
      <c r="L805" s="2">
        <v>1913.7399587661403</v>
      </c>
      <c r="M805" s="2">
        <v>1856.3277600031561</v>
      </c>
      <c r="N805" s="2">
        <v>1800.6379272030613</v>
      </c>
      <c r="O805" s="2">
        <v>1746.6187893869694</v>
      </c>
    </row>
    <row r="806" spans="1:15" x14ac:dyDescent="0.25">
      <c r="A806" t="s">
        <v>2791</v>
      </c>
      <c r="B806" t="s">
        <v>2788</v>
      </c>
      <c r="C806" s="2">
        <v>2517.313568</v>
      </c>
      <c r="D806" s="2">
        <v>2441.7941609599998</v>
      </c>
      <c r="E806" s="2">
        <v>2368.5403361311996</v>
      </c>
      <c r="F806" s="2">
        <v>2297.4841260472635</v>
      </c>
      <c r="G806" s="2">
        <v>2228.5596022658456</v>
      </c>
      <c r="H806" s="2">
        <v>2161.7028141978703</v>
      </c>
      <c r="I806" s="2">
        <v>2096.8517297719341</v>
      </c>
      <c r="J806" s="2">
        <v>2033.9461778787759</v>
      </c>
      <c r="K806" s="2">
        <v>1972.9277925424126</v>
      </c>
      <c r="L806" s="2">
        <v>1913.7399587661403</v>
      </c>
      <c r="M806" s="2">
        <v>1856.3277600031561</v>
      </c>
      <c r="N806" s="2">
        <v>1800.6379272030613</v>
      </c>
      <c r="O806" s="2">
        <v>1746.6187893869694</v>
      </c>
    </row>
    <row r="807" spans="1:15" x14ac:dyDescent="0.25">
      <c r="A807" t="s">
        <v>2792</v>
      </c>
      <c r="B807" t="s">
        <v>2788</v>
      </c>
      <c r="C807" s="2">
        <v>2517.313568</v>
      </c>
      <c r="D807" s="2">
        <v>2441.7941609599998</v>
      </c>
      <c r="E807" s="2">
        <v>2368.5403361311996</v>
      </c>
      <c r="F807" s="2">
        <v>2297.4841260472635</v>
      </c>
      <c r="G807" s="2">
        <v>2228.5596022658456</v>
      </c>
      <c r="H807" s="2">
        <v>2161.7028141978703</v>
      </c>
      <c r="I807" s="2">
        <v>2096.8517297719341</v>
      </c>
      <c r="J807" s="2">
        <v>2033.9461778787759</v>
      </c>
      <c r="K807" s="2">
        <v>1972.9277925424126</v>
      </c>
      <c r="L807" s="2">
        <v>1913.7399587661403</v>
      </c>
      <c r="M807" s="2">
        <v>1856.3277600031561</v>
      </c>
      <c r="N807" s="2">
        <v>1800.6379272030613</v>
      </c>
      <c r="O807" s="2">
        <v>1746.6187893869694</v>
      </c>
    </row>
    <row r="808" spans="1:15" x14ac:dyDescent="0.25">
      <c r="A808" t="s">
        <v>2793</v>
      </c>
      <c r="B808" t="s">
        <v>2794</v>
      </c>
      <c r="C808" s="2">
        <v>2516.1072640000011</v>
      </c>
      <c r="D808" s="2">
        <v>2440.6240460800009</v>
      </c>
      <c r="E808" s="2">
        <v>2367.4053246976009</v>
      </c>
      <c r="F808" s="2">
        <v>2296.3831649566728</v>
      </c>
      <c r="G808" s="2">
        <v>2227.4916700079725</v>
      </c>
      <c r="H808" s="2">
        <v>2160.6669199077332</v>
      </c>
      <c r="I808" s="2">
        <v>2095.846912310501</v>
      </c>
      <c r="J808" s="2">
        <v>2032.9715049411859</v>
      </c>
      <c r="K808" s="2">
        <v>1971.9823597929503</v>
      </c>
      <c r="L808" s="2">
        <v>1912.8228889991617</v>
      </c>
      <c r="M808" s="2">
        <v>1855.4382023291869</v>
      </c>
      <c r="N808" s="2">
        <v>1799.7750562593112</v>
      </c>
      <c r="O808" s="2">
        <v>1745.7818045715319</v>
      </c>
    </row>
    <row r="809" spans="1:15" x14ac:dyDescent="0.25">
      <c r="A809" t="s">
        <v>2795</v>
      </c>
      <c r="B809" t="s">
        <v>2796</v>
      </c>
      <c r="C809" s="2">
        <v>2515.3462400000008</v>
      </c>
      <c r="D809" s="2">
        <v>2439.8858528000005</v>
      </c>
      <c r="E809" s="2">
        <v>2366.6892772160004</v>
      </c>
      <c r="F809" s="2">
        <v>2295.6885988995205</v>
      </c>
      <c r="G809" s="2">
        <v>2226.8179409325348</v>
      </c>
      <c r="H809" s="2">
        <v>2160.0134027045588</v>
      </c>
      <c r="I809" s="2">
        <v>2095.213000623422</v>
      </c>
      <c r="J809" s="2">
        <v>2032.3566106047192</v>
      </c>
      <c r="K809" s="2">
        <v>1971.3859122865776</v>
      </c>
      <c r="L809" s="2">
        <v>1912.2443349179803</v>
      </c>
      <c r="M809" s="2">
        <v>1854.8770048704407</v>
      </c>
      <c r="N809" s="2">
        <v>1799.2306947243273</v>
      </c>
      <c r="O809" s="2">
        <v>1745.2537738825974</v>
      </c>
    </row>
    <row r="810" spans="1:15" x14ac:dyDescent="0.25">
      <c r="A810" t="s">
        <v>2797</v>
      </c>
      <c r="B810" t="s">
        <v>2798</v>
      </c>
      <c r="C810" s="2">
        <v>2512.4316800000006</v>
      </c>
      <c r="D810" s="2">
        <v>2437.0587296000003</v>
      </c>
      <c r="E810" s="2">
        <v>2363.9469677120001</v>
      </c>
      <c r="F810" s="2">
        <v>2293.0285586806399</v>
      </c>
      <c r="G810" s="2">
        <v>2224.2377019202208</v>
      </c>
      <c r="H810" s="2">
        <v>2157.5105708626143</v>
      </c>
      <c r="I810" s="2">
        <v>2092.7852537367357</v>
      </c>
      <c r="J810" s="2">
        <v>2030.0016961246336</v>
      </c>
      <c r="K810" s="2">
        <v>1969.1016452408944</v>
      </c>
      <c r="L810" s="2">
        <v>1910.0285958836675</v>
      </c>
      <c r="M810" s="2">
        <v>1852.7277380071575</v>
      </c>
      <c r="N810" s="2">
        <v>1797.1459058669427</v>
      </c>
      <c r="O810" s="2">
        <v>1743.2315286909343</v>
      </c>
    </row>
    <row r="811" spans="1:15" x14ac:dyDescent="0.25">
      <c r="A811" t="s">
        <v>2799</v>
      </c>
      <c r="B811" t="s">
        <v>2800</v>
      </c>
      <c r="C811" s="2">
        <v>2510.3348160000005</v>
      </c>
      <c r="D811" s="2">
        <v>2435.0247715200003</v>
      </c>
      <c r="E811" s="2">
        <v>2361.9740283744004</v>
      </c>
      <c r="F811" s="2">
        <v>2291.1148075231681</v>
      </c>
      <c r="G811" s="2">
        <v>2222.3813632974729</v>
      </c>
      <c r="H811" s="2">
        <v>2155.7099223985488</v>
      </c>
      <c r="I811" s="2">
        <v>2091.0386247265924</v>
      </c>
      <c r="J811" s="2">
        <v>2028.3074659847946</v>
      </c>
      <c r="K811" s="2">
        <v>1967.4582420052507</v>
      </c>
      <c r="L811" s="2">
        <v>1908.4344947450932</v>
      </c>
      <c r="M811" s="2">
        <v>1851.1814599027402</v>
      </c>
      <c r="N811" s="2">
        <v>1795.646016105658</v>
      </c>
      <c r="O811" s="2">
        <v>1741.7766356224881</v>
      </c>
    </row>
    <row r="812" spans="1:15" x14ac:dyDescent="0.25">
      <c r="A812" t="s">
        <v>2801</v>
      </c>
      <c r="B812" t="s">
        <v>2802</v>
      </c>
      <c r="C812" s="2">
        <v>2509.4012460000004</v>
      </c>
      <c r="D812" s="2">
        <v>2434.1192086200003</v>
      </c>
      <c r="E812" s="2">
        <v>2361.0956323614005</v>
      </c>
      <c r="F812" s="2">
        <v>2290.2627633905586</v>
      </c>
      <c r="G812" s="2">
        <v>2221.5548804888417</v>
      </c>
      <c r="H812" s="2">
        <v>2154.9082340741766</v>
      </c>
      <c r="I812" s="2">
        <v>2090.2609870519514</v>
      </c>
      <c r="J812" s="2">
        <v>2027.5531574403929</v>
      </c>
      <c r="K812" s="2">
        <v>1966.726562717181</v>
      </c>
      <c r="L812" s="2">
        <v>1907.7247658356655</v>
      </c>
      <c r="M812" s="2">
        <v>1850.4930228605954</v>
      </c>
      <c r="N812" s="2">
        <v>1794.9782321747775</v>
      </c>
      <c r="O812" s="2">
        <v>1741.1288852095342</v>
      </c>
    </row>
    <row r="813" spans="1:15" x14ac:dyDescent="0.25">
      <c r="A813" t="s">
        <v>2803</v>
      </c>
      <c r="B813" t="s">
        <v>2804</v>
      </c>
      <c r="C813" s="2">
        <v>2508.2946240000006</v>
      </c>
      <c r="D813" s="2">
        <v>2433.0457852800005</v>
      </c>
      <c r="E813" s="2">
        <v>2360.0544117216004</v>
      </c>
      <c r="F813" s="2">
        <v>2289.2527793699523</v>
      </c>
      <c r="G813" s="2">
        <v>2220.5751959888539</v>
      </c>
      <c r="H813" s="2">
        <v>2153.9579401091883</v>
      </c>
      <c r="I813" s="2">
        <v>2089.3392019059124</v>
      </c>
      <c r="J813" s="2">
        <v>2026.6590258487349</v>
      </c>
      <c r="K813" s="2">
        <v>1965.8592550732728</v>
      </c>
      <c r="L813" s="2">
        <v>1906.8834774210745</v>
      </c>
      <c r="M813" s="2">
        <v>1849.6769730984422</v>
      </c>
      <c r="N813" s="2">
        <v>1794.1866639054888</v>
      </c>
      <c r="O813" s="2">
        <v>1740.3610639883241</v>
      </c>
    </row>
    <row r="814" spans="1:15" x14ac:dyDescent="0.25">
      <c r="A814" t="s">
        <v>2805</v>
      </c>
      <c r="B814" t="s">
        <v>2806</v>
      </c>
      <c r="C814" s="2">
        <v>2507.29072</v>
      </c>
      <c r="D814" s="2">
        <v>2432.0719983999998</v>
      </c>
      <c r="E814" s="2">
        <v>2359.1098384479997</v>
      </c>
      <c r="F814" s="2">
        <v>2288.3365432945598</v>
      </c>
      <c r="G814" s="2">
        <v>2219.6864469957227</v>
      </c>
      <c r="H814" s="2">
        <v>2153.0958535858508</v>
      </c>
      <c r="I814" s="2">
        <v>2088.5029779782753</v>
      </c>
      <c r="J814" s="2">
        <v>2025.8478886389271</v>
      </c>
      <c r="K814" s="2">
        <v>1965.0724519797593</v>
      </c>
      <c r="L814" s="2">
        <v>1906.1202784203665</v>
      </c>
      <c r="M814" s="2">
        <v>1848.9366700677554</v>
      </c>
      <c r="N814" s="2">
        <v>1793.4685699657227</v>
      </c>
      <c r="O814" s="2">
        <v>1739.664512866751</v>
      </c>
    </row>
    <row r="815" spans="1:15" x14ac:dyDescent="0.25">
      <c r="A815" t="s">
        <v>2807</v>
      </c>
      <c r="B815" t="s">
        <v>2808</v>
      </c>
      <c r="C815" s="2">
        <v>2505.7039040000009</v>
      </c>
      <c r="D815" s="2">
        <v>2430.5327868800009</v>
      </c>
      <c r="E815" s="2">
        <v>2357.6168032736009</v>
      </c>
      <c r="F815" s="2">
        <v>2286.8882991753926</v>
      </c>
      <c r="G815" s="2">
        <v>2218.2816502001306</v>
      </c>
      <c r="H815" s="2">
        <v>2151.7332006941265</v>
      </c>
      <c r="I815" s="2">
        <v>2087.1812046733025</v>
      </c>
      <c r="J815" s="2">
        <v>2024.5657685331034</v>
      </c>
      <c r="K815" s="2">
        <v>1963.8287954771104</v>
      </c>
      <c r="L815" s="2">
        <v>1904.9139316127969</v>
      </c>
      <c r="M815" s="2">
        <v>1847.766513664413</v>
      </c>
      <c r="N815" s="2">
        <v>1792.3335182544806</v>
      </c>
      <c r="O815" s="2">
        <v>1738.5635127068463</v>
      </c>
    </row>
    <row r="816" spans="1:15" x14ac:dyDescent="0.25">
      <c r="A816" t="s">
        <v>2809</v>
      </c>
      <c r="B816" t="s">
        <v>2810</v>
      </c>
      <c r="C816" s="2">
        <v>2504.0118400000006</v>
      </c>
      <c r="D816" s="2">
        <v>2428.8914848000004</v>
      </c>
      <c r="E816" s="2">
        <v>2356.0247402560003</v>
      </c>
      <c r="F816" s="2">
        <v>2285.3439980483204</v>
      </c>
      <c r="G816" s="2">
        <v>2216.7836781068709</v>
      </c>
      <c r="H816" s="2">
        <v>2150.2801677636648</v>
      </c>
      <c r="I816" s="2">
        <v>2085.7717627307547</v>
      </c>
      <c r="J816" s="2">
        <v>2023.1986098488321</v>
      </c>
      <c r="K816" s="2">
        <v>1962.5026515533671</v>
      </c>
      <c r="L816" s="2">
        <v>1903.6275720067661</v>
      </c>
      <c r="M816" s="2">
        <v>1846.5187448465631</v>
      </c>
      <c r="N816" s="2">
        <v>1791.1231825011662</v>
      </c>
      <c r="O816" s="2">
        <v>1737.3894870261311</v>
      </c>
    </row>
    <row r="817" spans="1:15" x14ac:dyDescent="0.25">
      <c r="A817" t="s">
        <v>2811</v>
      </c>
      <c r="B817" t="s">
        <v>2812</v>
      </c>
      <c r="C817" s="2">
        <v>2499.3242560000008</v>
      </c>
      <c r="D817" s="2">
        <v>2424.3445283200008</v>
      </c>
      <c r="E817" s="2">
        <v>2351.6141924704007</v>
      </c>
      <c r="F817" s="2">
        <v>2281.0657666962884</v>
      </c>
      <c r="G817" s="2">
        <v>2212.6337936953996</v>
      </c>
      <c r="H817" s="2">
        <v>2146.2547798845376</v>
      </c>
      <c r="I817" s="2">
        <v>2081.8671364880015</v>
      </c>
      <c r="J817" s="2">
        <v>2019.4111223933614</v>
      </c>
      <c r="K817" s="2">
        <v>1958.8287887215606</v>
      </c>
      <c r="L817" s="2">
        <v>1900.0639250599138</v>
      </c>
      <c r="M817" s="2">
        <v>1843.0620073081163</v>
      </c>
      <c r="N817" s="2">
        <v>1787.7701470888728</v>
      </c>
      <c r="O817" s="2">
        <v>1734.1370426762066</v>
      </c>
    </row>
    <row r="818" spans="1:15" x14ac:dyDescent="0.25">
      <c r="A818" t="s">
        <v>2813</v>
      </c>
      <c r="B818" t="s">
        <v>2814</v>
      </c>
      <c r="C818" s="2">
        <v>2498.5799299999999</v>
      </c>
      <c r="D818" s="2">
        <v>2423.6225320999997</v>
      </c>
      <c r="E818" s="2">
        <v>2350.9138561369996</v>
      </c>
      <c r="F818" s="2">
        <v>2280.3864404528895</v>
      </c>
      <c r="G818" s="2">
        <v>2211.9748472393026</v>
      </c>
      <c r="H818" s="2">
        <v>2145.6156018221236</v>
      </c>
      <c r="I818" s="2">
        <v>2081.2471337674597</v>
      </c>
      <c r="J818" s="2">
        <v>2018.8097197544357</v>
      </c>
      <c r="K818" s="2">
        <v>1958.2454281618027</v>
      </c>
      <c r="L818" s="2">
        <v>1899.4980653169487</v>
      </c>
      <c r="M818" s="2">
        <v>1842.5131233574402</v>
      </c>
      <c r="N818" s="2">
        <v>1787.237729656717</v>
      </c>
      <c r="O818" s="2">
        <v>1733.6205977670154</v>
      </c>
    </row>
    <row r="819" spans="1:15" x14ac:dyDescent="0.25">
      <c r="A819" t="s">
        <v>2815</v>
      </c>
      <c r="B819" t="s">
        <v>2816</v>
      </c>
      <c r="C819" s="2">
        <v>2491.7929520000002</v>
      </c>
      <c r="D819" s="2">
        <v>2417.0391634400003</v>
      </c>
      <c r="E819" s="2">
        <v>2344.5279885368</v>
      </c>
      <c r="F819" s="2">
        <v>2274.1921488806961</v>
      </c>
      <c r="G819" s="2">
        <v>2205.9663844142751</v>
      </c>
      <c r="H819" s="2">
        <v>2139.7873928818467</v>
      </c>
      <c r="I819" s="2">
        <v>2075.5937710953913</v>
      </c>
      <c r="J819" s="2">
        <v>2013.3259579625294</v>
      </c>
      <c r="K819" s="2">
        <v>1952.9261792236534</v>
      </c>
      <c r="L819" s="2">
        <v>1894.3383938469437</v>
      </c>
      <c r="M819" s="2">
        <v>1837.5082420315355</v>
      </c>
      <c r="N819" s="2">
        <v>1782.3829947705894</v>
      </c>
      <c r="O819" s="2">
        <v>1728.9115049274717</v>
      </c>
    </row>
    <row r="820" spans="1:15" x14ac:dyDescent="0.25">
      <c r="A820" t="s">
        <v>2817</v>
      </c>
      <c r="B820" t="s">
        <v>2818</v>
      </c>
      <c r="C820" s="2">
        <v>2489.177944</v>
      </c>
      <c r="D820" s="2">
        <v>2414.5026056799998</v>
      </c>
      <c r="E820" s="2">
        <v>2342.0675275095996</v>
      </c>
      <c r="F820" s="2">
        <v>2271.8055016843114</v>
      </c>
      <c r="G820" s="2">
        <v>2203.6513366337817</v>
      </c>
      <c r="H820" s="2">
        <v>2137.5417965347683</v>
      </c>
      <c r="I820" s="2">
        <v>2073.4155426387251</v>
      </c>
      <c r="J820" s="2">
        <v>2011.2130763595633</v>
      </c>
      <c r="K820" s="2">
        <v>1950.8766840687763</v>
      </c>
      <c r="L820" s="2">
        <v>1892.3503835467129</v>
      </c>
      <c r="M820" s="2">
        <v>1835.5798720403116</v>
      </c>
      <c r="N820" s="2">
        <v>1780.5124758791021</v>
      </c>
      <c r="O820" s="2">
        <v>1727.097101602729</v>
      </c>
    </row>
    <row r="821" spans="1:15" x14ac:dyDescent="0.25">
      <c r="A821" t="s">
        <v>2819</v>
      </c>
      <c r="B821" t="s">
        <v>2820</v>
      </c>
      <c r="C821" s="2">
        <v>2488.747844</v>
      </c>
      <c r="D821" s="2">
        <v>2414.08540868</v>
      </c>
      <c r="E821" s="2">
        <v>2341.6628464196001</v>
      </c>
      <c r="F821" s="2">
        <v>2271.412961027012</v>
      </c>
      <c r="G821" s="2">
        <v>2203.2705721962016</v>
      </c>
      <c r="H821" s="2">
        <v>2137.1724550303156</v>
      </c>
      <c r="I821" s="2">
        <v>2073.057281379406</v>
      </c>
      <c r="J821" s="2">
        <v>2010.8655629380239</v>
      </c>
      <c r="K821" s="2">
        <v>1950.5395960498831</v>
      </c>
      <c r="L821" s="2">
        <v>1892.0234081683866</v>
      </c>
      <c r="M821" s="2">
        <v>1835.262705923335</v>
      </c>
      <c r="N821" s="2">
        <v>1780.2048247456348</v>
      </c>
      <c r="O821" s="2">
        <v>1726.7986800032656</v>
      </c>
    </row>
    <row r="822" spans="1:15" x14ac:dyDescent="0.25">
      <c r="A822" t="s">
        <v>2821</v>
      </c>
      <c r="B822" t="s">
        <v>2820</v>
      </c>
      <c r="C822" s="2">
        <v>2488.747844</v>
      </c>
      <c r="D822" s="2">
        <v>2414.08540868</v>
      </c>
      <c r="E822" s="2">
        <v>2341.6628464196001</v>
      </c>
      <c r="F822" s="2">
        <v>2271.412961027012</v>
      </c>
      <c r="G822" s="2">
        <v>2203.2705721962016</v>
      </c>
      <c r="H822" s="2">
        <v>2137.1724550303156</v>
      </c>
      <c r="I822" s="2">
        <v>2073.057281379406</v>
      </c>
      <c r="J822" s="2">
        <v>2010.8655629380239</v>
      </c>
      <c r="K822" s="2">
        <v>1950.5395960498831</v>
      </c>
      <c r="L822" s="2">
        <v>1892.0234081683866</v>
      </c>
      <c r="M822" s="2">
        <v>1835.262705923335</v>
      </c>
      <c r="N822" s="2">
        <v>1780.2048247456348</v>
      </c>
      <c r="O822" s="2">
        <v>1726.7986800032656</v>
      </c>
    </row>
    <row r="823" spans="1:15" x14ac:dyDescent="0.25">
      <c r="A823" t="s">
        <v>2822</v>
      </c>
      <c r="B823" t="s">
        <v>2820</v>
      </c>
      <c r="C823" s="2">
        <v>2488.747844</v>
      </c>
      <c r="D823" s="2">
        <v>2414.08540868</v>
      </c>
      <c r="E823" s="2">
        <v>2341.6628464196001</v>
      </c>
      <c r="F823" s="2">
        <v>2271.412961027012</v>
      </c>
      <c r="G823" s="2">
        <v>2203.2705721962016</v>
      </c>
      <c r="H823" s="2">
        <v>2137.1724550303156</v>
      </c>
      <c r="I823" s="2">
        <v>2073.057281379406</v>
      </c>
      <c r="J823" s="2">
        <v>2010.8655629380239</v>
      </c>
      <c r="K823" s="2">
        <v>1950.5395960498831</v>
      </c>
      <c r="L823" s="2">
        <v>1892.0234081683866</v>
      </c>
      <c r="M823" s="2">
        <v>1835.262705923335</v>
      </c>
      <c r="N823" s="2">
        <v>1780.2048247456348</v>
      </c>
      <c r="O823" s="2">
        <v>1726.7986800032656</v>
      </c>
    </row>
    <row r="824" spans="1:15" x14ac:dyDescent="0.25">
      <c r="A824" t="s">
        <v>2823</v>
      </c>
      <c r="B824" t="s">
        <v>2820</v>
      </c>
      <c r="C824" s="2">
        <v>2488.747844</v>
      </c>
      <c r="D824" s="2">
        <v>2414.08540868</v>
      </c>
      <c r="E824" s="2">
        <v>2341.6628464196001</v>
      </c>
      <c r="F824" s="2">
        <v>2271.412961027012</v>
      </c>
      <c r="G824" s="2">
        <v>2203.2705721962016</v>
      </c>
      <c r="H824" s="2">
        <v>2137.1724550303156</v>
      </c>
      <c r="I824" s="2">
        <v>2073.057281379406</v>
      </c>
      <c r="J824" s="2">
        <v>2010.8655629380239</v>
      </c>
      <c r="K824" s="2">
        <v>1950.5395960498831</v>
      </c>
      <c r="L824" s="2">
        <v>1892.0234081683866</v>
      </c>
      <c r="M824" s="2">
        <v>1835.262705923335</v>
      </c>
      <c r="N824" s="2">
        <v>1780.2048247456348</v>
      </c>
      <c r="O824" s="2">
        <v>1726.7986800032656</v>
      </c>
    </row>
    <row r="825" spans="1:15" x14ac:dyDescent="0.25">
      <c r="A825" t="s">
        <v>2824</v>
      </c>
      <c r="B825" t="s">
        <v>2820</v>
      </c>
      <c r="C825" s="2">
        <v>2488.747844</v>
      </c>
      <c r="D825" s="2">
        <v>2414.08540868</v>
      </c>
      <c r="E825" s="2">
        <v>2341.6628464196001</v>
      </c>
      <c r="F825" s="2">
        <v>2271.412961027012</v>
      </c>
      <c r="G825" s="2">
        <v>2203.2705721962016</v>
      </c>
      <c r="H825" s="2">
        <v>2137.1724550303156</v>
      </c>
      <c r="I825" s="2">
        <v>2073.057281379406</v>
      </c>
      <c r="J825" s="2">
        <v>2010.8655629380239</v>
      </c>
      <c r="K825" s="2">
        <v>1950.5395960498831</v>
      </c>
      <c r="L825" s="2">
        <v>1892.0234081683866</v>
      </c>
      <c r="M825" s="2">
        <v>1835.262705923335</v>
      </c>
      <c r="N825" s="2">
        <v>1780.2048247456348</v>
      </c>
      <c r="O825" s="2">
        <v>1726.7986800032656</v>
      </c>
    </row>
    <row r="826" spans="1:15" x14ac:dyDescent="0.25">
      <c r="A826" t="s">
        <v>2825</v>
      </c>
      <c r="B826" t="s">
        <v>2826</v>
      </c>
      <c r="C826" s="2">
        <v>2487.1073919999999</v>
      </c>
      <c r="D826" s="2">
        <v>2412.4941702399997</v>
      </c>
      <c r="E826" s="2">
        <v>2340.1193451327995</v>
      </c>
      <c r="F826" s="2">
        <v>2269.9157647788156</v>
      </c>
      <c r="G826" s="2">
        <v>2201.818291835451</v>
      </c>
      <c r="H826" s="2">
        <v>2135.7637430803875</v>
      </c>
      <c r="I826" s="2">
        <v>2071.6908307879758</v>
      </c>
      <c r="J826" s="2">
        <v>2009.5401058643365</v>
      </c>
      <c r="K826" s="2">
        <v>1949.2539026884065</v>
      </c>
      <c r="L826" s="2">
        <v>1890.7762856077543</v>
      </c>
      <c r="M826" s="2">
        <v>1834.0529970395216</v>
      </c>
      <c r="N826" s="2">
        <v>1779.031407128336</v>
      </c>
      <c r="O826" s="2">
        <v>1725.6604649144858</v>
      </c>
    </row>
    <row r="827" spans="1:15" x14ac:dyDescent="0.25">
      <c r="A827" t="s">
        <v>2827</v>
      </c>
      <c r="B827" t="s">
        <v>2828</v>
      </c>
      <c r="C827" s="2">
        <v>2485.3672580000002</v>
      </c>
      <c r="D827" s="2">
        <v>2410.8062402600003</v>
      </c>
      <c r="E827" s="2">
        <v>2338.4820530522002</v>
      </c>
      <c r="F827" s="2">
        <v>2268.3275914606343</v>
      </c>
      <c r="G827" s="2">
        <v>2200.2777637168151</v>
      </c>
      <c r="H827" s="2">
        <v>2134.2694308053105</v>
      </c>
      <c r="I827" s="2">
        <v>2070.2413478811513</v>
      </c>
      <c r="J827" s="2">
        <v>2008.1341074447168</v>
      </c>
      <c r="K827" s="2">
        <v>1947.8900842213752</v>
      </c>
      <c r="L827" s="2">
        <v>1889.4533816947339</v>
      </c>
      <c r="M827" s="2">
        <v>1832.7697802438918</v>
      </c>
      <c r="N827" s="2">
        <v>1777.786686836575</v>
      </c>
      <c r="O827" s="2">
        <v>1724.4530862314778</v>
      </c>
    </row>
    <row r="828" spans="1:15" x14ac:dyDescent="0.25">
      <c r="A828" t="s">
        <v>2829</v>
      </c>
      <c r="B828" t="s">
        <v>2830</v>
      </c>
      <c r="C828" s="2">
        <v>2485.3672580000002</v>
      </c>
      <c r="D828" s="2">
        <v>2410.8062402600003</v>
      </c>
      <c r="E828" s="2">
        <v>2338.4820530522002</v>
      </c>
      <c r="F828" s="2">
        <v>2268.3275914606343</v>
      </c>
      <c r="G828" s="2">
        <v>2200.2777637168151</v>
      </c>
      <c r="H828" s="2">
        <v>2134.2694308053105</v>
      </c>
      <c r="I828" s="2">
        <v>2070.2413478811513</v>
      </c>
      <c r="J828" s="2">
        <v>2008.1341074447168</v>
      </c>
      <c r="K828" s="2">
        <v>1947.8900842213752</v>
      </c>
      <c r="L828" s="2">
        <v>1889.4533816947339</v>
      </c>
      <c r="M828" s="2">
        <v>1832.7697802438918</v>
      </c>
      <c r="N828" s="2">
        <v>1777.786686836575</v>
      </c>
      <c r="O828" s="2">
        <v>1724.4530862314778</v>
      </c>
    </row>
    <row r="829" spans="1:15" x14ac:dyDescent="0.25">
      <c r="A829" t="s">
        <v>2831</v>
      </c>
      <c r="B829" t="s">
        <v>2832</v>
      </c>
      <c r="C829" s="2">
        <v>2485.3672580000002</v>
      </c>
      <c r="D829" s="2">
        <v>2410.8062402600003</v>
      </c>
      <c r="E829" s="2">
        <v>2338.4820530522002</v>
      </c>
      <c r="F829" s="2">
        <v>2268.3275914606343</v>
      </c>
      <c r="G829" s="2">
        <v>2200.2777637168151</v>
      </c>
      <c r="H829" s="2">
        <v>2134.2694308053105</v>
      </c>
      <c r="I829" s="2">
        <v>2070.2413478811513</v>
      </c>
      <c r="J829" s="2">
        <v>2008.1341074447168</v>
      </c>
      <c r="K829" s="2">
        <v>1947.8900842213752</v>
      </c>
      <c r="L829" s="2">
        <v>1889.4533816947339</v>
      </c>
      <c r="M829" s="2">
        <v>1832.7697802438918</v>
      </c>
      <c r="N829" s="2">
        <v>1777.786686836575</v>
      </c>
      <c r="O829" s="2">
        <v>1724.4530862314778</v>
      </c>
    </row>
    <row r="830" spans="1:15" x14ac:dyDescent="0.25">
      <c r="A830" t="s">
        <v>2833</v>
      </c>
      <c r="B830" t="s">
        <v>2834</v>
      </c>
      <c r="C830" s="2">
        <v>2485.3672580000002</v>
      </c>
      <c r="D830" s="2">
        <v>2410.8062402600003</v>
      </c>
      <c r="E830" s="2">
        <v>2338.4820530522002</v>
      </c>
      <c r="F830" s="2">
        <v>2268.3275914606343</v>
      </c>
      <c r="G830" s="2">
        <v>2200.2777637168151</v>
      </c>
      <c r="H830" s="2">
        <v>2134.2694308053105</v>
      </c>
      <c r="I830" s="2">
        <v>2070.2413478811513</v>
      </c>
      <c r="J830" s="2">
        <v>2008.1341074447168</v>
      </c>
      <c r="K830" s="2">
        <v>1947.8900842213752</v>
      </c>
      <c r="L830" s="2">
        <v>1889.4533816947339</v>
      </c>
      <c r="M830" s="2">
        <v>1832.7697802438918</v>
      </c>
      <c r="N830" s="2">
        <v>1777.786686836575</v>
      </c>
      <c r="O830" s="2">
        <v>1724.4530862314778</v>
      </c>
    </row>
    <row r="831" spans="1:15" x14ac:dyDescent="0.25">
      <c r="A831" t="s">
        <v>2835</v>
      </c>
      <c r="B831" t="s">
        <v>2836</v>
      </c>
      <c r="C831" s="2">
        <v>2485.0348160000003</v>
      </c>
      <c r="D831" s="2">
        <v>2410.4837715200001</v>
      </c>
      <c r="E831" s="2">
        <v>2338.1692583744002</v>
      </c>
      <c r="F831" s="2">
        <v>2268.0241806231679</v>
      </c>
      <c r="G831" s="2">
        <v>2199.9834552044726</v>
      </c>
      <c r="H831" s="2">
        <v>2133.9839515483386</v>
      </c>
      <c r="I831" s="2">
        <v>2069.9644330018882</v>
      </c>
      <c r="J831" s="2">
        <v>2007.8655000118315</v>
      </c>
      <c r="K831" s="2">
        <v>1947.6295350114765</v>
      </c>
      <c r="L831" s="2">
        <v>1889.2006489611322</v>
      </c>
      <c r="M831" s="2">
        <v>1832.5246294922981</v>
      </c>
      <c r="N831" s="2">
        <v>1777.5488906075291</v>
      </c>
      <c r="O831" s="2">
        <v>1724.2224238893032</v>
      </c>
    </row>
    <row r="832" spans="1:15" x14ac:dyDescent="0.25">
      <c r="A832" t="s">
        <v>2837</v>
      </c>
      <c r="B832" t="s">
        <v>2838</v>
      </c>
      <c r="C832" s="2">
        <v>2481.5535360000003</v>
      </c>
      <c r="D832" s="2">
        <v>2407.1069299200003</v>
      </c>
      <c r="E832" s="2">
        <v>2334.8937220224002</v>
      </c>
      <c r="F832" s="2">
        <v>2264.8469103617281</v>
      </c>
      <c r="G832" s="2">
        <v>2196.9015030508763</v>
      </c>
      <c r="H832" s="2">
        <v>2130.9944579593498</v>
      </c>
      <c r="I832" s="2">
        <v>2067.0646242205694</v>
      </c>
      <c r="J832" s="2">
        <v>2005.0526854939521</v>
      </c>
      <c r="K832" s="2">
        <v>1944.9011049291335</v>
      </c>
      <c r="L832" s="2">
        <v>1886.5540717812594</v>
      </c>
      <c r="M832" s="2">
        <v>1829.9574496278215</v>
      </c>
      <c r="N832" s="2">
        <v>1775.0587261389867</v>
      </c>
      <c r="O832" s="2">
        <v>1721.806964354817</v>
      </c>
    </row>
    <row r="833" spans="1:15" x14ac:dyDescent="0.25">
      <c r="A833" t="s">
        <v>2839</v>
      </c>
      <c r="B833" t="s">
        <v>2814</v>
      </c>
      <c r="C833" s="2">
        <v>2477.6684680000003</v>
      </c>
      <c r="D833" s="2">
        <v>2403.3384139600003</v>
      </c>
      <c r="E833" s="2">
        <v>2331.2382615412002</v>
      </c>
      <c r="F833" s="2">
        <v>2261.301113694964</v>
      </c>
      <c r="G833" s="2">
        <v>2193.462080284115</v>
      </c>
      <c r="H833" s="2">
        <v>2127.6582178755916</v>
      </c>
      <c r="I833" s="2">
        <v>2063.8284713393236</v>
      </c>
      <c r="J833" s="2">
        <v>2001.9136171991438</v>
      </c>
      <c r="K833" s="2">
        <v>1941.8562086831694</v>
      </c>
      <c r="L833" s="2">
        <v>1883.6005224226742</v>
      </c>
      <c r="M833" s="2">
        <v>1827.0925067499938</v>
      </c>
      <c r="N833" s="2">
        <v>1772.2797315474941</v>
      </c>
      <c r="O833" s="2">
        <v>1719.1113396010692</v>
      </c>
    </row>
    <row r="834" spans="1:15" x14ac:dyDescent="0.25">
      <c r="A834" t="s">
        <v>2840</v>
      </c>
      <c r="B834" t="s">
        <v>2841</v>
      </c>
      <c r="C834" s="2">
        <v>2474.1158420000002</v>
      </c>
      <c r="D834" s="2">
        <v>2399.8923667399999</v>
      </c>
      <c r="E834" s="2">
        <v>2327.8955957377998</v>
      </c>
      <c r="F834" s="2">
        <v>2258.0587278656658</v>
      </c>
      <c r="G834" s="2">
        <v>2190.3169660296958</v>
      </c>
      <c r="H834" s="2">
        <v>2124.6074570488049</v>
      </c>
      <c r="I834" s="2">
        <v>2060.8692333373406</v>
      </c>
      <c r="J834" s="2">
        <v>1999.0431563372204</v>
      </c>
      <c r="K834" s="2">
        <v>1939.0718616471038</v>
      </c>
      <c r="L834" s="2">
        <v>1880.8997057976906</v>
      </c>
      <c r="M834" s="2">
        <v>1824.4727146237599</v>
      </c>
      <c r="N834" s="2">
        <v>1769.7385331850471</v>
      </c>
      <c r="O834" s="2">
        <v>1716.6463771894958</v>
      </c>
    </row>
    <row r="835" spans="1:15" x14ac:dyDescent="0.25">
      <c r="A835" t="s">
        <v>2842</v>
      </c>
      <c r="B835" t="s">
        <v>2843</v>
      </c>
      <c r="C835" s="2">
        <v>2469.6600060000005</v>
      </c>
      <c r="D835" s="2">
        <v>2395.5702058200004</v>
      </c>
      <c r="E835" s="2">
        <v>2323.7030996454005</v>
      </c>
      <c r="F835" s="2">
        <v>2253.9920066560385</v>
      </c>
      <c r="G835" s="2">
        <v>2186.3722464563571</v>
      </c>
      <c r="H835" s="2">
        <v>2120.7810790626663</v>
      </c>
      <c r="I835" s="2">
        <v>2057.1576466907864</v>
      </c>
      <c r="J835" s="2">
        <v>1995.4429172900627</v>
      </c>
      <c r="K835" s="2">
        <v>1935.5796297713607</v>
      </c>
      <c r="L835" s="2">
        <v>1877.5122408782199</v>
      </c>
      <c r="M835" s="2">
        <v>1821.1868736518734</v>
      </c>
      <c r="N835" s="2">
        <v>1766.5512674423171</v>
      </c>
      <c r="O835" s="2">
        <v>1713.5547294190476</v>
      </c>
    </row>
    <row r="836" spans="1:15" x14ac:dyDescent="0.25">
      <c r="A836" t="s">
        <v>2844</v>
      </c>
      <c r="B836" t="s">
        <v>2845</v>
      </c>
      <c r="C836" s="2">
        <v>2468.4213180000006</v>
      </c>
      <c r="D836" s="2">
        <v>2394.3686784600004</v>
      </c>
      <c r="E836" s="2">
        <v>2322.5376181062002</v>
      </c>
      <c r="F836" s="2">
        <v>2252.8614895630139</v>
      </c>
      <c r="G836" s="2">
        <v>2185.2756448761234</v>
      </c>
      <c r="H836" s="2">
        <v>2119.7173755298395</v>
      </c>
      <c r="I836" s="2">
        <v>2056.1258542639443</v>
      </c>
      <c r="J836" s="2">
        <v>1994.4420786360261</v>
      </c>
      <c r="K836" s="2">
        <v>1934.6088162769452</v>
      </c>
      <c r="L836" s="2">
        <v>1876.5705517886367</v>
      </c>
      <c r="M836" s="2">
        <v>1820.2734352349776</v>
      </c>
      <c r="N836" s="2">
        <v>1765.6652321779281</v>
      </c>
      <c r="O836" s="2">
        <v>1712.6952752125903</v>
      </c>
    </row>
    <row r="837" spans="1:15" x14ac:dyDescent="0.25">
      <c r="A837" t="s">
        <v>2846</v>
      </c>
      <c r="B837" t="s">
        <v>2847</v>
      </c>
      <c r="C837" s="2">
        <v>2466.0820800000001</v>
      </c>
      <c r="D837" s="2">
        <v>2392.0996175999999</v>
      </c>
      <c r="E837" s="2">
        <v>2320.3366290719996</v>
      </c>
      <c r="F837" s="2">
        <v>2250.7265301998395</v>
      </c>
      <c r="G837" s="2">
        <v>2183.2047342938445</v>
      </c>
      <c r="H837" s="2">
        <v>2117.708592265029</v>
      </c>
      <c r="I837" s="2">
        <v>2054.1773344970779</v>
      </c>
      <c r="J837" s="2">
        <v>1992.5520144621655</v>
      </c>
      <c r="K837" s="2">
        <v>1932.7754540283006</v>
      </c>
      <c r="L837" s="2">
        <v>1874.7921904074515</v>
      </c>
      <c r="M837" s="2">
        <v>1818.5484246952278</v>
      </c>
      <c r="N837" s="2">
        <v>1763.9919719543709</v>
      </c>
      <c r="O837" s="2">
        <v>1711.0722127957397</v>
      </c>
    </row>
    <row r="838" spans="1:15" x14ac:dyDescent="0.25">
      <c r="A838" t="s">
        <v>2848</v>
      </c>
      <c r="B838" t="s">
        <v>2849</v>
      </c>
      <c r="C838" s="2">
        <v>2465.066538</v>
      </c>
      <c r="D838" s="2">
        <v>2391.1145418599999</v>
      </c>
      <c r="E838" s="2">
        <v>2319.3811056042</v>
      </c>
      <c r="F838" s="2">
        <v>2249.7996724360742</v>
      </c>
      <c r="G838" s="2">
        <v>2182.3056822629919</v>
      </c>
      <c r="H838" s="2">
        <v>2116.8365117951021</v>
      </c>
      <c r="I838" s="2">
        <v>2053.3314164412491</v>
      </c>
      <c r="J838" s="2">
        <v>1991.7314739480116</v>
      </c>
      <c r="K838" s="2">
        <v>1931.9795297295711</v>
      </c>
      <c r="L838" s="2">
        <v>1874.0201438376839</v>
      </c>
      <c r="M838" s="2">
        <v>1817.7995395225535</v>
      </c>
      <c r="N838" s="2">
        <v>1763.2655533368768</v>
      </c>
      <c r="O838" s="2">
        <v>1710.3675867367704</v>
      </c>
    </row>
    <row r="839" spans="1:15" x14ac:dyDescent="0.25">
      <c r="A839" t="s">
        <v>2850</v>
      </c>
      <c r="B839" t="s">
        <v>2851</v>
      </c>
      <c r="C839" s="2">
        <v>2462.7465280000001</v>
      </c>
      <c r="D839" s="2">
        <v>2388.8641321600003</v>
      </c>
      <c r="E839" s="2">
        <v>2317.1982081952001</v>
      </c>
      <c r="F839" s="2">
        <v>2247.6822619493441</v>
      </c>
      <c r="G839" s="2">
        <v>2180.2517940908638</v>
      </c>
      <c r="H839" s="2">
        <v>2114.8442402681376</v>
      </c>
      <c r="I839" s="2">
        <v>2051.3989130600935</v>
      </c>
      <c r="J839" s="2">
        <v>1989.8569456682906</v>
      </c>
      <c r="K839" s="2">
        <v>1930.1612372982418</v>
      </c>
      <c r="L839" s="2">
        <v>1872.2564001792944</v>
      </c>
      <c r="M839" s="2">
        <v>1816.0887081739154</v>
      </c>
      <c r="N839" s="2">
        <v>1761.6060469286979</v>
      </c>
      <c r="O839" s="2">
        <v>1708.757865520837</v>
      </c>
    </row>
    <row r="840" spans="1:15" x14ac:dyDescent="0.25">
      <c r="A840" t="s">
        <v>2852</v>
      </c>
      <c r="B840" t="s">
        <v>2853</v>
      </c>
      <c r="C840" s="2">
        <v>2461.6211840000005</v>
      </c>
      <c r="D840" s="2">
        <v>2387.7725484800003</v>
      </c>
      <c r="E840" s="2">
        <v>2316.1393720256001</v>
      </c>
      <c r="F840" s="2">
        <v>2246.6551908648321</v>
      </c>
      <c r="G840" s="2">
        <v>2179.2555351388869</v>
      </c>
      <c r="H840" s="2">
        <v>2113.8778690847203</v>
      </c>
      <c r="I840" s="2">
        <v>2050.4615330121787</v>
      </c>
      <c r="J840" s="2">
        <v>1988.9476870218134</v>
      </c>
      <c r="K840" s="2">
        <v>1929.2792564111589</v>
      </c>
      <c r="L840" s="2">
        <v>1871.4008787188241</v>
      </c>
      <c r="M840" s="2">
        <v>1815.2588523572592</v>
      </c>
      <c r="N840" s="2">
        <v>1760.8010867865414</v>
      </c>
      <c r="O840" s="2">
        <v>1707.977054182945</v>
      </c>
    </row>
    <row r="841" spans="1:15" x14ac:dyDescent="0.25">
      <c r="A841" t="s">
        <v>2854</v>
      </c>
      <c r="B841" t="s">
        <v>2855</v>
      </c>
      <c r="C841" s="2">
        <v>2460.6982400000002</v>
      </c>
      <c r="D841" s="2">
        <v>2386.8772928000003</v>
      </c>
      <c r="E841" s="2">
        <v>2315.2709740160003</v>
      </c>
      <c r="F841" s="2">
        <v>2245.81284479552</v>
      </c>
      <c r="G841" s="2">
        <v>2178.4384594516546</v>
      </c>
      <c r="H841" s="2">
        <v>2113.0853056681049</v>
      </c>
      <c r="I841" s="2">
        <v>2049.6927464980618</v>
      </c>
      <c r="J841" s="2">
        <v>1988.2019641031197</v>
      </c>
      <c r="K841" s="2">
        <v>1928.555905180026</v>
      </c>
      <c r="L841" s="2">
        <v>1870.6992280246252</v>
      </c>
      <c r="M841" s="2">
        <v>1814.5782511838863</v>
      </c>
      <c r="N841" s="2">
        <v>1760.1409036483697</v>
      </c>
      <c r="O841" s="2">
        <v>1707.3366765389185</v>
      </c>
    </row>
    <row r="842" spans="1:15" x14ac:dyDescent="0.25">
      <c r="A842" t="s">
        <v>2856</v>
      </c>
      <c r="B842" t="s">
        <v>2857</v>
      </c>
      <c r="C842" s="2">
        <v>2456.8202560000004</v>
      </c>
      <c r="D842" s="2">
        <v>2383.1156483200002</v>
      </c>
      <c r="E842" s="2">
        <v>2311.6221788704001</v>
      </c>
      <c r="F842" s="2">
        <v>2242.2735135042881</v>
      </c>
      <c r="G842" s="2">
        <v>2175.0053080991593</v>
      </c>
      <c r="H842" s="2">
        <v>2109.7551488561844</v>
      </c>
      <c r="I842" s="2">
        <v>2046.4624943904987</v>
      </c>
      <c r="J842" s="2">
        <v>1985.0686195587837</v>
      </c>
      <c r="K842" s="2">
        <v>1925.5165609720202</v>
      </c>
      <c r="L842" s="2">
        <v>1867.7510641428596</v>
      </c>
      <c r="M842" s="2">
        <v>1811.7185322185737</v>
      </c>
      <c r="N842" s="2">
        <v>1757.3669762520165</v>
      </c>
      <c r="O842" s="2">
        <v>1704.645966964456</v>
      </c>
    </row>
    <row r="843" spans="1:15" x14ac:dyDescent="0.25">
      <c r="A843" t="s">
        <v>2858</v>
      </c>
      <c r="B843" t="s">
        <v>2859</v>
      </c>
      <c r="C843" s="2">
        <v>2456.3102080000003</v>
      </c>
      <c r="D843" s="2">
        <v>2382.6209017600004</v>
      </c>
      <c r="E843" s="2">
        <v>2311.1422747072002</v>
      </c>
      <c r="F843" s="2">
        <v>2241.8080064659839</v>
      </c>
      <c r="G843" s="2">
        <v>2174.5537662720044</v>
      </c>
      <c r="H843" s="2">
        <v>2109.3171532838442</v>
      </c>
      <c r="I843" s="2">
        <v>2046.0376386853288</v>
      </c>
      <c r="J843" s="2">
        <v>1984.6565095247688</v>
      </c>
      <c r="K843" s="2">
        <v>1925.1168142390256</v>
      </c>
      <c r="L843" s="2">
        <v>1867.3633098118548</v>
      </c>
      <c r="M843" s="2">
        <v>1811.342410517499</v>
      </c>
      <c r="N843" s="2">
        <v>1757.002138201974</v>
      </c>
      <c r="O843" s="2">
        <v>1704.2920740559148</v>
      </c>
    </row>
    <row r="844" spans="1:15" x14ac:dyDescent="0.25">
      <c r="A844" t="s">
        <v>2860</v>
      </c>
      <c r="B844" t="s">
        <v>2861</v>
      </c>
      <c r="C844" s="2">
        <v>2444.4819520000001</v>
      </c>
      <c r="D844" s="2">
        <v>2371.1474934399998</v>
      </c>
      <c r="E844" s="2">
        <v>2300.0130686367997</v>
      </c>
      <c r="F844" s="2">
        <v>2231.0126765776959</v>
      </c>
      <c r="G844" s="2">
        <v>2164.082296280365</v>
      </c>
      <c r="H844" s="2">
        <v>2099.159827391954</v>
      </c>
      <c r="I844" s="2">
        <v>2036.1850325701953</v>
      </c>
      <c r="J844" s="2">
        <v>1975.0994815930894</v>
      </c>
      <c r="K844" s="2">
        <v>1915.8464971452968</v>
      </c>
      <c r="L844" s="2">
        <v>1858.3711022309378</v>
      </c>
      <c r="M844" s="2">
        <v>1802.6199691640097</v>
      </c>
      <c r="N844" s="2">
        <v>1748.5413700890895</v>
      </c>
      <c r="O844" s="2">
        <v>1696.0851289864167</v>
      </c>
    </row>
    <row r="845" spans="1:15" x14ac:dyDescent="0.25">
      <c r="A845" t="s">
        <v>2862</v>
      </c>
      <c r="B845" t="s">
        <v>2863</v>
      </c>
      <c r="C845" s="2">
        <v>2444.3271159999999</v>
      </c>
      <c r="D845" s="2">
        <v>2370.9973025199997</v>
      </c>
      <c r="E845" s="2">
        <v>2299.8673834443998</v>
      </c>
      <c r="F845" s="2">
        <v>2230.8713619410678</v>
      </c>
      <c r="G845" s="2">
        <v>2163.9452210828358</v>
      </c>
      <c r="H845" s="2">
        <v>2099.0268644503508</v>
      </c>
      <c r="I845" s="2">
        <v>2036.0560585168403</v>
      </c>
      <c r="J845" s="2">
        <v>1974.974376761335</v>
      </c>
      <c r="K845" s="2">
        <v>1915.7251454584948</v>
      </c>
      <c r="L845" s="2">
        <v>1858.25339109474</v>
      </c>
      <c r="M845" s="2">
        <v>1802.5057893618978</v>
      </c>
      <c r="N845" s="2">
        <v>1748.4306156810408</v>
      </c>
      <c r="O845" s="2">
        <v>1695.9776972106094</v>
      </c>
    </row>
    <row r="846" spans="1:15" x14ac:dyDescent="0.25">
      <c r="A846" t="s">
        <v>2864</v>
      </c>
      <c r="B846" t="s">
        <v>2865</v>
      </c>
      <c r="C846" s="2">
        <v>2440.1344000000008</v>
      </c>
      <c r="D846" s="2">
        <v>2366.9303680000007</v>
      </c>
      <c r="E846" s="2">
        <v>2295.9224569600005</v>
      </c>
      <c r="F846" s="2">
        <v>2227.0447832512004</v>
      </c>
      <c r="G846" s="2">
        <v>2160.2334397536642</v>
      </c>
      <c r="H846" s="2">
        <v>2095.4264365610543</v>
      </c>
      <c r="I846" s="2">
        <v>2032.5636434642227</v>
      </c>
      <c r="J846" s="2">
        <v>1971.5867341602959</v>
      </c>
      <c r="K846" s="2">
        <v>1912.4391321354869</v>
      </c>
      <c r="L846" s="2">
        <v>1855.0659581714224</v>
      </c>
      <c r="M846" s="2">
        <v>1799.4139794262796</v>
      </c>
      <c r="N846" s="2">
        <v>1745.4315600434911</v>
      </c>
      <c r="O846" s="2">
        <v>1693.0686132421863</v>
      </c>
    </row>
    <row r="847" spans="1:15" x14ac:dyDescent="0.25">
      <c r="A847" t="s">
        <v>2866</v>
      </c>
      <c r="B847" t="s">
        <v>2867</v>
      </c>
      <c r="C847" s="2">
        <v>2435.9143600000007</v>
      </c>
      <c r="D847" s="2">
        <v>2362.8369292000007</v>
      </c>
      <c r="E847" s="2">
        <v>2291.9518213240008</v>
      </c>
      <c r="F847" s="2">
        <v>2223.1932666842808</v>
      </c>
      <c r="G847" s="2">
        <v>2156.4974686837522</v>
      </c>
      <c r="H847" s="2">
        <v>2091.8025446232396</v>
      </c>
      <c r="I847" s="2">
        <v>2029.0484682845424</v>
      </c>
      <c r="J847" s="2">
        <v>1968.177014236006</v>
      </c>
      <c r="K847" s="2">
        <v>1909.1317038089257</v>
      </c>
      <c r="L847" s="2">
        <v>1851.8577526946578</v>
      </c>
      <c r="M847" s="2">
        <v>1796.3020201138181</v>
      </c>
      <c r="N847" s="2">
        <v>1742.4129595104034</v>
      </c>
      <c r="O847" s="2">
        <v>1690.1405707250913</v>
      </c>
    </row>
    <row r="848" spans="1:15" x14ac:dyDescent="0.25">
      <c r="A848" t="s">
        <v>2868</v>
      </c>
      <c r="B848" t="s">
        <v>2869</v>
      </c>
      <c r="C848" s="2">
        <v>2433.7790400000004</v>
      </c>
      <c r="D848" s="2">
        <v>2360.7656688000002</v>
      </c>
      <c r="E848" s="2">
        <v>2289.9426987360002</v>
      </c>
      <c r="F848" s="2">
        <v>2221.2444177739203</v>
      </c>
      <c r="G848" s="2">
        <v>2154.6070852407024</v>
      </c>
      <c r="H848" s="2">
        <v>2089.9688726834811</v>
      </c>
      <c r="I848" s="2">
        <v>2027.2698065029765</v>
      </c>
      <c r="J848" s="2">
        <v>1966.4517123078872</v>
      </c>
      <c r="K848" s="2">
        <v>1907.4581609386505</v>
      </c>
      <c r="L848" s="2">
        <v>1850.2344161104909</v>
      </c>
      <c r="M848" s="2">
        <v>1794.7273836271761</v>
      </c>
      <c r="N848" s="2">
        <v>1740.8855621183607</v>
      </c>
      <c r="O848" s="2">
        <v>1688.6589952548097</v>
      </c>
    </row>
    <row r="849" spans="1:15" x14ac:dyDescent="0.25">
      <c r="A849" t="s">
        <v>2870</v>
      </c>
      <c r="B849" t="s">
        <v>2871</v>
      </c>
      <c r="C849" s="2">
        <v>2431.4929319999997</v>
      </c>
      <c r="D849" s="2">
        <v>2358.5481440399994</v>
      </c>
      <c r="E849" s="2">
        <v>2287.7916997187995</v>
      </c>
      <c r="F849" s="2">
        <v>2219.1579487272356</v>
      </c>
      <c r="G849" s="2">
        <v>2152.5832102654185</v>
      </c>
      <c r="H849" s="2">
        <v>2088.005713957456</v>
      </c>
      <c r="I849" s="2">
        <v>2025.3655425387324</v>
      </c>
      <c r="J849" s="2">
        <v>1964.6045762625704</v>
      </c>
      <c r="K849" s="2">
        <v>1905.6664389746932</v>
      </c>
      <c r="L849" s="2">
        <v>1848.4964458054524</v>
      </c>
      <c r="M849" s="2">
        <v>1793.0415524312887</v>
      </c>
      <c r="N849" s="2">
        <v>1739.25030585835</v>
      </c>
      <c r="O849" s="2">
        <v>1687.0727966825993</v>
      </c>
    </row>
    <row r="850" spans="1:15" x14ac:dyDescent="0.25">
      <c r="A850" t="s">
        <v>2872</v>
      </c>
      <c r="B850" t="s">
        <v>2873</v>
      </c>
      <c r="C850" s="2">
        <v>2430.4778960000003</v>
      </c>
      <c r="D850" s="2">
        <v>2357.5635591200003</v>
      </c>
      <c r="E850" s="2">
        <v>2286.8366523464001</v>
      </c>
      <c r="F850" s="2">
        <v>2218.2315527760079</v>
      </c>
      <c r="G850" s="2">
        <v>2151.6846061927276</v>
      </c>
      <c r="H850" s="2">
        <v>2087.1340680069457</v>
      </c>
      <c r="I850" s="2">
        <v>2024.5200459667371</v>
      </c>
      <c r="J850" s="2">
        <v>1963.7844445877349</v>
      </c>
      <c r="K850" s="2">
        <v>1904.8709112501028</v>
      </c>
      <c r="L850" s="2">
        <v>1847.7247839125996</v>
      </c>
      <c r="M850" s="2">
        <v>1792.2930403952216</v>
      </c>
      <c r="N850" s="2">
        <v>1738.5242491833649</v>
      </c>
      <c r="O850" s="2">
        <v>1686.3685217078639</v>
      </c>
    </row>
    <row r="851" spans="1:15" x14ac:dyDescent="0.25">
      <c r="A851" t="s">
        <v>2874</v>
      </c>
      <c r="B851" t="s">
        <v>2875</v>
      </c>
      <c r="C851" s="2">
        <v>2427.9742080000005</v>
      </c>
      <c r="D851" s="2">
        <v>2355.1349817600003</v>
      </c>
      <c r="E851" s="2">
        <v>2284.4809323072004</v>
      </c>
      <c r="F851" s="2">
        <v>2215.9465043379842</v>
      </c>
      <c r="G851" s="2">
        <v>2149.4681092078445</v>
      </c>
      <c r="H851" s="2">
        <v>2084.9840659316092</v>
      </c>
      <c r="I851" s="2">
        <v>2022.4345439536608</v>
      </c>
      <c r="J851" s="2">
        <v>1961.761507635051</v>
      </c>
      <c r="K851" s="2">
        <v>1902.9086624059994</v>
      </c>
      <c r="L851" s="2">
        <v>1845.8214025338193</v>
      </c>
      <c r="M851" s="2">
        <v>1790.4467604578047</v>
      </c>
      <c r="N851" s="2">
        <v>1736.7333576440706</v>
      </c>
      <c r="O851" s="2">
        <v>1684.6313569147485</v>
      </c>
    </row>
    <row r="852" spans="1:15" x14ac:dyDescent="0.25">
      <c r="A852" t="s">
        <v>2876</v>
      </c>
      <c r="B852" t="s">
        <v>2877</v>
      </c>
      <c r="C852" s="2">
        <v>2427.6746560000006</v>
      </c>
      <c r="D852" s="2">
        <v>2354.8444163200006</v>
      </c>
      <c r="E852" s="2">
        <v>2284.1990838304005</v>
      </c>
      <c r="F852" s="2">
        <v>2215.6731113154883</v>
      </c>
      <c r="G852" s="2">
        <v>2149.2029179760234</v>
      </c>
      <c r="H852" s="2">
        <v>2084.7268304367426</v>
      </c>
      <c r="I852" s="2">
        <v>2022.1850255236402</v>
      </c>
      <c r="J852" s="2">
        <v>1961.519474757931</v>
      </c>
      <c r="K852" s="2">
        <v>1902.6738905151931</v>
      </c>
      <c r="L852" s="2">
        <v>1845.5936737997372</v>
      </c>
      <c r="M852" s="2">
        <v>1790.2258635857449</v>
      </c>
      <c r="N852" s="2">
        <v>1736.5190876781726</v>
      </c>
      <c r="O852" s="2">
        <v>1684.4235150478273</v>
      </c>
    </row>
    <row r="853" spans="1:15" x14ac:dyDescent="0.25">
      <c r="A853" t="s">
        <v>2878</v>
      </c>
      <c r="B853" t="s">
        <v>2879</v>
      </c>
      <c r="C853" s="2">
        <v>2427.2374720000003</v>
      </c>
      <c r="D853" s="2">
        <v>2354.42034784</v>
      </c>
      <c r="E853" s="2">
        <v>2283.7877374047998</v>
      </c>
      <c r="F853" s="2">
        <v>2215.2741052826559</v>
      </c>
      <c r="G853" s="2">
        <v>2148.8158821241764</v>
      </c>
      <c r="H853" s="2">
        <v>2084.3514056604508</v>
      </c>
      <c r="I853" s="2">
        <v>2021.8208634906373</v>
      </c>
      <c r="J853" s="2">
        <v>1961.1662375859182</v>
      </c>
      <c r="K853" s="2">
        <v>1902.3312504583407</v>
      </c>
      <c r="L853" s="2">
        <v>1845.2613129445904</v>
      </c>
      <c r="M853" s="2">
        <v>1789.9034735562527</v>
      </c>
      <c r="N853" s="2">
        <v>1736.2063693495652</v>
      </c>
      <c r="O853" s="2">
        <v>1684.1201782690782</v>
      </c>
    </row>
    <row r="854" spans="1:15" x14ac:dyDescent="0.25">
      <c r="A854" t="s">
        <v>2880</v>
      </c>
      <c r="B854" t="s">
        <v>2881</v>
      </c>
      <c r="C854" s="2">
        <v>2427.2177380000003</v>
      </c>
      <c r="D854" s="2">
        <v>2354.4012058600001</v>
      </c>
      <c r="E854" s="2">
        <v>2283.7691696842003</v>
      </c>
      <c r="F854" s="2">
        <v>2215.2560945936743</v>
      </c>
      <c r="G854" s="2">
        <v>2148.798411755864</v>
      </c>
      <c r="H854" s="2">
        <v>2084.3344594031878</v>
      </c>
      <c r="I854" s="2">
        <v>2021.8044256210922</v>
      </c>
      <c r="J854" s="2">
        <v>1961.1502928524594</v>
      </c>
      <c r="K854" s="2">
        <v>1902.3157840668855</v>
      </c>
      <c r="L854" s="2">
        <v>1845.246310544879</v>
      </c>
      <c r="M854" s="2">
        <v>1789.8889212285326</v>
      </c>
      <c r="N854" s="2">
        <v>1736.1922535916765</v>
      </c>
      <c r="O854" s="2">
        <v>1684.1064859839262</v>
      </c>
    </row>
    <row r="855" spans="1:15" x14ac:dyDescent="0.25">
      <c r="A855" t="s">
        <v>2882</v>
      </c>
      <c r="B855" t="s">
        <v>2883</v>
      </c>
      <c r="C855" s="2">
        <v>2424.7919740000002</v>
      </c>
      <c r="D855" s="2">
        <v>2352.0482147800003</v>
      </c>
      <c r="E855" s="2">
        <v>2281.4867683366001</v>
      </c>
      <c r="F855" s="2">
        <v>2213.042165286502</v>
      </c>
      <c r="G855" s="2">
        <v>2146.650900327907</v>
      </c>
      <c r="H855" s="2">
        <v>2082.2513733180699</v>
      </c>
      <c r="I855" s="2">
        <v>2019.7838321185277</v>
      </c>
      <c r="J855" s="2">
        <v>1959.1903171549718</v>
      </c>
      <c r="K855" s="2">
        <v>1900.4146076403226</v>
      </c>
      <c r="L855" s="2">
        <v>1843.4021694111129</v>
      </c>
      <c r="M855" s="2">
        <v>1788.1001043287795</v>
      </c>
      <c r="N855" s="2">
        <v>1734.457101198916</v>
      </c>
      <c r="O855" s="2">
        <v>1682.4233881629484</v>
      </c>
    </row>
    <row r="856" spans="1:15" x14ac:dyDescent="0.25">
      <c r="A856" t="s">
        <v>2884</v>
      </c>
      <c r="B856" t="s">
        <v>2885</v>
      </c>
      <c r="C856" s="2">
        <v>2421.100704</v>
      </c>
      <c r="D856" s="2">
        <v>2348.4676828799998</v>
      </c>
      <c r="E856" s="2">
        <v>2278.0136523935998</v>
      </c>
      <c r="F856" s="2">
        <v>2209.673242821792</v>
      </c>
      <c r="G856" s="2">
        <v>2143.3830455371381</v>
      </c>
      <c r="H856" s="2">
        <v>2079.081554171024</v>
      </c>
      <c r="I856" s="2">
        <v>2016.7091075458932</v>
      </c>
      <c r="J856" s="2">
        <v>1956.2078343195162</v>
      </c>
      <c r="K856" s="2">
        <v>1897.5215992899307</v>
      </c>
      <c r="L856" s="2">
        <v>1840.5959513112327</v>
      </c>
      <c r="M856" s="2">
        <v>1785.3780727718956</v>
      </c>
      <c r="N856" s="2">
        <v>1731.8167305887387</v>
      </c>
      <c r="O856" s="2">
        <v>1679.8622286710765</v>
      </c>
    </row>
    <row r="857" spans="1:15" x14ac:dyDescent="0.25">
      <c r="A857" t="s">
        <v>2886</v>
      </c>
      <c r="B857" t="s">
        <v>2887</v>
      </c>
      <c r="C857" s="2">
        <v>2420.202048000001</v>
      </c>
      <c r="D857" s="2">
        <v>2347.5959865600007</v>
      </c>
      <c r="E857" s="2">
        <v>2277.1681069632004</v>
      </c>
      <c r="F857" s="2">
        <v>2208.8530637543045</v>
      </c>
      <c r="G857" s="2">
        <v>2142.5874718416753</v>
      </c>
      <c r="H857" s="2">
        <v>2078.3098476864252</v>
      </c>
      <c r="I857" s="2">
        <v>2015.9605522558325</v>
      </c>
      <c r="J857" s="2">
        <v>1955.4817356881574</v>
      </c>
      <c r="K857" s="2">
        <v>1896.8172836175127</v>
      </c>
      <c r="L857" s="2">
        <v>1839.9127651089873</v>
      </c>
      <c r="M857" s="2">
        <v>1784.7153821557176</v>
      </c>
      <c r="N857" s="2">
        <v>1731.1739206910461</v>
      </c>
      <c r="O857" s="2">
        <v>1679.2387030703146</v>
      </c>
    </row>
    <row r="858" spans="1:15" x14ac:dyDescent="0.25">
      <c r="A858" t="s">
        <v>2888</v>
      </c>
      <c r="B858" t="s">
        <v>2889</v>
      </c>
      <c r="C858" s="2">
        <v>2416.2673920000007</v>
      </c>
      <c r="D858" s="2">
        <v>2343.7793702400004</v>
      </c>
      <c r="E858" s="2">
        <v>2273.4659891328001</v>
      </c>
      <c r="F858" s="2">
        <v>2205.262009458816</v>
      </c>
      <c r="G858" s="2">
        <v>2139.1041491750516</v>
      </c>
      <c r="H858" s="2">
        <v>2074.9310246997998</v>
      </c>
      <c r="I858" s="2">
        <v>2012.6830939588058</v>
      </c>
      <c r="J858" s="2">
        <v>1952.3026011400416</v>
      </c>
      <c r="K858" s="2">
        <v>1893.7335231058403</v>
      </c>
      <c r="L858" s="2">
        <v>1836.921517412665</v>
      </c>
      <c r="M858" s="2">
        <v>1781.8138718902851</v>
      </c>
      <c r="N858" s="2">
        <v>1728.3594557335764</v>
      </c>
      <c r="O858" s="2">
        <v>1676.5086720615691</v>
      </c>
    </row>
    <row r="859" spans="1:15" x14ac:dyDescent="0.25">
      <c r="A859" t="s">
        <v>2890</v>
      </c>
      <c r="B859" t="s">
        <v>2891</v>
      </c>
      <c r="C859" s="2">
        <v>2413.3933120000002</v>
      </c>
      <c r="D859" s="2">
        <v>2340.9915126400001</v>
      </c>
      <c r="E859" s="2">
        <v>2270.7617672607998</v>
      </c>
      <c r="F859" s="2">
        <v>2202.6389142429757</v>
      </c>
      <c r="G859" s="2">
        <v>2136.5597468156866</v>
      </c>
      <c r="H859" s="2">
        <v>2072.4629544112158</v>
      </c>
      <c r="I859" s="2">
        <v>2010.2890657788794</v>
      </c>
      <c r="J859" s="2">
        <v>1949.9803938055129</v>
      </c>
      <c r="K859" s="2">
        <v>1891.4809819913476</v>
      </c>
      <c r="L859" s="2">
        <v>1834.736552531607</v>
      </c>
      <c r="M859" s="2">
        <v>1779.6944559556587</v>
      </c>
      <c r="N859" s="2">
        <v>1726.3036222769888</v>
      </c>
      <c r="O859" s="2">
        <v>1674.5145136086792</v>
      </c>
    </row>
    <row r="860" spans="1:15" x14ac:dyDescent="0.25">
      <c r="A860" t="s">
        <v>2892</v>
      </c>
      <c r="B860" t="s">
        <v>2893</v>
      </c>
      <c r="C860" s="2">
        <v>2411.927936</v>
      </c>
      <c r="D860" s="2">
        <v>2339.5700979200001</v>
      </c>
      <c r="E860" s="2">
        <v>2269.3829949823999</v>
      </c>
      <c r="F860" s="2">
        <v>2201.301505132928</v>
      </c>
      <c r="G860" s="2">
        <v>2135.2624599789401</v>
      </c>
      <c r="H860" s="2">
        <v>2071.2045861795718</v>
      </c>
      <c r="I860" s="2">
        <v>2009.0684485941847</v>
      </c>
      <c r="J860" s="2">
        <v>1948.796395136359</v>
      </c>
      <c r="K860" s="2">
        <v>1890.3325032822681</v>
      </c>
      <c r="L860" s="2">
        <v>1833.6225281838001</v>
      </c>
      <c r="M860" s="2">
        <v>1778.6138523382861</v>
      </c>
      <c r="N860" s="2">
        <v>1725.2554367681373</v>
      </c>
      <c r="O860" s="2">
        <v>1673.4977736650931</v>
      </c>
    </row>
    <row r="861" spans="1:15" x14ac:dyDescent="0.25">
      <c r="A861" t="s">
        <v>2894</v>
      </c>
      <c r="B861" t="s">
        <v>2895</v>
      </c>
      <c r="C861" s="2">
        <v>2410.8223260000004</v>
      </c>
      <c r="D861" s="2">
        <v>2338.4976562200004</v>
      </c>
      <c r="E861" s="2">
        <v>2268.3427265334003</v>
      </c>
      <c r="F861" s="2">
        <v>2200.2924447373985</v>
      </c>
      <c r="G861" s="2">
        <v>2134.2836713952765</v>
      </c>
      <c r="H861" s="2">
        <v>2070.255161253418</v>
      </c>
      <c r="I861" s="2">
        <v>2008.1475064158153</v>
      </c>
      <c r="J861" s="2">
        <v>1947.9030812233409</v>
      </c>
      <c r="K861" s="2">
        <v>1889.4659887866405</v>
      </c>
      <c r="L861" s="2">
        <v>1832.7820091230412</v>
      </c>
      <c r="M861" s="2">
        <v>1777.79854884935</v>
      </c>
      <c r="N861" s="2">
        <v>1724.4645923838696</v>
      </c>
      <c r="O861" s="2">
        <v>1672.7306546123534</v>
      </c>
    </row>
    <row r="862" spans="1:15" x14ac:dyDescent="0.25">
      <c r="A862" t="s">
        <v>2896</v>
      </c>
      <c r="B862" t="s">
        <v>2895</v>
      </c>
      <c r="C862" s="2">
        <v>2410.8223260000004</v>
      </c>
      <c r="D862" s="2">
        <v>2338.4976562200004</v>
      </c>
      <c r="E862" s="2">
        <v>2268.3427265334003</v>
      </c>
      <c r="F862" s="2">
        <v>2200.2924447373985</v>
      </c>
      <c r="G862" s="2">
        <v>2134.2836713952765</v>
      </c>
      <c r="H862" s="2">
        <v>2070.255161253418</v>
      </c>
      <c r="I862" s="2">
        <v>2008.1475064158153</v>
      </c>
      <c r="J862" s="2">
        <v>1947.9030812233409</v>
      </c>
      <c r="K862" s="2">
        <v>1889.4659887866405</v>
      </c>
      <c r="L862" s="2">
        <v>1832.7820091230412</v>
      </c>
      <c r="M862" s="2">
        <v>1777.79854884935</v>
      </c>
      <c r="N862" s="2">
        <v>1724.4645923838696</v>
      </c>
      <c r="O862" s="2">
        <v>1672.7306546123534</v>
      </c>
    </row>
    <row r="863" spans="1:15" x14ac:dyDescent="0.25">
      <c r="A863" t="s">
        <v>2897</v>
      </c>
      <c r="B863" t="s">
        <v>2895</v>
      </c>
      <c r="C863" s="2">
        <v>2410.8223260000004</v>
      </c>
      <c r="D863" s="2">
        <v>2338.4976562200004</v>
      </c>
      <c r="E863" s="2">
        <v>2268.3427265334003</v>
      </c>
      <c r="F863" s="2">
        <v>2200.2924447373985</v>
      </c>
      <c r="G863" s="2">
        <v>2134.2836713952765</v>
      </c>
      <c r="H863" s="2">
        <v>2070.255161253418</v>
      </c>
      <c r="I863" s="2">
        <v>2008.1475064158153</v>
      </c>
      <c r="J863" s="2">
        <v>1947.9030812233409</v>
      </c>
      <c r="K863" s="2">
        <v>1889.4659887866405</v>
      </c>
      <c r="L863" s="2">
        <v>1832.7820091230412</v>
      </c>
      <c r="M863" s="2">
        <v>1777.79854884935</v>
      </c>
      <c r="N863" s="2">
        <v>1724.4645923838696</v>
      </c>
      <c r="O863" s="2">
        <v>1672.7306546123534</v>
      </c>
    </row>
    <row r="864" spans="1:15" x14ac:dyDescent="0.25">
      <c r="A864" t="s">
        <v>2898</v>
      </c>
      <c r="B864" t="s">
        <v>2895</v>
      </c>
      <c r="C864" s="2">
        <v>2410.8223260000004</v>
      </c>
      <c r="D864" s="2">
        <v>2338.4976562200004</v>
      </c>
      <c r="E864" s="2">
        <v>2268.3427265334003</v>
      </c>
      <c r="F864" s="2">
        <v>2200.2924447373985</v>
      </c>
      <c r="G864" s="2">
        <v>2134.2836713952765</v>
      </c>
      <c r="H864" s="2">
        <v>2070.255161253418</v>
      </c>
      <c r="I864" s="2">
        <v>2008.1475064158153</v>
      </c>
      <c r="J864" s="2">
        <v>1947.9030812233409</v>
      </c>
      <c r="K864" s="2">
        <v>1889.4659887866405</v>
      </c>
      <c r="L864" s="2">
        <v>1832.7820091230412</v>
      </c>
      <c r="M864" s="2">
        <v>1777.79854884935</v>
      </c>
      <c r="N864" s="2">
        <v>1724.4645923838696</v>
      </c>
      <c r="O864" s="2">
        <v>1672.7306546123534</v>
      </c>
    </row>
    <row r="865" spans="1:15" x14ac:dyDescent="0.25">
      <c r="A865" t="s">
        <v>2899</v>
      </c>
      <c r="B865" t="s">
        <v>2895</v>
      </c>
      <c r="C865" s="2">
        <v>2410.8223260000004</v>
      </c>
      <c r="D865" s="2">
        <v>2338.4976562200004</v>
      </c>
      <c r="E865" s="2">
        <v>2268.3427265334003</v>
      </c>
      <c r="F865" s="2">
        <v>2200.2924447373985</v>
      </c>
      <c r="G865" s="2">
        <v>2134.2836713952765</v>
      </c>
      <c r="H865" s="2">
        <v>2070.255161253418</v>
      </c>
      <c r="I865" s="2">
        <v>2008.1475064158153</v>
      </c>
      <c r="J865" s="2">
        <v>1947.9030812233409</v>
      </c>
      <c r="K865" s="2">
        <v>1889.4659887866405</v>
      </c>
      <c r="L865" s="2">
        <v>1832.7820091230412</v>
      </c>
      <c r="M865" s="2">
        <v>1777.79854884935</v>
      </c>
      <c r="N865" s="2">
        <v>1724.4645923838696</v>
      </c>
      <c r="O865" s="2">
        <v>1672.7306546123534</v>
      </c>
    </row>
    <row r="866" spans="1:15" x14ac:dyDescent="0.25">
      <c r="A866" t="s">
        <v>2900</v>
      </c>
      <c r="B866" t="s">
        <v>2901</v>
      </c>
      <c r="C866" s="2">
        <v>2410.6730560000005</v>
      </c>
      <c r="D866" s="2">
        <v>2338.3528643200007</v>
      </c>
      <c r="E866" s="2">
        <v>2268.2022783904008</v>
      </c>
      <c r="F866" s="2">
        <v>2200.1562100386886</v>
      </c>
      <c r="G866" s="2">
        <v>2134.1515237375279</v>
      </c>
      <c r="H866" s="2">
        <v>2070.126978025402</v>
      </c>
      <c r="I866" s="2">
        <v>2008.0231686846398</v>
      </c>
      <c r="J866" s="2">
        <v>1947.7824736241005</v>
      </c>
      <c r="K866" s="2">
        <v>1889.3489994153774</v>
      </c>
      <c r="L866" s="2">
        <v>1832.6685294329161</v>
      </c>
      <c r="M866" s="2">
        <v>1777.6884735499286</v>
      </c>
      <c r="N866" s="2">
        <v>1724.3578193434307</v>
      </c>
      <c r="O866" s="2">
        <v>1672.6270847631276</v>
      </c>
    </row>
    <row r="867" spans="1:15" x14ac:dyDescent="0.25">
      <c r="A867" t="s">
        <v>2902</v>
      </c>
      <c r="B867" t="s">
        <v>2903</v>
      </c>
      <c r="C867" s="2">
        <v>2409.685344</v>
      </c>
      <c r="D867" s="2">
        <v>2337.3947836799998</v>
      </c>
      <c r="E867" s="2">
        <v>2267.2729401695997</v>
      </c>
      <c r="F867" s="2">
        <v>2199.2547519645118</v>
      </c>
      <c r="G867" s="2">
        <v>2133.2771094055765</v>
      </c>
      <c r="H867" s="2">
        <v>2069.2787961234094</v>
      </c>
      <c r="I867" s="2">
        <v>2007.200432239707</v>
      </c>
      <c r="J867" s="2">
        <v>1946.9844192725157</v>
      </c>
      <c r="K867" s="2">
        <v>1888.5748866943402</v>
      </c>
      <c r="L867" s="2">
        <v>1831.91764009351</v>
      </c>
      <c r="M867" s="2">
        <v>1776.9601108907048</v>
      </c>
      <c r="N867" s="2">
        <v>1723.6513075639837</v>
      </c>
      <c r="O867" s="2">
        <v>1671.9417683370641</v>
      </c>
    </row>
    <row r="868" spans="1:15" x14ac:dyDescent="0.25">
      <c r="A868" t="s">
        <v>2904</v>
      </c>
      <c r="B868" t="s">
        <v>2905</v>
      </c>
      <c r="C868" s="2">
        <v>2409.4181760000006</v>
      </c>
      <c r="D868" s="2">
        <v>2337.1356307200003</v>
      </c>
      <c r="E868" s="2">
        <v>2267.0215617984004</v>
      </c>
      <c r="F868" s="2">
        <v>2199.0109149444484</v>
      </c>
      <c r="G868" s="2">
        <v>2133.0405874961148</v>
      </c>
      <c r="H868" s="2">
        <v>2069.0493698712312</v>
      </c>
      <c r="I868" s="2">
        <v>2006.9778887750942</v>
      </c>
      <c r="J868" s="2">
        <v>1946.7685521118415</v>
      </c>
      <c r="K868" s="2">
        <v>1888.3654955484863</v>
      </c>
      <c r="L868" s="2">
        <v>1831.7145306820316</v>
      </c>
      <c r="M868" s="2">
        <v>1776.7630947615705</v>
      </c>
      <c r="N868" s="2">
        <v>1723.4602019187234</v>
      </c>
      <c r="O868" s="2">
        <v>1671.7563958611618</v>
      </c>
    </row>
    <row r="869" spans="1:15" x14ac:dyDescent="0.25">
      <c r="A869" t="s">
        <v>2906</v>
      </c>
      <c r="B869" t="s">
        <v>2907</v>
      </c>
      <c r="C869" s="2">
        <v>2406.5198080000005</v>
      </c>
      <c r="D869" s="2">
        <v>2334.3242137600005</v>
      </c>
      <c r="E869" s="2">
        <v>2264.2944873472002</v>
      </c>
      <c r="F869" s="2">
        <v>2196.365652726784</v>
      </c>
      <c r="G869" s="2">
        <v>2130.4746831449802</v>
      </c>
      <c r="H869" s="2">
        <v>2066.5604426506306</v>
      </c>
      <c r="I869" s="2">
        <v>2004.5636293711116</v>
      </c>
      <c r="J869" s="2">
        <v>1944.4267204899782</v>
      </c>
      <c r="K869" s="2">
        <v>1886.0939188752789</v>
      </c>
      <c r="L869" s="2">
        <v>1829.5111013090204</v>
      </c>
      <c r="M869" s="2">
        <v>1774.6257682697499</v>
      </c>
      <c r="N869" s="2">
        <v>1721.3869952216573</v>
      </c>
      <c r="O869" s="2">
        <v>1669.7453853650077</v>
      </c>
    </row>
    <row r="870" spans="1:15" x14ac:dyDescent="0.25">
      <c r="A870" t="s">
        <v>2908</v>
      </c>
      <c r="B870" t="s">
        <v>2909</v>
      </c>
      <c r="C870" s="2">
        <v>2405.5240000000003</v>
      </c>
      <c r="D870" s="2">
        <v>2333.3582800000004</v>
      </c>
      <c r="E870" s="2">
        <v>2263.3575316000001</v>
      </c>
      <c r="F870" s="2">
        <v>2195.4568056520002</v>
      </c>
      <c r="G870" s="2">
        <v>2129.59310148244</v>
      </c>
      <c r="H870" s="2">
        <v>2065.7053084379668</v>
      </c>
      <c r="I870" s="2">
        <v>2003.7341491848276</v>
      </c>
      <c r="J870" s="2">
        <v>1943.6221247092828</v>
      </c>
      <c r="K870" s="2">
        <v>1885.3134609680044</v>
      </c>
      <c r="L870" s="2">
        <v>1828.7540571389643</v>
      </c>
      <c r="M870" s="2">
        <v>1773.8914354247954</v>
      </c>
      <c r="N870" s="2">
        <v>1720.6746923620515</v>
      </c>
      <c r="O870" s="2">
        <v>1669.0544515911899</v>
      </c>
    </row>
    <row r="871" spans="1:15" x14ac:dyDescent="0.25">
      <c r="A871" t="s">
        <v>2910</v>
      </c>
      <c r="B871" t="s">
        <v>2911</v>
      </c>
      <c r="C871" s="2">
        <v>2397.9380480000004</v>
      </c>
      <c r="D871" s="2">
        <v>2325.9999065600005</v>
      </c>
      <c r="E871" s="2">
        <v>2256.2199093632003</v>
      </c>
      <c r="F871" s="2">
        <v>2188.5333120823043</v>
      </c>
      <c r="G871" s="2">
        <v>2122.8773127198351</v>
      </c>
      <c r="H871" s="2">
        <v>2059.1909933382399</v>
      </c>
      <c r="I871" s="2">
        <v>1997.4152635380926</v>
      </c>
      <c r="J871" s="2">
        <v>1937.4928056319498</v>
      </c>
      <c r="K871" s="2">
        <v>1879.3680214629912</v>
      </c>
      <c r="L871" s="2">
        <v>1822.9869808191015</v>
      </c>
      <c r="M871" s="2">
        <v>1768.2973713945285</v>
      </c>
      <c r="N871" s="2">
        <v>1715.2484502526925</v>
      </c>
      <c r="O871" s="2">
        <v>1663.7909967451117</v>
      </c>
    </row>
    <row r="872" spans="1:15" x14ac:dyDescent="0.25">
      <c r="A872" t="s">
        <v>2912</v>
      </c>
      <c r="B872" t="s">
        <v>2911</v>
      </c>
      <c r="C872" s="2">
        <v>2397.9380480000004</v>
      </c>
      <c r="D872" s="2">
        <v>2325.9999065600005</v>
      </c>
      <c r="E872" s="2">
        <v>2256.2199093632003</v>
      </c>
      <c r="F872" s="2">
        <v>2188.5333120823043</v>
      </c>
      <c r="G872" s="2">
        <v>2122.8773127198351</v>
      </c>
      <c r="H872" s="2">
        <v>2059.1909933382399</v>
      </c>
      <c r="I872" s="2">
        <v>1997.4152635380926</v>
      </c>
      <c r="J872" s="2">
        <v>1937.4928056319498</v>
      </c>
      <c r="K872" s="2">
        <v>1879.3680214629912</v>
      </c>
      <c r="L872" s="2">
        <v>1822.9869808191015</v>
      </c>
      <c r="M872" s="2">
        <v>1768.2973713945285</v>
      </c>
      <c r="N872" s="2">
        <v>1715.2484502526925</v>
      </c>
      <c r="O872" s="2">
        <v>1663.7909967451117</v>
      </c>
    </row>
    <row r="873" spans="1:15" x14ac:dyDescent="0.25">
      <c r="A873" t="s">
        <v>2913</v>
      </c>
      <c r="B873" t="s">
        <v>2911</v>
      </c>
      <c r="C873" s="2">
        <v>2397.9380480000004</v>
      </c>
      <c r="D873" s="2">
        <v>2325.9999065600005</v>
      </c>
      <c r="E873" s="2">
        <v>2256.2199093632003</v>
      </c>
      <c r="F873" s="2">
        <v>2188.5333120823043</v>
      </c>
      <c r="G873" s="2">
        <v>2122.8773127198351</v>
      </c>
      <c r="H873" s="2">
        <v>2059.1909933382399</v>
      </c>
      <c r="I873" s="2">
        <v>1997.4152635380926</v>
      </c>
      <c r="J873" s="2">
        <v>1937.4928056319498</v>
      </c>
      <c r="K873" s="2">
        <v>1879.3680214629912</v>
      </c>
      <c r="L873" s="2">
        <v>1822.9869808191015</v>
      </c>
      <c r="M873" s="2">
        <v>1768.2973713945285</v>
      </c>
      <c r="N873" s="2">
        <v>1715.2484502526925</v>
      </c>
      <c r="O873" s="2">
        <v>1663.7909967451117</v>
      </c>
    </row>
    <row r="874" spans="1:15" x14ac:dyDescent="0.25">
      <c r="A874" t="s">
        <v>2914</v>
      </c>
      <c r="B874" t="s">
        <v>2915</v>
      </c>
      <c r="C874" s="2">
        <v>2395.9580699999997</v>
      </c>
      <c r="D874" s="2">
        <v>2324.0793278999995</v>
      </c>
      <c r="E874" s="2">
        <v>2254.3569480629994</v>
      </c>
      <c r="F874" s="2">
        <v>2186.7262396211095</v>
      </c>
      <c r="G874" s="2">
        <v>2121.1244524324761</v>
      </c>
      <c r="H874" s="2">
        <v>2057.4907188595016</v>
      </c>
      <c r="I874" s="2">
        <v>1995.7659972937165</v>
      </c>
      <c r="J874" s="2">
        <v>1935.893017374905</v>
      </c>
      <c r="K874" s="2">
        <v>1877.8162268536578</v>
      </c>
      <c r="L874" s="2">
        <v>1821.4817400480481</v>
      </c>
      <c r="M874" s="2">
        <v>1766.8372878466066</v>
      </c>
      <c r="N874" s="2">
        <v>1713.8321692112083</v>
      </c>
      <c r="O874" s="2">
        <v>1662.417204134872</v>
      </c>
    </row>
    <row r="875" spans="1:15" x14ac:dyDescent="0.25">
      <c r="A875" t="s">
        <v>2916</v>
      </c>
      <c r="B875" t="s">
        <v>2915</v>
      </c>
      <c r="C875" s="2">
        <v>2395.9580699999997</v>
      </c>
      <c r="D875" s="2">
        <v>2324.0793278999995</v>
      </c>
      <c r="E875" s="2">
        <v>2254.3569480629994</v>
      </c>
      <c r="F875" s="2">
        <v>2186.7262396211095</v>
      </c>
      <c r="G875" s="2">
        <v>2121.1244524324761</v>
      </c>
      <c r="H875" s="2">
        <v>2057.4907188595016</v>
      </c>
      <c r="I875" s="2">
        <v>1995.7659972937165</v>
      </c>
      <c r="J875" s="2">
        <v>1935.893017374905</v>
      </c>
      <c r="K875" s="2">
        <v>1877.8162268536578</v>
      </c>
      <c r="L875" s="2">
        <v>1821.4817400480481</v>
      </c>
      <c r="M875" s="2">
        <v>1766.8372878466066</v>
      </c>
      <c r="N875" s="2">
        <v>1713.8321692112083</v>
      </c>
      <c r="O875" s="2">
        <v>1662.417204134872</v>
      </c>
    </row>
    <row r="876" spans="1:15" x14ac:dyDescent="0.25">
      <c r="A876" t="s">
        <v>2917</v>
      </c>
      <c r="B876" t="s">
        <v>2918</v>
      </c>
      <c r="C876" s="2">
        <v>2395.9580699999997</v>
      </c>
      <c r="D876" s="2">
        <v>2324.0793278999995</v>
      </c>
      <c r="E876" s="2">
        <v>2254.3569480629994</v>
      </c>
      <c r="F876" s="2">
        <v>2186.7262396211095</v>
      </c>
      <c r="G876" s="2">
        <v>2121.1244524324761</v>
      </c>
      <c r="H876" s="2">
        <v>2057.4907188595016</v>
      </c>
      <c r="I876" s="2">
        <v>1995.7659972937165</v>
      </c>
      <c r="J876" s="2">
        <v>1935.893017374905</v>
      </c>
      <c r="K876" s="2">
        <v>1877.8162268536578</v>
      </c>
      <c r="L876" s="2">
        <v>1821.4817400480481</v>
      </c>
      <c r="M876" s="2">
        <v>1766.8372878466066</v>
      </c>
      <c r="N876" s="2">
        <v>1713.8321692112083</v>
      </c>
      <c r="O876" s="2">
        <v>1662.417204134872</v>
      </c>
    </row>
    <row r="877" spans="1:15" x14ac:dyDescent="0.25">
      <c r="A877" t="s">
        <v>2919</v>
      </c>
      <c r="B877" t="s">
        <v>2920</v>
      </c>
      <c r="C877" s="2">
        <v>2394.9946460000001</v>
      </c>
      <c r="D877" s="2">
        <v>2323.1448066200001</v>
      </c>
      <c r="E877" s="2">
        <v>2253.4504624214001</v>
      </c>
      <c r="F877" s="2">
        <v>2185.8469485487581</v>
      </c>
      <c r="G877" s="2">
        <v>2120.2715400922953</v>
      </c>
      <c r="H877" s="2">
        <v>2056.6633938895266</v>
      </c>
      <c r="I877" s="2">
        <v>1994.9634920728406</v>
      </c>
      <c r="J877" s="2">
        <v>1935.1145873106552</v>
      </c>
      <c r="K877" s="2">
        <v>1877.0611496913355</v>
      </c>
      <c r="L877" s="2">
        <v>1820.7493152005954</v>
      </c>
      <c r="M877" s="2">
        <v>1766.1268357445776</v>
      </c>
      <c r="N877" s="2">
        <v>1713.1430306722402</v>
      </c>
      <c r="O877" s="2">
        <v>1661.7487397520729</v>
      </c>
    </row>
    <row r="878" spans="1:15" x14ac:dyDescent="0.25">
      <c r="A878" t="s">
        <v>2921</v>
      </c>
      <c r="B878" t="s">
        <v>2922</v>
      </c>
      <c r="C878" s="2">
        <v>2394.4405760000004</v>
      </c>
      <c r="D878" s="2">
        <v>2322.6073587200003</v>
      </c>
      <c r="E878" s="2">
        <v>2252.9291379584001</v>
      </c>
      <c r="F878" s="2">
        <v>2185.3412638196482</v>
      </c>
      <c r="G878" s="2">
        <v>2119.7810259050589</v>
      </c>
      <c r="H878" s="2">
        <v>2056.1875951279071</v>
      </c>
      <c r="I878" s="2">
        <v>1994.5019672740698</v>
      </c>
      <c r="J878" s="2">
        <v>1934.6669082558476</v>
      </c>
      <c r="K878" s="2">
        <v>1876.6269010081721</v>
      </c>
      <c r="L878" s="2">
        <v>1820.328093977927</v>
      </c>
      <c r="M878" s="2">
        <v>1765.7182511585891</v>
      </c>
      <c r="N878" s="2">
        <v>1712.7467036238313</v>
      </c>
      <c r="O878" s="2">
        <v>1661.3643025151164</v>
      </c>
    </row>
    <row r="879" spans="1:15" x14ac:dyDescent="0.25">
      <c r="A879" t="s">
        <v>2923</v>
      </c>
      <c r="B879" t="s">
        <v>2924</v>
      </c>
      <c r="C879" s="2">
        <v>2393.8075699999999</v>
      </c>
      <c r="D879" s="2">
        <v>2321.9933428999998</v>
      </c>
      <c r="E879" s="2">
        <v>2252.3335426129997</v>
      </c>
      <c r="F879" s="2">
        <v>2184.7635363346099</v>
      </c>
      <c r="G879" s="2">
        <v>2119.2206302445716</v>
      </c>
      <c r="H879" s="2">
        <v>2055.6440113372346</v>
      </c>
      <c r="I879" s="2">
        <v>1993.9746909971175</v>
      </c>
      <c r="J879" s="2">
        <v>1934.1554502672038</v>
      </c>
      <c r="K879" s="2">
        <v>1876.1307867591877</v>
      </c>
      <c r="L879" s="2">
        <v>1819.8468631564119</v>
      </c>
      <c r="M879" s="2">
        <v>1765.2514572617195</v>
      </c>
      <c r="N879" s="2">
        <v>1712.2939135438678</v>
      </c>
      <c r="O879" s="2">
        <v>1660.9250961375517</v>
      </c>
    </row>
    <row r="880" spans="1:15" x14ac:dyDescent="0.25">
      <c r="A880" t="s">
        <v>2925</v>
      </c>
      <c r="B880" t="s">
        <v>2926</v>
      </c>
      <c r="C880" s="2">
        <v>2393.5824000000007</v>
      </c>
      <c r="D880" s="2">
        <v>2321.7749280000007</v>
      </c>
      <c r="E880" s="2">
        <v>2252.1216801600008</v>
      </c>
      <c r="F880" s="2">
        <v>2184.5580297552006</v>
      </c>
      <c r="G880" s="2">
        <v>2119.0212888625447</v>
      </c>
      <c r="H880" s="2">
        <v>2055.4506501966684</v>
      </c>
      <c r="I880" s="2">
        <v>1993.7871306907684</v>
      </c>
      <c r="J880" s="2">
        <v>1933.9735167700453</v>
      </c>
      <c r="K880" s="2">
        <v>1875.9543112669439</v>
      </c>
      <c r="L880" s="2">
        <v>1819.6756819289355</v>
      </c>
      <c r="M880" s="2">
        <v>1765.0854114710673</v>
      </c>
      <c r="N880" s="2">
        <v>1712.1328491269353</v>
      </c>
      <c r="O880" s="2">
        <v>1660.7688636531273</v>
      </c>
    </row>
    <row r="881" spans="1:15" x14ac:dyDescent="0.25">
      <c r="A881" t="s">
        <v>2927</v>
      </c>
      <c r="B881" t="s">
        <v>2928</v>
      </c>
      <c r="C881" s="2">
        <v>2390.7624620000006</v>
      </c>
      <c r="D881" s="2">
        <v>2319.0395881400004</v>
      </c>
      <c r="E881" s="2">
        <v>2249.4684004958003</v>
      </c>
      <c r="F881" s="2">
        <v>2181.9843484809262</v>
      </c>
      <c r="G881" s="2">
        <v>2116.5248180264985</v>
      </c>
      <c r="H881" s="2">
        <v>2053.0290734857035</v>
      </c>
      <c r="I881" s="2">
        <v>1991.4382012811323</v>
      </c>
      <c r="J881" s="2">
        <v>1931.6950552426981</v>
      </c>
      <c r="K881" s="2">
        <v>1873.7442035854172</v>
      </c>
      <c r="L881" s="2">
        <v>1817.5318774778546</v>
      </c>
      <c r="M881" s="2">
        <v>1763.0059211535188</v>
      </c>
      <c r="N881" s="2">
        <v>1710.1157435189132</v>
      </c>
      <c r="O881" s="2">
        <v>1658.8122712133456</v>
      </c>
    </row>
    <row r="882" spans="1:15" x14ac:dyDescent="0.25">
      <c r="A882" t="s">
        <v>2929</v>
      </c>
      <c r="B882" t="s">
        <v>2930</v>
      </c>
      <c r="C882" s="2">
        <v>2389.0243519999999</v>
      </c>
      <c r="D882" s="2">
        <v>2317.3536214399996</v>
      </c>
      <c r="E882" s="2">
        <v>2247.8330127967997</v>
      </c>
      <c r="F882" s="2">
        <v>2180.3980224128954</v>
      </c>
      <c r="G882" s="2">
        <v>2114.9860817405083</v>
      </c>
      <c r="H882" s="2">
        <v>2051.5364992882928</v>
      </c>
      <c r="I882" s="2">
        <v>1989.990404309644</v>
      </c>
      <c r="J882" s="2">
        <v>1930.2906921803547</v>
      </c>
      <c r="K882" s="2">
        <v>1872.381971414944</v>
      </c>
      <c r="L882" s="2">
        <v>1816.2105122724956</v>
      </c>
      <c r="M882" s="2">
        <v>1761.7241969043207</v>
      </c>
      <c r="N882" s="2">
        <v>1708.8724709971909</v>
      </c>
      <c r="O882" s="2">
        <v>1657.6062968672752</v>
      </c>
    </row>
    <row r="883" spans="1:15" x14ac:dyDescent="0.25">
      <c r="A883" t="s">
        <v>2931</v>
      </c>
      <c r="B883" t="s">
        <v>2932</v>
      </c>
      <c r="C883" s="2">
        <v>2386.3040960000003</v>
      </c>
      <c r="D883" s="2">
        <v>2314.7149731200002</v>
      </c>
      <c r="E883" s="2">
        <v>2245.2735239264002</v>
      </c>
      <c r="F883" s="2">
        <v>2177.9153182086084</v>
      </c>
      <c r="G883" s="2">
        <v>2112.5778586623501</v>
      </c>
      <c r="H883" s="2">
        <v>2049.2005229024794</v>
      </c>
      <c r="I883" s="2">
        <v>1987.7245072154049</v>
      </c>
      <c r="J883" s="2">
        <v>1928.0927719989427</v>
      </c>
      <c r="K883" s="2">
        <v>1870.2499888389743</v>
      </c>
      <c r="L883" s="2">
        <v>1814.142489173805</v>
      </c>
      <c r="M883" s="2">
        <v>1759.7182144985907</v>
      </c>
      <c r="N883" s="2">
        <v>1706.9266680636329</v>
      </c>
      <c r="O883" s="2">
        <v>1655.7188680217239</v>
      </c>
    </row>
    <row r="884" spans="1:15" x14ac:dyDescent="0.25">
      <c r="A884" t="s">
        <v>2933</v>
      </c>
      <c r="B884" t="s">
        <v>2934</v>
      </c>
      <c r="C884" s="2">
        <v>2385.6528739999999</v>
      </c>
      <c r="D884" s="2">
        <v>2314.0832877799999</v>
      </c>
      <c r="E884" s="2">
        <v>2244.6607891465997</v>
      </c>
      <c r="F884" s="2">
        <v>2177.3209654722018</v>
      </c>
      <c r="G884" s="2">
        <v>2112.0013365080358</v>
      </c>
      <c r="H884" s="2">
        <v>2048.6412964127949</v>
      </c>
      <c r="I884" s="2">
        <v>1987.182057520411</v>
      </c>
      <c r="J884" s="2">
        <v>1927.5665957947986</v>
      </c>
      <c r="K884" s="2">
        <v>1869.7395979209546</v>
      </c>
      <c r="L884" s="2">
        <v>1813.6474099833258</v>
      </c>
      <c r="M884" s="2">
        <v>1759.2379876838261</v>
      </c>
      <c r="N884" s="2">
        <v>1706.4608480533113</v>
      </c>
      <c r="O884" s="2">
        <v>1655.267022611712</v>
      </c>
    </row>
    <row r="885" spans="1:15" x14ac:dyDescent="0.25">
      <c r="A885" t="s">
        <v>2935</v>
      </c>
      <c r="B885" t="s">
        <v>2936</v>
      </c>
      <c r="C885" s="2">
        <v>2384.9991220000002</v>
      </c>
      <c r="D885" s="2">
        <v>2313.4491483400002</v>
      </c>
      <c r="E885" s="2">
        <v>2244.0456738898001</v>
      </c>
      <c r="F885" s="2">
        <v>2176.7243036731061</v>
      </c>
      <c r="G885" s="2">
        <v>2111.4225745629128</v>
      </c>
      <c r="H885" s="2">
        <v>2048.0798973260253</v>
      </c>
      <c r="I885" s="2">
        <v>1986.6375004062445</v>
      </c>
      <c r="J885" s="2">
        <v>1927.0383753940571</v>
      </c>
      <c r="K885" s="2">
        <v>1869.2272241322353</v>
      </c>
      <c r="L885" s="2">
        <v>1813.1504074082682</v>
      </c>
      <c r="M885" s="2">
        <v>1758.7558951860201</v>
      </c>
      <c r="N885" s="2">
        <v>1705.9932183304395</v>
      </c>
      <c r="O885" s="2">
        <v>1654.8134217805264</v>
      </c>
    </row>
    <row r="886" spans="1:15" x14ac:dyDescent="0.25">
      <c r="A886" t="s">
        <v>2937</v>
      </c>
      <c r="B886" t="s">
        <v>2938</v>
      </c>
      <c r="C886" s="2">
        <v>2384.7010880000007</v>
      </c>
      <c r="D886" s="2">
        <v>2313.1600553600006</v>
      </c>
      <c r="E886" s="2">
        <v>2243.7652536992005</v>
      </c>
      <c r="F886" s="2">
        <v>2176.4522960882246</v>
      </c>
      <c r="G886" s="2">
        <v>2111.1587272055776</v>
      </c>
      <c r="H886" s="2">
        <v>2047.8239653894102</v>
      </c>
      <c r="I886" s="2">
        <v>1986.3892464277278</v>
      </c>
      <c r="J886" s="2">
        <v>1926.797569034896</v>
      </c>
      <c r="K886" s="2">
        <v>1868.9936419638491</v>
      </c>
      <c r="L886" s="2">
        <v>1812.9238327049336</v>
      </c>
      <c r="M886" s="2">
        <v>1758.5361177237855</v>
      </c>
      <c r="N886" s="2">
        <v>1705.780034192072</v>
      </c>
      <c r="O886" s="2">
        <v>1654.6066331663098</v>
      </c>
    </row>
    <row r="887" spans="1:15" x14ac:dyDescent="0.25">
      <c r="A887" t="s">
        <v>2939</v>
      </c>
      <c r="B887" t="s">
        <v>2940</v>
      </c>
      <c r="C887" s="2">
        <v>2384.2720000000004</v>
      </c>
      <c r="D887" s="2">
        <v>2312.7438400000001</v>
      </c>
      <c r="E887" s="2">
        <v>2243.3615248000001</v>
      </c>
      <c r="F887" s="2">
        <v>2176.060679056</v>
      </c>
      <c r="G887" s="2">
        <v>2110.7788586843199</v>
      </c>
      <c r="H887" s="2">
        <v>2047.4554929237902</v>
      </c>
      <c r="I887" s="2">
        <v>1986.0318281360765</v>
      </c>
      <c r="J887" s="2">
        <v>1926.4508732919942</v>
      </c>
      <c r="K887" s="2">
        <v>1868.6573470932344</v>
      </c>
      <c r="L887" s="2">
        <v>1812.5976266804373</v>
      </c>
      <c r="M887" s="2">
        <v>1758.2196978800241</v>
      </c>
      <c r="N887" s="2">
        <v>1705.4731069436234</v>
      </c>
      <c r="O887" s="2">
        <v>1654.3089137353147</v>
      </c>
    </row>
    <row r="888" spans="1:15" x14ac:dyDescent="0.25">
      <c r="A888" t="s">
        <v>2941</v>
      </c>
      <c r="B888" t="s">
        <v>2942</v>
      </c>
      <c r="C888" s="2">
        <v>2383.2873240000004</v>
      </c>
      <c r="D888" s="2">
        <v>2311.7887042800003</v>
      </c>
      <c r="E888" s="2">
        <v>2242.4350431516</v>
      </c>
      <c r="F888" s="2">
        <v>2175.1619918570518</v>
      </c>
      <c r="G888" s="2">
        <v>2109.9071321013403</v>
      </c>
      <c r="H888" s="2">
        <v>2046.6099181382999</v>
      </c>
      <c r="I888" s="2">
        <v>1985.2116205941509</v>
      </c>
      <c r="J888" s="2">
        <v>1925.6552719763263</v>
      </c>
      <c r="K888" s="2">
        <v>1867.8856138170365</v>
      </c>
      <c r="L888" s="2">
        <v>1811.8490454025255</v>
      </c>
      <c r="M888" s="2">
        <v>1757.4935740404496</v>
      </c>
      <c r="N888" s="2">
        <v>1704.7687668192361</v>
      </c>
      <c r="O888" s="2">
        <v>1653.6257038146591</v>
      </c>
    </row>
    <row r="889" spans="1:15" x14ac:dyDescent="0.25">
      <c r="A889" t="s">
        <v>2943</v>
      </c>
      <c r="B889" t="s">
        <v>2944</v>
      </c>
      <c r="C889" s="2">
        <v>2375.8278720000008</v>
      </c>
      <c r="D889" s="2">
        <v>2304.5530358400006</v>
      </c>
      <c r="E889" s="2">
        <v>2235.4164447648004</v>
      </c>
      <c r="F889" s="2">
        <v>2168.3539514218564</v>
      </c>
      <c r="G889" s="2">
        <v>2103.3033328792008</v>
      </c>
      <c r="H889" s="2">
        <v>2040.2042328928246</v>
      </c>
      <c r="I889" s="2">
        <v>1978.9981059060399</v>
      </c>
      <c r="J889" s="2">
        <v>1919.6281627288586</v>
      </c>
      <c r="K889" s="2">
        <v>1862.0393178469928</v>
      </c>
      <c r="L889" s="2">
        <v>1806.1781383115831</v>
      </c>
      <c r="M889" s="2">
        <v>1751.9927941622357</v>
      </c>
      <c r="N889" s="2">
        <v>1699.4330103373686</v>
      </c>
      <c r="O889" s="2">
        <v>1648.4500200272475</v>
      </c>
    </row>
    <row r="890" spans="1:15" x14ac:dyDescent="0.25">
      <c r="A890" t="s">
        <v>2945</v>
      </c>
      <c r="B890" t="s">
        <v>2946</v>
      </c>
      <c r="C890" s="2">
        <v>2375.4311680000001</v>
      </c>
      <c r="D890" s="2">
        <v>2304.1682329599998</v>
      </c>
      <c r="E890" s="2">
        <v>2235.0431859711998</v>
      </c>
      <c r="F890" s="2">
        <v>2167.9918903920639</v>
      </c>
      <c r="G890" s="2">
        <v>2102.9521336803018</v>
      </c>
      <c r="H890" s="2">
        <v>2039.8635696698927</v>
      </c>
      <c r="I890" s="2">
        <v>1978.6676625797959</v>
      </c>
      <c r="J890" s="2">
        <v>1919.3076327024019</v>
      </c>
      <c r="K890" s="2">
        <v>1861.7284037213296</v>
      </c>
      <c r="L890" s="2">
        <v>1805.8765516096896</v>
      </c>
      <c r="M890" s="2">
        <v>1751.7002550613988</v>
      </c>
      <c r="N890" s="2">
        <v>1699.1492474095569</v>
      </c>
      <c r="O890" s="2">
        <v>1648.1747699872701</v>
      </c>
    </row>
    <row r="891" spans="1:15" x14ac:dyDescent="0.25">
      <c r="A891" t="s">
        <v>2947</v>
      </c>
      <c r="B891" t="s">
        <v>2948</v>
      </c>
      <c r="C891" s="2">
        <v>2373.9657920000009</v>
      </c>
      <c r="D891" s="2">
        <v>2302.7468182400007</v>
      </c>
      <c r="E891" s="2">
        <v>2233.6644136928007</v>
      </c>
      <c r="F891" s="2">
        <v>2166.6544812820166</v>
      </c>
      <c r="G891" s="2">
        <v>2101.6548468435562</v>
      </c>
      <c r="H891" s="2">
        <v>2038.6052014382494</v>
      </c>
      <c r="I891" s="2">
        <v>1977.4470453951019</v>
      </c>
      <c r="J891" s="2">
        <v>1918.1236340332489</v>
      </c>
      <c r="K891" s="2">
        <v>1860.5799250122514</v>
      </c>
      <c r="L891" s="2">
        <v>1804.7625272618839</v>
      </c>
      <c r="M891" s="2">
        <v>1750.6196514440273</v>
      </c>
      <c r="N891" s="2">
        <v>1698.1010619007066</v>
      </c>
      <c r="O891" s="2">
        <v>1647.1580300436854</v>
      </c>
    </row>
    <row r="892" spans="1:15" x14ac:dyDescent="0.25">
      <c r="A892" t="s">
        <v>2949</v>
      </c>
      <c r="B892" t="s">
        <v>2950</v>
      </c>
      <c r="C892" s="2">
        <v>2372.7756800000006</v>
      </c>
      <c r="D892" s="2">
        <v>2301.5924096000008</v>
      </c>
      <c r="E892" s="2">
        <v>2232.5446373120008</v>
      </c>
      <c r="F892" s="2">
        <v>2165.5682981926407</v>
      </c>
      <c r="G892" s="2">
        <v>2100.6012492468612</v>
      </c>
      <c r="H892" s="2">
        <v>2037.5832117694554</v>
      </c>
      <c r="I892" s="2">
        <v>1976.4557154163717</v>
      </c>
      <c r="J892" s="2">
        <v>1917.1620439538806</v>
      </c>
      <c r="K892" s="2">
        <v>1859.647182635264</v>
      </c>
      <c r="L892" s="2">
        <v>1803.8577671562061</v>
      </c>
      <c r="M892" s="2">
        <v>1749.74203414152</v>
      </c>
      <c r="N892" s="2">
        <v>1697.2497731172743</v>
      </c>
      <c r="O892" s="2">
        <v>1646.332279923756</v>
      </c>
    </row>
    <row r="893" spans="1:15" x14ac:dyDescent="0.25">
      <c r="A893" t="s">
        <v>2951</v>
      </c>
      <c r="B893" t="s">
        <v>2855</v>
      </c>
      <c r="C893" s="2">
        <v>2372.0794240000005</v>
      </c>
      <c r="D893" s="2">
        <v>2300.9170412800004</v>
      </c>
      <c r="E893" s="2">
        <v>2231.8895300416002</v>
      </c>
      <c r="F893" s="2">
        <v>2164.9328441403522</v>
      </c>
      <c r="G893" s="2">
        <v>2099.9848588161417</v>
      </c>
      <c r="H893" s="2">
        <v>2036.9853130516574</v>
      </c>
      <c r="I893" s="2">
        <v>1975.8757536601076</v>
      </c>
      <c r="J893" s="2">
        <v>1916.5994810503043</v>
      </c>
      <c r="K893" s="2">
        <v>1859.1014966187952</v>
      </c>
      <c r="L893" s="2">
        <v>1803.3284517202312</v>
      </c>
      <c r="M893" s="2">
        <v>1749.2285981686243</v>
      </c>
      <c r="N893" s="2">
        <v>1696.7517402235655</v>
      </c>
      <c r="O893" s="2">
        <v>1645.8491880168585</v>
      </c>
    </row>
    <row r="894" spans="1:15" x14ac:dyDescent="0.25">
      <c r="A894" t="s">
        <v>2952</v>
      </c>
      <c r="B894" t="s">
        <v>2953</v>
      </c>
      <c r="C894" s="2">
        <v>2372.0308480000003</v>
      </c>
      <c r="D894" s="2">
        <v>2300.8699225600003</v>
      </c>
      <c r="E894" s="2">
        <v>2231.8438248832003</v>
      </c>
      <c r="F894" s="2">
        <v>2164.8885101367041</v>
      </c>
      <c r="G894" s="2">
        <v>2099.941854832603</v>
      </c>
      <c r="H894" s="2">
        <v>2036.9435991876248</v>
      </c>
      <c r="I894" s="2">
        <v>1975.835291211996</v>
      </c>
      <c r="J894" s="2">
        <v>1916.5602324756362</v>
      </c>
      <c r="K894" s="2">
        <v>1859.063425501367</v>
      </c>
      <c r="L894" s="2">
        <v>1803.291522736326</v>
      </c>
      <c r="M894" s="2">
        <v>1749.1927770542361</v>
      </c>
      <c r="N894" s="2">
        <v>1696.716993742609</v>
      </c>
      <c r="O894" s="2">
        <v>1645.8154839303306</v>
      </c>
    </row>
    <row r="895" spans="1:15" x14ac:dyDescent="0.25">
      <c r="A895" t="s">
        <v>2954</v>
      </c>
      <c r="B895" t="s">
        <v>2955</v>
      </c>
      <c r="C895" s="2">
        <v>2369.9456220000002</v>
      </c>
      <c r="D895" s="2">
        <v>2298.84725334</v>
      </c>
      <c r="E895" s="2">
        <v>2229.8818357398</v>
      </c>
      <c r="F895" s="2">
        <v>2162.985380667606</v>
      </c>
      <c r="G895" s="2">
        <v>2098.0958192475778</v>
      </c>
      <c r="H895" s="2">
        <v>2035.1529446701504</v>
      </c>
      <c r="I895" s="2">
        <v>1974.0983563300458</v>
      </c>
      <c r="J895" s="2">
        <v>1914.8754056401444</v>
      </c>
      <c r="K895" s="2">
        <v>1857.4291434709401</v>
      </c>
      <c r="L895" s="2">
        <v>1801.7062691668118</v>
      </c>
      <c r="M895" s="2">
        <v>1747.6550810918075</v>
      </c>
      <c r="N895" s="2">
        <v>1695.2254286590533</v>
      </c>
      <c r="O895" s="2">
        <v>1644.3686657992816</v>
      </c>
    </row>
    <row r="896" spans="1:15" x14ac:dyDescent="0.25">
      <c r="A896" t="s">
        <v>2956</v>
      </c>
      <c r="B896" t="s">
        <v>2957</v>
      </c>
      <c r="C896" s="2">
        <v>2369.5615680000005</v>
      </c>
      <c r="D896" s="2">
        <v>2298.4747209600005</v>
      </c>
      <c r="E896" s="2">
        <v>2229.5204793312005</v>
      </c>
      <c r="F896" s="2">
        <v>2162.6348649512643</v>
      </c>
      <c r="G896" s="2">
        <v>2097.7558190027262</v>
      </c>
      <c r="H896" s="2">
        <v>2034.8231444326443</v>
      </c>
      <c r="I896" s="2">
        <v>1973.778450099665</v>
      </c>
      <c r="J896" s="2">
        <v>1914.5650965966749</v>
      </c>
      <c r="K896" s="2">
        <v>1857.1281436987747</v>
      </c>
      <c r="L896" s="2">
        <v>1801.4142993878113</v>
      </c>
      <c r="M896" s="2">
        <v>1747.3718704061769</v>
      </c>
      <c r="N896" s="2">
        <v>1694.9507142939915</v>
      </c>
      <c r="O896" s="2">
        <v>1644.1021928651717</v>
      </c>
    </row>
    <row r="897" spans="1:15" x14ac:dyDescent="0.25">
      <c r="A897" t="s">
        <v>2958</v>
      </c>
      <c r="B897" t="s">
        <v>2959</v>
      </c>
      <c r="C897" s="2">
        <v>2369.1162880000006</v>
      </c>
      <c r="D897" s="2">
        <v>2298.0427993600006</v>
      </c>
      <c r="E897" s="2">
        <v>2229.1015153792005</v>
      </c>
      <c r="F897" s="2">
        <v>2162.2284699178244</v>
      </c>
      <c r="G897" s="2">
        <v>2097.3616158202894</v>
      </c>
      <c r="H897" s="2">
        <v>2034.4407673456808</v>
      </c>
      <c r="I897" s="2">
        <v>1973.4075443253103</v>
      </c>
      <c r="J897" s="2">
        <v>1914.2053179955508</v>
      </c>
      <c r="K897" s="2">
        <v>1856.7791584556842</v>
      </c>
      <c r="L897" s="2">
        <v>1801.0757837020135</v>
      </c>
      <c r="M897" s="2">
        <v>1747.0435101909529</v>
      </c>
      <c r="N897" s="2">
        <v>1694.6322048852244</v>
      </c>
      <c r="O897" s="2">
        <v>1643.7932387386677</v>
      </c>
    </row>
    <row r="898" spans="1:15" x14ac:dyDescent="0.25">
      <c r="A898" t="s">
        <v>2960</v>
      </c>
      <c r="B898" t="s">
        <v>2961</v>
      </c>
      <c r="C898" s="2">
        <v>2368.4832820000001</v>
      </c>
      <c r="D898" s="2">
        <v>2297.42878354</v>
      </c>
      <c r="E898" s="2">
        <v>2228.5059200338001</v>
      </c>
      <c r="F898" s="2">
        <v>2161.650742432786</v>
      </c>
      <c r="G898" s="2">
        <v>2096.8012201598026</v>
      </c>
      <c r="H898" s="2">
        <v>2033.8971835550085</v>
      </c>
      <c r="I898" s="2">
        <v>1972.8802680483582</v>
      </c>
      <c r="J898" s="2">
        <v>1913.6938600069075</v>
      </c>
      <c r="K898" s="2">
        <v>1856.2830442067002</v>
      </c>
      <c r="L898" s="2">
        <v>1800.5945528804991</v>
      </c>
      <c r="M898" s="2">
        <v>1746.576716294084</v>
      </c>
      <c r="N898" s="2">
        <v>1694.1794148052613</v>
      </c>
      <c r="O898" s="2">
        <v>1643.3540323611035</v>
      </c>
    </row>
    <row r="899" spans="1:15" x14ac:dyDescent="0.25">
      <c r="A899" t="s">
        <v>2962</v>
      </c>
      <c r="B899" t="s">
        <v>2963</v>
      </c>
      <c r="C899" s="2">
        <v>2366.0155200000004</v>
      </c>
      <c r="D899" s="2">
        <v>2295.0350544000003</v>
      </c>
      <c r="E899" s="2">
        <v>2226.184002768</v>
      </c>
      <c r="F899" s="2">
        <v>2159.3984826849601</v>
      </c>
      <c r="G899" s="2">
        <v>2094.6165282044112</v>
      </c>
      <c r="H899" s="2">
        <v>2031.7780323582788</v>
      </c>
      <c r="I899" s="2">
        <v>1970.8246913875303</v>
      </c>
      <c r="J899" s="2">
        <v>1911.6999506459042</v>
      </c>
      <c r="K899" s="2">
        <v>1854.3489521265271</v>
      </c>
      <c r="L899" s="2">
        <v>1798.7184835627313</v>
      </c>
      <c r="M899" s="2">
        <v>1744.7569290558492</v>
      </c>
      <c r="N899" s="2">
        <v>1692.4142211841738</v>
      </c>
      <c r="O899" s="2">
        <v>1641.6417945486485</v>
      </c>
    </row>
    <row r="900" spans="1:15" x14ac:dyDescent="0.25">
      <c r="A900" t="s">
        <v>2964</v>
      </c>
      <c r="B900" t="s">
        <v>2965</v>
      </c>
      <c r="C900" s="2">
        <v>2365.6997760000004</v>
      </c>
      <c r="D900" s="2">
        <v>2294.7287827200003</v>
      </c>
      <c r="E900" s="2">
        <v>2225.8869192384</v>
      </c>
      <c r="F900" s="2">
        <v>2159.110311661248</v>
      </c>
      <c r="G900" s="2">
        <v>2094.3370023114107</v>
      </c>
      <c r="H900" s="2">
        <v>2031.5068922420683</v>
      </c>
      <c r="I900" s="2">
        <v>1970.5616854748062</v>
      </c>
      <c r="J900" s="2">
        <v>1911.4448349105619</v>
      </c>
      <c r="K900" s="2">
        <v>1854.101489863245</v>
      </c>
      <c r="L900" s="2">
        <v>1798.4784451673477</v>
      </c>
      <c r="M900" s="2">
        <v>1744.5240918123272</v>
      </c>
      <c r="N900" s="2">
        <v>1692.1883690579573</v>
      </c>
      <c r="O900" s="2">
        <v>1641.4227179862185</v>
      </c>
    </row>
    <row r="901" spans="1:15" x14ac:dyDescent="0.25">
      <c r="A901" t="s">
        <v>2966</v>
      </c>
      <c r="B901" t="s">
        <v>2967</v>
      </c>
      <c r="C901" s="2">
        <v>2359.1744000000003</v>
      </c>
      <c r="D901" s="2">
        <v>2288.3991680000004</v>
      </c>
      <c r="E901" s="2">
        <v>2219.7471929600001</v>
      </c>
      <c r="F901" s="2">
        <v>2153.1547771711998</v>
      </c>
      <c r="G901" s="2">
        <v>2088.5601338560637</v>
      </c>
      <c r="H901" s="2">
        <v>2025.9033298403817</v>
      </c>
      <c r="I901" s="2">
        <v>1965.1262299451703</v>
      </c>
      <c r="J901" s="2">
        <v>1906.172443046815</v>
      </c>
      <c r="K901" s="2">
        <v>1848.9872697554106</v>
      </c>
      <c r="L901" s="2">
        <v>1793.5176516627482</v>
      </c>
      <c r="M901" s="2">
        <v>1739.7121221128657</v>
      </c>
      <c r="N901" s="2">
        <v>1687.5207584494797</v>
      </c>
      <c r="O901" s="2">
        <v>1636.8951356959954</v>
      </c>
    </row>
    <row r="902" spans="1:15" x14ac:dyDescent="0.25">
      <c r="A902" t="s">
        <v>2968</v>
      </c>
      <c r="B902" t="s">
        <v>2969</v>
      </c>
      <c r="C902" s="2">
        <v>2354.8319080000001</v>
      </c>
      <c r="D902" s="2">
        <v>2284.1869507599999</v>
      </c>
      <c r="E902" s="2">
        <v>2215.6613422371997</v>
      </c>
      <c r="F902" s="2">
        <v>2149.1915019700837</v>
      </c>
      <c r="G902" s="2">
        <v>2084.7157569109809</v>
      </c>
      <c r="H902" s="2">
        <v>2022.1742842036515</v>
      </c>
      <c r="I902" s="2">
        <v>1961.5090556775419</v>
      </c>
      <c r="J902" s="2">
        <v>1902.6637840072156</v>
      </c>
      <c r="K902" s="2">
        <v>1845.5838704869991</v>
      </c>
      <c r="L902" s="2">
        <v>1790.2163543723891</v>
      </c>
      <c r="M902" s="2">
        <v>1736.5098637412175</v>
      </c>
      <c r="N902" s="2">
        <v>1684.4145678289808</v>
      </c>
      <c r="O902" s="2">
        <v>1633.8821307941114</v>
      </c>
    </row>
    <row r="903" spans="1:15" x14ac:dyDescent="0.25">
      <c r="A903" t="s">
        <v>2970</v>
      </c>
      <c r="B903" t="s">
        <v>2971</v>
      </c>
      <c r="C903" s="2">
        <v>2354.8025600000005</v>
      </c>
      <c r="D903" s="2">
        <v>2284.1584832000003</v>
      </c>
      <c r="E903" s="2">
        <v>2215.6337287040001</v>
      </c>
      <c r="F903" s="2">
        <v>2149.1647168428799</v>
      </c>
      <c r="G903" s="2">
        <v>2084.6897753375933</v>
      </c>
      <c r="H903" s="2">
        <v>2022.1490820774654</v>
      </c>
      <c r="I903" s="2">
        <v>1961.4846096151414</v>
      </c>
      <c r="J903" s="2">
        <v>1902.6400713266871</v>
      </c>
      <c r="K903" s="2">
        <v>1845.5608691868865</v>
      </c>
      <c r="L903" s="2">
        <v>1790.1940431112798</v>
      </c>
      <c r="M903" s="2">
        <v>1736.4882218179414</v>
      </c>
      <c r="N903" s="2">
        <v>1684.3935751634031</v>
      </c>
      <c r="O903" s="2">
        <v>1633.861767908501</v>
      </c>
    </row>
    <row r="904" spans="1:15" x14ac:dyDescent="0.25">
      <c r="A904" t="s">
        <v>2972</v>
      </c>
      <c r="B904" t="s">
        <v>2973</v>
      </c>
      <c r="C904" s="2">
        <v>2353.9281920000003</v>
      </c>
      <c r="D904" s="2">
        <v>2283.3103462400004</v>
      </c>
      <c r="E904" s="2">
        <v>2214.8110358528002</v>
      </c>
      <c r="F904" s="2">
        <v>2148.366704777216</v>
      </c>
      <c r="G904" s="2">
        <v>2083.9157036338993</v>
      </c>
      <c r="H904" s="2">
        <v>2021.3982325248824</v>
      </c>
      <c r="I904" s="2">
        <v>1960.7562855491358</v>
      </c>
      <c r="J904" s="2">
        <v>1901.9335969826616</v>
      </c>
      <c r="K904" s="2">
        <v>1844.8755890731816</v>
      </c>
      <c r="L904" s="2">
        <v>1789.529321400986</v>
      </c>
      <c r="M904" s="2">
        <v>1735.8434417589563</v>
      </c>
      <c r="N904" s="2">
        <v>1683.7681385061876</v>
      </c>
      <c r="O904" s="2">
        <v>1633.2550943510018</v>
      </c>
    </row>
    <row r="905" spans="1:15" x14ac:dyDescent="0.25">
      <c r="A905" t="s">
        <v>2974</v>
      </c>
      <c r="B905" t="s">
        <v>2975</v>
      </c>
      <c r="C905" s="2">
        <v>2346.4191520000004</v>
      </c>
      <c r="D905" s="2">
        <v>2276.0265774400004</v>
      </c>
      <c r="E905" s="2">
        <v>2207.7457801168002</v>
      </c>
      <c r="F905" s="2">
        <v>2141.5134067132963</v>
      </c>
      <c r="G905" s="2">
        <v>2077.2680045118973</v>
      </c>
      <c r="H905" s="2">
        <v>2014.9499643765403</v>
      </c>
      <c r="I905" s="2">
        <v>1954.5014654452441</v>
      </c>
      <c r="J905" s="2">
        <v>1895.8664214818866</v>
      </c>
      <c r="K905" s="2">
        <v>1838.99042883743</v>
      </c>
      <c r="L905" s="2">
        <v>1783.8207159723072</v>
      </c>
      <c r="M905" s="2">
        <v>1730.3060944931378</v>
      </c>
      <c r="N905" s="2">
        <v>1678.3969116583437</v>
      </c>
      <c r="O905" s="2">
        <v>1628.0450043085934</v>
      </c>
    </row>
    <row r="906" spans="1:15" x14ac:dyDescent="0.25">
      <c r="A906" t="s">
        <v>2976</v>
      </c>
      <c r="B906" t="s">
        <v>2977</v>
      </c>
      <c r="C906" s="2">
        <v>2344.5368320000007</v>
      </c>
      <c r="D906" s="2">
        <v>2274.2007270400004</v>
      </c>
      <c r="E906" s="2">
        <v>2205.9747052288003</v>
      </c>
      <c r="F906" s="2">
        <v>2139.7954640719363</v>
      </c>
      <c r="G906" s="2">
        <v>2075.6016001497783</v>
      </c>
      <c r="H906" s="2">
        <v>2013.3335521452848</v>
      </c>
      <c r="I906" s="2">
        <v>1952.9335455809262</v>
      </c>
      <c r="J906" s="2">
        <v>1894.3455392134983</v>
      </c>
      <c r="K906" s="2">
        <v>1837.5151730370933</v>
      </c>
      <c r="L906" s="2">
        <v>1782.3897178459804</v>
      </c>
      <c r="M906" s="2">
        <v>1728.9180263106009</v>
      </c>
      <c r="N906" s="2">
        <v>1677.0504855212828</v>
      </c>
      <c r="O906" s="2">
        <v>1626.7389709556442</v>
      </c>
    </row>
    <row r="907" spans="1:15" x14ac:dyDescent="0.25">
      <c r="A907" t="s">
        <v>2978</v>
      </c>
      <c r="B907" t="s">
        <v>2979</v>
      </c>
      <c r="C907" s="2">
        <v>2339.0072640000008</v>
      </c>
      <c r="D907" s="2">
        <v>2268.8370460800006</v>
      </c>
      <c r="E907" s="2">
        <v>2200.7719346976005</v>
      </c>
      <c r="F907" s="2">
        <v>2134.7487766566724</v>
      </c>
      <c r="G907" s="2">
        <v>2070.7063133569723</v>
      </c>
      <c r="H907" s="2">
        <v>2008.585123956263</v>
      </c>
      <c r="I907" s="2">
        <v>1948.3275702375752</v>
      </c>
      <c r="J907" s="2">
        <v>1889.8777431304479</v>
      </c>
      <c r="K907" s="2">
        <v>1833.1814108365345</v>
      </c>
      <c r="L907" s="2">
        <v>1778.1859685114384</v>
      </c>
      <c r="M907" s="2">
        <v>1724.8403894560952</v>
      </c>
      <c r="N907" s="2">
        <v>1673.0951777724122</v>
      </c>
      <c r="O907" s="2">
        <v>1622.9023224392397</v>
      </c>
    </row>
    <row r="908" spans="1:15" x14ac:dyDescent="0.25">
      <c r="A908" t="s">
        <v>2980</v>
      </c>
      <c r="B908" t="s">
        <v>2981</v>
      </c>
      <c r="C908" s="2">
        <v>2337.6021019999998</v>
      </c>
      <c r="D908" s="2">
        <v>2267.4740389399999</v>
      </c>
      <c r="E908" s="2">
        <v>2199.4498177717996</v>
      </c>
      <c r="F908" s="2">
        <v>2133.4663232386456</v>
      </c>
      <c r="G908" s="2">
        <v>2069.4623335414863</v>
      </c>
      <c r="H908" s="2">
        <v>2007.3784635352415</v>
      </c>
      <c r="I908" s="2">
        <v>1947.1571096291841</v>
      </c>
      <c r="J908" s="2">
        <v>1888.7423963403085</v>
      </c>
      <c r="K908" s="2">
        <v>1832.0801244500992</v>
      </c>
      <c r="L908" s="2">
        <v>1777.1177207165963</v>
      </c>
      <c r="M908" s="2">
        <v>1723.8041890950983</v>
      </c>
      <c r="N908" s="2">
        <v>1672.0900634222453</v>
      </c>
      <c r="O908" s="2">
        <v>1621.927361519578</v>
      </c>
    </row>
    <row r="909" spans="1:15" x14ac:dyDescent="0.25">
      <c r="A909" t="s">
        <v>2982</v>
      </c>
      <c r="B909" t="s">
        <v>2983</v>
      </c>
      <c r="C909" s="2">
        <v>2336.8780160000006</v>
      </c>
      <c r="D909" s="2">
        <v>2266.7716755200004</v>
      </c>
      <c r="E909" s="2">
        <v>2198.7685252544002</v>
      </c>
      <c r="F909" s="2">
        <v>2132.8054694967682</v>
      </c>
      <c r="G909" s="2">
        <v>2068.8213054118651</v>
      </c>
      <c r="H909" s="2">
        <v>2006.756666249509</v>
      </c>
      <c r="I909" s="2">
        <v>1946.5539662620236</v>
      </c>
      <c r="J909" s="2">
        <v>1888.1573472741627</v>
      </c>
      <c r="K909" s="2">
        <v>1831.5126268559377</v>
      </c>
      <c r="L909" s="2">
        <v>1776.5672480502594</v>
      </c>
      <c r="M909" s="2">
        <v>1723.2702306087515</v>
      </c>
      <c r="N909" s="2">
        <v>1671.572123690489</v>
      </c>
      <c r="O909" s="2">
        <v>1621.4249599797743</v>
      </c>
    </row>
    <row r="910" spans="1:15" x14ac:dyDescent="0.25">
      <c r="A910" t="s">
        <v>2984</v>
      </c>
      <c r="B910" t="s">
        <v>2985</v>
      </c>
      <c r="C910" s="2">
        <v>2336.8618240000001</v>
      </c>
      <c r="D910" s="2">
        <v>2266.75596928</v>
      </c>
      <c r="E910" s="2">
        <v>2198.7532902016001</v>
      </c>
      <c r="F910" s="2">
        <v>2132.790691495552</v>
      </c>
      <c r="G910" s="2">
        <v>2068.8069707506852</v>
      </c>
      <c r="H910" s="2">
        <v>2006.7427616281645</v>
      </c>
      <c r="I910" s="2">
        <v>1946.5404787793195</v>
      </c>
      <c r="J910" s="2">
        <v>1888.1442644159399</v>
      </c>
      <c r="K910" s="2">
        <v>1831.4999364834616</v>
      </c>
      <c r="L910" s="2">
        <v>1776.5549383889577</v>
      </c>
      <c r="M910" s="2">
        <v>1723.258290237289</v>
      </c>
      <c r="N910" s="2">
        <v>1671.5605415301702</v>
      </c>
      <c r="O910" s="2">
        <v>1621.413725284265</v>
      </c>
    </row>
    <row r="911" spans="1:15" x14ac:dyDescent="0.25">
      <c r="A911" t="s">
        <v>2986</v>
      </c>
      <c r="B911" t="s">
        <v>2987</v>
      </c>
      <c r="C911" s="2">
        <v>2335.7784780000002</v>
      </c>
      <c r="D911" s="2">
        <v>2265.70512366</v>
      </c>
      <c r="E911" s="2">
        <v>2197.7339699501999</v>
      </c>
      <c r="F911" s="2">
        <v>2131.8019508516941</v>
      </c>
      <c r="G911" s="2">
        <v>2067.8478923261432</v>
      </c>
      <c r="H911" s="2">
        <v>2005.8124555563588</v>
      </c>
      <c r="I911" s="2">
        <v>1945.638081889668</v>
      </c>
      <c r="J911" s="2">
        <v>1887.268939432978</v>
      </c>
      <c r="K911" s="2">
        <v>1830.6508712499885</v>
      </c>
      <c r="L911" s="2">
        <v>1775.7313451124887</v>
      </c>
      <c r="M911" s="2">
        <v>1722.459404759114</v>
      </c>
      <c r="N911" s="2">
        <v>1670.7856226163406</v>
      </c>
      <c r="O911" s="2">
        <v>1620.6620539378503</v>
      </c>
    </row>
    <row r="912" spans="1:15" x14ac:dyDescent="0.25">
      <c r="A912" t="s">
        <v>2988</v>
      </c>
      <c r="B912" t="s">
        <v>2989</v>
      </c>
      <c r="C912" s="2">
        <v>2334.0363200000002</v>
      </c>
      <c r="D912" s="2">
        <v>2264.0152304000003</v>
      </c>
      <c r="E912" s="2">
        <v>2196.0947734880001</v>
      </c>
      <c r="F912" s="2">
        <v>2130.2119302833598</v>
      </c>
      <c r="G912" s="2">
        <v>2066.3055723748589</v>
      </c>
      <c r="H912" s="2">
        <v>2004.3164052036132</v>
      </c>
      <c r="I912" s="2">
        <v>1944.1869130475047</v>
      </c>
      <c r="J912" s="2">
        <v>1885.8613056560796</v>
      </c>
      <c r="K912" s="2">
        <v>1829.2854664863971</v>
      </c>
      <c r="L912" s="2">
        <v>1774.4069024918051</v>
      </c>
      <c r="M912" s="2">
        <v>1721.174695417051</v>
      </c>
      <c r="N912" s="2">
        <v>1669.5394545545394</v>
      </c>
      <c r="O912" s="2">
        <v>1619.4532709179032</v>
      </c>
    </row>
    <row r="913" spans="1:15" x14ac:dyDescent="0.25">
      <c r="A913" t="s">
        <v>2990</v>
      </c>
      <c r="B913" t="s">
        <v>2991</v>
      </c>
      <c r="C913" s="2">
        <v>2331.8746880000003</v>
      </c>
      <c r="D913" s="2">
        <v>2261.9184473600003</v>
      </c>
      <c r="E913" s="2">
        <v>2194.0608939392</v>
      </c>
      <c r="F913" s="2">
        <v>2128.2390671210242</v>
      </c>
      <c r="G913" s="2">
        <v>2064.3918951073933</v>
      </c>
      <c r="H913" s="2">
        <v>2002.4601382541714</v>
      </c>
      <c r="I913" s="2">
        <v>1942.3863341065462</v>
      </c>
      <c r="J913" s="2">
        <v>1884.1147440833497</v>
      </c>
      <c r="K913" s="2">
        <v>1827.5913017608491</v>
      </c>
      <c r="L913" s="2">
        <v>1772.7635627080235</v>
      </c>
      <c r="M913" s="2">
        <v>1719.5806558267827</v>
      </c>
      <c r="N913" s="2">
        <v>1667.9932361519791</v>
      </c>
      <c r="O913" s="2">
        <v>1617.9534390674196</v>
      </c>
    </row>
    <row r="914" spans="1:15" x14ac:dyDescent="0.25">
      <c r="A914" t="s">
        <v>2992</v>
      </c>
      <c r="B914" t="s">
        <v>2991</v>
      </c>
      <c r="C914" s="2">
        <v>2331.8746880000003</v>
      </c>
      <c r="D914" s="2">
        <v>2261.9184473600003</v>
      </c>
      <c r="E914" s="2">
        <v>2194.0608939392</v>
      </c>
      <c r="F914" s="2">
        <v>2128.2390671210242</v>
      </c>
      <c r="G914" s="2">
        <v>2064.3918951073933</v>
      </c>
      <c r="H914" s="2">
        <v>2002.4601382541714</v>
      </c>
      <c r="I914" s="2">
        <v>1942.3863341065462</v>
      </c>
      <c r="J914" s="2">
        <v>1884.1147440833497</v>
      </c>
      <c r="K914" s="2">
        <v>1827.5913017608491</v>
      </c>
      <c r="L914" s="2">
        <v>1772.7635627080235</v>
      </c>
      <c r="M914" s="2">
        <v>1719.5806558267827</v>
      </c>
      <c r="N914" s="2">
        <v>1667.9932361519791</v>
      </c>
      <c r="O914" s="2">
        <v>1617.9534390674196</v>
      </c>
    </row>
    <row r="915" spans="1:15" x14ac:dyDescent="0.25">
      <c r="A915" t="s">
        <v>2993</v>
      </c>
      <c r="B915" t="s">
        <v>2991</v>
      </c>
      <c r="C915" s="2">
        <v>2331.8746880000003</v>
      </c>
      <c r="D915" s="2">
        <v>2261.9184473600003</v>
      </c>
      <c r="E915" s="2">
        <v>2194.0608939392</v>
      </c>
      <c r="F915" s="2">
        <v>2128.2390671210242</v>
      </c>
      <c r="G915" s="2">
        <v>2064.3918951073933</v>
      </c>
      <c r="H915" s="2">
        <v>2002.4601382541714</v>
      </c>
      <c r="I915" s="2">
        <v>1942.3863341065462</v>
      </c>
      <c r="J915" s="2">
        <v>1884.1147440833497</v>
      </c>
      <c r="K915" s="2">
        <v>1827.5913017608491</v>
      </c>
      <c r="L915" s="2">
        <v>1772.7635627080235</v>
      </c>
      <c r="M915" s="2">
        <v>1719.5806558267827</v>
      </c>
      <c r="N915" s="2">
        <v>1667.9932361519791</v>
      </c>
      <c r="O915" s="2">
        <v>1617.9534390674196</v>
      </c>
    </row>
    <row r="916" spans="1:15" x14ac:dyDescent="0.25">
      <c r="A916" t="s">
        <v>1113</v>
      </c>
      <c r="B916" t="s">
        <v>2994</v>
      </c>
      <c r="C916" s="2">
        <v>2331.8301600000009</v>
      </c>
      <c r="D916" s="2">
        <v>2261.875255200001</v>
      </c>
      <c r="E916" s="2">
        <v>2194.0189975440007</v>
      </c>
      <c r="F916" s="2">
        <v>2128.1984276176809</v>
      </c>
      <c r="G916" s="2">
        <v>2064.3524747891502</v>
      </c>
      <c r="H916" s="2">
        <v>2002.4219005454756</v>
      </c>
      <c r="I916" s="2">
        <v>1942.3492435291114</v>
      </c>
      <c r="J916" s="2">
        <v>1884.0787662232381</v>
      </c>
      <c r="K916" s="2">
        <v>1827.556403236541</v>
      </c>
      <c r="L916" s="2">
        <v>1772.7297111394446</v>
      </c>
      <c r="M916" s="2">
        <v>1719.5478198052613</v>
      </c>
      <c r="N916" s="2">
        <v>1667.9613852111033</v>
      </c>
      <c r="O916" s="2">
        <v>1617.9225436547702</v>
      </c>
    </row>
    <row r="917" spans="1:15" x14ac:dyDescent="0.25">
      <c r="A917" t="s">
        <v>2995</v>
      </c>
      <c r="B917" t="s">
        <v>2996</v>
      </c>
      <c r="C917" s="2">
        <v>2326.0536640000005</v>
      </c>
      <c r="D917" s="2">
        <v>2256.2720540800005</v>
      </c>
      <c r="E917" s="2">
        <v>2188.5838924576005</v>
      </c>
      <c r="F917" s="2">
        <v>2122.9263756838723</v>
      </c>
      <c r="G917" s="2">
        <v>2059.238584413356</v>
      </c>
      <c r="H917" s="2">
        <v>1997.4614268809553</v>
      </c>
      <c r="I917" s="2">
        <v>1937.5375840745266</v>
      </c>
      <c r="J917" s="2">
        <v>1879.4114565522907</v>
      </c>
      <c r="K917" s="2">
        <v>1823.0291128557219</v>
      </c>
      <c r="L917" s="2">
        <v>1768.3382394700502</v>
      </c>
      <c r="M917" s="2">
        <v>1715.2880922859486</v>
      </c>
      <c r="N917" s="2">
        <v>1663.82944951737</v>
      </c>
      <c r="O917" s="2">
        <v>1613.9145660318488</v>
      </c>
    </row>
    <row r="918" spans="1:15" x14ac:dyDescent="0.25">
      <c r="A918" t="s">
        <v>2997</v>
      </c>
      <c r="B918" t="s">
        <v>2998</v>
      </c>
      <c r="C918" s="2">
        <v>2325.3897920000004</v>
      </c>
      <c r="D918" s="2">
        <v>2255.6280982400003</v>
      </c>
      <c r="E918" s="2">
        <v>2187.9592552928002</v>
      </c>
      <c r="F918" s="2">
        <v>2122.3204776340162</v>
      </c>
      <c r="G918" s="2">
        <v>2058.6508633049957</v>
      </c>
      <c r="H918" s="2">
        <v>1996.8913374058459</v>
      </c>
      <c r="I918" s="2">
        <v>1936.9845972836704</v>
      </c>
      <c r="J918" s="2">
        <v>1878.8750593651603</v>
      </c>
      <c r="K918" s="2">
        <v>1822.5088075842054</v>
      </c>
      <c r="L918" s="2">
        <v>1767.8335433566792</v>
      </c>
      <c r="M918" s="2">
        <v>1714.7985370559788</v>
      </c>
      <c r="N918" s="2">
        <v>1663.3545809442994</v>
      </c>
      <c r="O918" s="2">
        <v>1613.4539435159704</v>
      </c>
    </row>
    <row r="919" spans="1:15" x14ac:dyDescent="0.25">
      <c r="A919" t="s">
        <v>2999</v>
      </c>
      <c r="B919" t="s">
        <v>3000</v>
      </c>
      <c r="C919" s="2">
        <v>2323.8130959999999</v>
      </c>
      <c r="D919" s="2">
        <v>2254.0987031199998</v>
      </c>
      <c r="E919" s="2">
        <v>2186.4757420263995</v>
      </c>
      <c r="F919" s="2">
        <v>2120.8814697656076</v>
      </c>
      <c r="G919" s="2">
        <v>2057.2550256726395</v>
      </c>
      <c r="H919" s="2">
        <v>1995.5373749024602</v>
      </c>
      <c r="I919" s="2">
        <v>1935.6712536553864</v>
      </c>
      <c r="J919" s="2">
        <v>1877.6011160457247</v>
      </c>
      <c r="K919" s="2">
        <v>1821.2730825643528</v>
      </c>
      <c r="L919" s="2">
        <v>1766.634890087422</v>
      </c>
      <c r="M919" s="2">
        <v>1713.6358433847993</v>
      </c>
      <c r="N919" s="2">
        <v>1662.2267680832551</v>
      </c>
      <c r="O919" s="2">
        <v>1612.3599650407575</v>
      </c>
    </row>
    <row r="920" spans="1:15" x14ac:dyDescent="0.25">
      <c r="A920" t="s">
        <v>3001</v>
      </c>
      <c r="B920" t="s">
        <v>2812</v>
      </c>
      <c r="C920" s="2">
        <v>2318.5081920000007</v>
      </c>
      <c r="D920" s="2">
        <v>2248.9529462400005</v>
      </c>
      <c r="E920" s="2">
        <v>2181.4843578528003</v>
      </c>
      <c r="F920" s="2">
        <v>2116.0398271172162</v>
      </c>
      <c r="G920" s="2">
        <v>2052.5586323036996</v>
      </c>
      <c r="H920" s="2">
        <v>1990.9818733345885</v>
      </c>
      <c r="I920" s="2">
        <v>1931.2524171345508</v>
      </c>
      <c r="J920" s="2">
        <v>1873.3148446205141</v>
      </c>
      <c r="K920" s="2">
        <v>1817.1153992818986</v>
      </c>
      <c r="L920" s="2">
        <v>1762.6019373034417</v>
      </c>
      <c r="M920" s="2">
        <v>1709.7238791843383</v>
      </c>
      <c r="N920" s="2">
        <v>1658.4321628088082</v>
      </c>
      <c r="O920" s="2">
        <v>1608.679197924544</v>
      </c>
    </row>
    <row r="921" spans="1:15" x14ac:dyDescent="0.25">
      <c r="A921" t="s">
        <v>3002</v>
      </c>
      <c r="B921" t="s">
        <v>3003</v>
      </c>
      <c r="C921" s="2">
        <v>2318.4191360000004</v>
      </c>
      <c r="D921" s="2">
        <v>2248.8665619200005</v>
      </c>
      <c r="E921" s="2">
        <v>2181.4005650624003</v>
      </c>
      <c r="F921" s="2">
        <v>2115.9585481105282</v>
      </c>
      <c r="G921" s="2">
        <v>2052.4797916672123</v>
      </c>
      <c r="H921" s="2">
        <v>1990.9053979171958</v>
      </c>
      <c r="I921" s="2">
        <v>1931.1782359796798</v>
      </c>
      <c r="J921" s="2">
        <v>1873.2428889002895</v>
      </c>
      <c r="K921" s="2">
        <v>1817.0456022332808</v>
      </c>
      <c r="L921" s="2">
        <v>1762.5342341662822</v>
      </c>
      <c r="M921" s="2">
        <v>1709.6582071412936</v>
      </c>
      <c r="N921" s="2">
        <v>1658.3684609270547</v>
      </c>
      <c r="O921" s="2">
        <v>1608.6174070992431</v>
      </c>
    </row>
    <row r="922" spans="1:15" x14ac:dyDescent="0.25">
      <c r="A922" t="s">
        <v>3004</v>
      </c>
      <c r="B922" t="s">
        <v>3005</v>
      </c>
      <c r="C922" s="2">
        <v>2318.0067460000005</v>
      </c>
      <c r="D922" s="2">
        <v>2248.4665436200003</v>
      </c>
      <c r="E922" s="2">
        <v>2181.0125473114003</v>
      </c>
      <c r="F922" s="2">
        <v>2115.5821708920585</v>
      </c>
      <c r="G922" s="2">
        <v>2052.1147057652965</v>
      </c>
      <c r="H922" s="2">
        <v>1990.5512645923377</v>
      </c>
      <c r="I922" s="2">
        <v>1930.8347266545675</v>
      </c>
      <c r="J922" s="2">
        <v>1872.9096848549304</v>
      </c>
      <c r="K922" s="2">
        <v>1816.7223943092824</v>
      </c>
      <c r="L922" s="2">
        <v>1762.2207224800038</v>
      </c>
      <c r="M922" s="2">
        <v>1709.3541008056036</v>
      </c>
      <c r="N922" s="2">
        <v>1658.0734777814355</v>
      </c>
      <c r="O922" s="2">
        <v>1608.3312734479923</v>
      </c>
    </row>
    <row r="923" spans="1:15" x14ac:dyDescent="0.25">
      <c r="A923" t="s">
        <v>3006</v>
      </c>
      <c r="B923" t="s">
        <v>3007</v>
      </c>
      <c r="C923" s="2">
        <v>2317.6662080000006</v>
      </c>
      <c r="D923" s="2">
        <v>2248.1362217600004</v>
      </c>
      <c r="E923" s="2">
        <v>2180.6921351072001</v>
      </c>
      <c r="F923" s="2">
        <v>2115.2713710539842</v>
      </c>
      <c r="G923" s="2">
        <v>2051.8132299223648</v>
      </c>
      <c r="H923" s="2">
        <v>1990.2588330246938</v>
      </c>
      <c r="I923" s="2">
        <v>1930.551068033953</v>
      </c>
      <c r="J923" s="2">
        <v>1872.6345359929344</v>
      </c>
      <c r="K923" s="2">
        <v>1816.4554999131462</v>
      </c>
      <c r="L923" s="2">
        <v>1761.9618349157518</v>
      </c>
      <c r="M923" s="2">
        <v>1709.1029798682791</v>
      </c>
      <c r="N923" s="2">
        <v>1657.8298904722308</v>
      </c>
      <c r="O923" s="2">
        <v>1608.0949937580638</v>
      </c>
    </row>
    <row r="924" spans="1:15" x14ac:dyDescent="0.25">
      <c r="A924" t="s">
        <v>3008</v>
      </c>
      <c r="B924" t="s">
        <v>3009</v>
      </c>
      <c r="C924" s="2">
        <v>2317.1637500000006</v>
      </c>
      <c r="D924" s="2">
        <v>2247.6488375000004</v>
      </c>
      <c r="E924" s="2">
        <v>2180.2193723750001</v>
      </c>
      <c r="F924" s="2">
        <v>2114.8127912037503</v>
      </c>
      <c r="G924" s="2">
        <v>2051.3684074676376</v>
      </c>
      <c r="H924" s="2">
        <v>1989.8273552436083</v>
      </c>
      <c r="I924" s="2">
        <v>1930.1325345862999</v>
      </c>
      <c r="J924" s="2">
        <v>1872.2285585487109</v>
      </c>
      <c r="K924" s="2">
        <v>1816.0617017922496</v>
      </c>
      <c r="L924" s="2">
        <v>1761.579850738482</v>
      </c>
      <c r="M924" s="2">
        <v>1708.7324552163275</v>
      </c>
      <c r="N924" s="2">
        <v>1657.4704815598377</v>
      </c>
      <c r="O924" s="2">
        <v>1607.7463671130424</v>
      </c>
    </row>
    <row r="925" spans="1:15" x14ac:dyDescent="0.25">
      <c r="A925" t="s">
        <v>3010</v>
      </c>
      <c r="B925" t="s">
        <v>3011</v>
      </c>
      <c r="C925" s="2">
        <v>2315.4721920000002</v>
      </c>
      <c r="D925" s="2">
        <v>2246.0080262400002</v>
      </c>
      <c r="E925" s="2">
        <v>2178.6277854528003</v>
      </c>
      <c r="F925" s="2">
        <v>2113.2689518892162</v>
      </c>
      <c r="G925" s="2">
        <v>2049.8708833325395</v>
      </c>
      <c r="H925" s="2">
        <v>1988.3747568325632</v>
      </c>
      <c r="I925" s="2">
        <v>1928.7235141275862</v>
      </c>
      <c r="J925" s="2">
        <v>1870.8618087037585</v>
      </c>
      <c r="K925" s="2">
        <v>1814.7359544426456</v>
      </c>
      <c r="L925" s="2">
        <v>1760.2938758093662</v>
      </c>
      <c r="M925" s="2">
        <v>1707.4850595350852</v>
      </c>
      <c r="N925" s="2">
        <v>1656.2605077490325</v>
      </c>
      <c r="O925" s="2">
        <v>1606.5726925165616</v>
      </c>
    </row>
    <row r="926" spans="1:15" x14ac:dyDescent="0.25">
      <c r="A926" t="s">
        <v>3012</v>
      </c>
      <c r="B926" t="s">
        <v>3013</v>
      </c>
      <c r="C926" s="2">
        <v>2314.7759360000005</v>
      </c>
      <c r="D926" s="2">
        <v>2245.3326579200002</v>
      </c>
      <c r="E926" s="2">
        <v>2177.9726781824002</v>
      </c>
      <c r="F926" s="2">
        <v>2112.6334978369282</v>
      </c>
      <c r="G926" s="2">
        <v>2049.2544929018204</v>
      </c>
      <c r="H926" s="2">
        <v>1987.7768581147657</v>
      </c>
      <c r="I926" s="2">
        <v>1928.1435523713226</v>
      </c>
      <c r="J926" s="2">
        <v>1870.2992458001829</v>
      </c>
      <c r="K926" s="2">
        <v>1814.1902684261775</v>
      </c>
      <c r="L926" s="2">
        <v>1759.764560373392</v>
      </c>
      <c r="M926" s="2">
        <v>1706.9716235621902</v>
      </c>
      <c r="N926" s="2">
        <v>1655.7624748553244</v>
      </c>
      <c r="O926" s="2">
        <v>1606.0896006096646</v>
      </c>
    </row>
    <row r="927" spans="1:15" x14ac:dyDescent="0.25">
      <c r="A927" t="s">
        <v>3014</v>
      </c>
      <c r="B927" t="s">
        <v>3015</v>
      </c>
      <c r="C927" s="2">
        <v>2314.3306560000005</v>
      </c>
      <c r="D927" s="2">
        <v>2244.9007363200003</v>
      </c>
      <c r="E927" s="2">
        <v>2177.5537142304001</v>
      </c>
      <c r="F927" s="2">
        <v>2112.2271028034879</v>
      </c>
      <c r="G927" s="2">
        <v>2048.8602897193832</v>
      </c>
      <c r="H927" s="2">
        <v>1987.3944810278017</v>
      </c>
      <c r="I927" s="2">
        <v>1927.7726465969677</v>
      </c>
      <c r="J927" s="2">
        <v>1869.9394671990585</v>
      </c>
      <c r="K927" s="2">
        <v>1813.8412831830867</v>
      </c>
      <c r="L927" s="2">
        <v>1759.426044687594</v>
      </c>
      <c r="M927" s="2">
        <v>1706.643263346966</v>
      </c>
      <c r="N927" s="2">
        <v>1655.4439654465571</v>
      </c>
      <c r="O927" s="2">
        <v>1605.7806464831604</v>
      </c>
    </row>
    <row r="928" spans="1:15" x14ac:dyDescent="0.25">
      <c r="A928" t="s">
        <v>3016</v>
      </c>
      <c r="B928" t="s">
        <v>3017</v>
      </c>
      <c r="C928" s="2">
        <v>2311.9666240000006</v>
      </c>
      <c r="D928" s="2">
        <v>2242.6076252800003</v>
      </c>
      <c r="E928" s="2">
        <v>2175.3293965216003</v>
      </c>
      <c r="F928" s="2">
        <v>2110.0695146259523</v>
      </c>
      <c r="G928" s="2">
        <v>2046.7674291871735</v>
      </c>
      <c r="H928" s="2">
        <v>1985.3644063115582</v>
      </c>
      <c r="I928" s="2">
        <v>1925.8034741222114</v>
      </c>
      <c r="J928" s="2">
        <v>1868.0293698985449</v>
      </c>
      <c r="K928" s="2">
        <v>1811.9884888015886</v>
      </c>
      <c r="L928" s="2">
        <v>1757.6288341375409</v>
      </c>
      <c r="M928" s="2">
        <v>1704.8999691134147</v>
      </c>
      <c r="N928" s="2">
        <v>1653.7529700400123</v>
      </c>
      <c r="O928" s="2">
        <v>1604.1403809388119</v>
      </c>
    </row>
    <row r="929" spans="1:15" x14ac:dyDescent="0.25">
      <c r="A929" t="s">
        <v>3018</v>
      </c>
      <c r="B929" t="s">
        <v>3019</v>
      </c>
      <c r="C929" s="2">
        <v>2306.4370560000002</v>
      </c>
      <c r="D929" s="2">
        <v>2237.2439443200001</v>
      </c>
      <c r="E929" s="2">
        <v>2170.1266259904</v>
      </c>
      <c r="F929" s="2">
        <v>2105.0228272106879</v>
      </c>
      <c r="G929" s="2">
        <v>2041.8721423943671</v>
      </c>
      <c r="H929" s="2">
        <v>1980.615978122536</v>
      </c>
      <c r="I929" s="2">
        <v>1921.1974987788599</v>
      </c>
      <c r="J929" s="2">
        <v>1863.5615738154941</v>
      </c>
      <c r="K929" s="2">
        <v>1807.6547266010291</v>
      </c>
      <c r="L929" s="2">
        <v>1753.4250848029981</v>
      </c>
      <c r="M929" s="2">
        <v>1700.8223322589081</v>
      </c>
      <c r="N929" s="2">
        <v>1649.7976622911408</v>
      </c>
      <c r="O929" s="2">
        <v>1600.3037324224065</v>
      </c>
    </row>
    <row r="930" spans="1:15" x14ac:dyDescent="0.25">
      <c r="A930" t="s">
        <v>3020</v>
      </c>
      <c r="B930" t="s">
        <v>3021</v>
      </c>
      <c r="C930" s="2">
        <v>2306.3682400000002</v>
      </c>
      <c r="D930" s="2">
        <v>2237.1771928000003</v>
      </c>
      <c r="E930" s="2">
        <v>2170.0618770160004</v>
      </c>
      <c r="F930" s="2">
        <v>2104.9600207055205</v>
      </c>
      <c r="G930" s="2">
        <v>2041.8112200843548</v>
      </c>
      <c r="H930" s="2">
        <v>1980.5568834818241</v>
      </c>
      <c r="I930" s="2">
        <v>1921.1401769773693</v>
      </c>
      <c r="J930" s="2">
        <v>1863.5059716680482</v>
      </c>
      <c r="K930" s="2">
        <v>1807.6007925180068</v>
      </c>
      <c r="L930" s="2">
        <v>1753.3727687424664</v>
      </c>
      <c r="M930" s="2">
        <v>1700.7715856801924</v>
      </c>
      <c r="N930" s="2">
        <v>1649.7484381097865</v>
      </c>
      <c r="O930" s="2">
        <v>1600.2559849664929</v>
      </c>
    </row>
    <row r="931" spans="1:15" x14ac:dyDescent="0.25">
      <c r="A931" t="s">
        <v>3022</v>
      </c>
      <c r="B931" t="s">
        <v>3023</v>
      </c>
      <c r="C931" s="2">
        <v>2303.3747440000006</v>
      </c>
      <c r="D931" s="2">
        <v>2234.2735016800007</v>
      </c>
      <c r="E931" s="2">
        <v>2167.2452966296005</v>
      </c>
      <c r="F931" s="2">
        <v>2102.2279377307123</v>
      </c>
      <c r="G931" s="2">
        <v>2039.1610995987908</v>
      </c>
      <c r="H931" s="2">
        <v>1977.986266610827</v>
      </c>
      <c r="I931" s="2">
        <v>1918.6466786125022</v>
      </c>
      <c r="J931" s="2">
        <v>1861.0872782541271</v>
      </c>
      <c r="K931" s="2">
        <v>1805.2546599065033</v>
      </c>
      <c r="L931" s="2">
        <v>1751.0970201093082</v>
      </c>
      <c r="M931" s="2">
        <v>1698.5641095060289</v>
      </c>
      <c r="N931" s="2">
        <v>1647.607186220848</v>
      </c>
      <c r="O931" s="2">
        <v>1598.1789706342224</v>
      </c>
    </row>
    <row r="932" spans="1:15" x14ac:dyDescent="0.25">
      <c r="A932" t="s">
        <v>3024</v>
      </c>
      <c r="B932" t="s">
        <v>3025</v>
      </c>
      <c r="C932" s="2">
        <v>2299.6688000000004</v>
      </c>
      <c r="D932" s="2">
        <v>2230.6787360000003</v>
      </c>
      <c r="E932" s="2">
        <v>2163.7583739200004</v>
      </c>
      <c r="F932" s="2">
        <v>2098.8456227024003</v>
      </c>
      <c r="G932" s="2">
        <v>2035.8802540213283</v>
      </c>
      <c r="H932" s="2">
        <v>1974.8038464006884</v>
      </c>
      <c r="I932" s="2">
        <v>1915.5597310086678</v>
      </c>
      <c r="J932" s="2">
        <v>1858.0929390784077</v>
      </c>
      <c r="K932" s="2">
        <v>1802.3501509060554</v>
      </c>
      <c r="L932" s="2">
        <v>1748.2796463788736</v>
      </c>
      <c r="M932" s="2">
        <v>1695.8312569875075</v>
      </c>
      <c r="N932" s="2">
        <v>1644.9563192778821</v>
      </c>
      <c r="O932" s="2">
        <v>1595.6076296995457</v>
      </c>
    </row>
    <row r="933" spans="1:15" x14ac:dyDescent="0.25">
      <c r="A933" t="s">
        <v>3026</v>
      </c>
      <c r="B933" t="s">
        <v>3027</v>
      </c>
      <c r="C933" s="2">
        <v>2299.6672820000003</v>
      </c>
      <c r="D933" s="2">
        <v>2230.6772635400002</v>
      </c>
      <c r="E933" s="2">
        <v>2163.7569456338001</v>
      </c>
      <c r="F933" s="2">
        <v>2098.844237264786</v>
      </c>
      <c r="G933" s="2">
        <v>2035.8789101468424</v>
      </c>
      <c r="H933" s="2">
        <v>1974.8025428424371</v>
      </c>
      <c r="I933" s="2">
        <v>1915.5584665571639</v>
      </c>
      <c r="J933" s="2">
        <v>1858.091712560449</v>
      </c>
      <c r="K933" s="2">
        <v>1802.3489611836355</v>
      </c>
      <c r="L933" s="2">
        <v>1748.2784923481265</v>
      </c>
      <c r="M933" s="2">
        <v>1695.8301375776828</v>
      </c>
      <c r="N933" s="2">
        <v>1644.9552334503521</v>
      </c>
      <c r="O933" s="2">
        <v>1595.6065764468415</v>
      </c>
    </row>
    <row r="934" spans="1:15" x14ac:dyDescent="0.25">
      <c r="A934" t="s">
        <v>3028</v>
      </c>
      <c r="B934" t="s">
        <v>3029</v>
      </c>
      <c r="C934" s="2">
        <v>2296.1389439999998</v>
      </c>
      <c r="D934" s="2">
        <v>2227.25477568</v>
      </c>
      <c r="E934" s="2">
        <v>2160.4371324096001</v>
      </c>
      <c r="F934" s="2">
        <v>2095.6240184373119</v>
      </c>
      <c r="G934" s="2">
        <v>2032.7552978841925</v>
      </c>
      <c r="H934" s="2">
        <v>1971.7726389476666</v>
      </c>
      <c r="I934" s="2">
        <v>1912.6194597792364</v>
      </c>
      <c r="J934" s="2">
        <v>1855.2408759858592</v>
      </c>
      <c r="K934" s="2">
        <v>1799.5836497062835</v>
      </c>
      <c r="L934" s="2">
        <v>1745.5961402150949</v>
      </c>
      <c r="M934" s="2">
        <v>1693.2282560086421</v>
      </c>
      <c r="N934" s="2">
        <v>1642.4314083283828</v>
      </c>
      <c r="O934" s="2">
        <v>1593.1584660785313</v>
      </c>
    </row>
    <row r="935" spans="1:15" x14ac:dyDescent="0.25">
      <c r="A935" t="s">
        <v>1157</v>
      </c>
      <c r="B935" t="s">
        <v>3030</v>
      </c>
      <c r="C935" s="2">
        <v>2295.4436999999998</v>
      </c>
      <c r="D935" s="2">
        <v>2226.5803889999997</v>
      </c>
      <c r="E935" s="2">
        <v>2159.7829773299995</v>
      </c>
      <c r="F935" s="2">
        <v>2094.9894880100996</v>
      </c>
      <c r="G935" s="2">
        <v>2032.1398033697967</v>
      </c>
      <c r="H935" s="2">
        <v>1971.1756092687028</v>
      </c>
      <c r="I935" s="2">
        <v>1912.0403409906417</v>
      </c>
      <c r="J935" s="2">
        <v>1854.6791307609224</v>
      </c>
      <c r="K935" s="2">
        <v>1799.0387568380947</v>
      </c>
      <c r="L935" s="2">
        <v>1745.0675941329519</v>
      </c>
      <c r="M935" s="2">
        <v>1692.7155663089632</v>
      </c>
      <c r="N935" s="2">
        <v>1641.9340993196943</v>
      </c>
      <c r="O935" s="2">
        <v>1592.6760763401035</v>
      </c>
    </row>
    <row r="936" spans="1:15" x14ac:dyDescent="0.25">
      <c r="A936" t="s">
        <v>3031</v>
      </c>
      <c r="B936" t="s">
        <v>3032</v>
      </c>
      <c r="C936" s="2">
        <v>2294.7545280000004</v>
      </c>
      <c r="D936" s="2">
        <v>2225.9118921600002</v>
      </c>
      <c r="E936" s="2">
        <v>2159.1345353952001</v>
      </c>
      <c r="F936" s="2">
        <v>2094.3604993333443</v>
      </c>
      <c r="G936" s="2">
        <v>2031.5296843533438</v>
      </c>
      <c r="H936" s="2">
        <v>1970.5837938227435</v>
      </c>
      <c r="I936" s="2">
        <v>1911.4662800080612</v>
      </c>
      <c r="J936" s="2">
        <v>1854.1222916078193</v>
      </c>
      <c r="K936" s="2">
        <v>1798.4986228595847</v>
      </c>
      <c r="L936" s="2">
        <v>1744.543664173797</v>
      </c>
      <c r="M936" s="2">
        <v>1692.207354248583</v>
      </c>
      <c r="N936" s="2">
        <v>1641.4411336211253</v>
      </c>
      <c r="O936" s="2">
        <v>1592.1978996124915</v>
      </c>
    </row>
    <row r="937" spans="1:15" x14ac:dyDescent="0.25">
      <c r="A937" t="s">
        <v>3033</v>
      </c>
      <c r="B937" t="s">
        <v>3034</v>
      </c>
      <c r="C937" s="2">
        <v>2294.6437140000003</v>
      </c>
      <c r="D937" s="2">
        <v>2225.80440258</v>
      </c>
      <c r="E937" s="2">
        <v>2159.0302705025997</v>
      </c>
      <c r="F937" s="2">
        <v>2094.2593623875218</v>
      </c>
      <c r="G937" s="2">
        <v>2031.4315815158961</v>
      </c>
      <c r="H937" s="2">
        <v>1970.4886340704193</v>
      </c>
      <c r="I937" s="2">
        <v>1911.3739750483066</v>
      </c>
      <c r="J937" s="2">
        <v>1854.0327557968574</v>
      </c>
      <c r="K937" s="2">
        <v>1798.4117731229517</v>
      </c>
      <c r="L937" s="2">
        <v>1744.459419929263</v>
      </c>
      <c r="M937" s="2">
        <v>1692.1256373313852</v>
      </c>
      <c r="N937" s="2">
        <v>1641.3618682114436</v>
      </c>
      <c r="O937" s="2">
        <v>1592.1210121651002</v>
      </c>
    </row>
    <row r="938" spans="1:15" x14ac:dyDescent="0.25">
      <c r="A938" t="s">
        <v>3035</v>
      </c>
      <c r="B938" t="s">
        <v>3036</v>
      </c>
      <c r="C938" s="2">
        <v>2292.8286920000005</v>
      </c>
      <c r="D938" s="2">
        <v>2224.0438312400006</v>
      </c>
      <c r="E938" s="2">
        <v>2157.3225163028005</v>
      </c>
      <c r="F938" s="2">
        <v>2092.6028408137163</v>
      </c>
      <c r="G938" s="2">
        <v>2029.8247555893047</v>
      </c>
      <c r="H938" s="2">
        <v>1968.9300129216256</v>
      </c>
      <c r="I938" s="2">
        <v>1909.8621125339766</v>
      </c>
      <c r="J938" s="2">
        <v>1852.5662491579574</v>
      </c>
      <c r="K938" s="2">
        <v>1796.9892616832185</v>
      </c>
      <c r="L938" s="2">
        <v>1743.0795838327219</v>
      </c>
      <c r="M938" s="2">
        <v>1690.7871963177402</v>
      </c>
      <c r="N938" s="2">
        <v>1640.0635804282078</v>
      </c>
      <c r="O938" s="2">
        <v>1590.8616730153615</v>
      </c>
    </row>
    <row r="939" spans="1:15" x14ac:dyDescent="0.25">
      <c r="A939" t="s">
        <v>3037</v>
      </c>
      <c r="B939" t="s">
        <v>3036</v>
      </c>
      <c r="C939" s="2">
        <v>2292.8286920000005</v>
      </c>
      <c r="D939" s="2">
        <v>2224.0438312400006</v>
      </c>
      <c r="E939" s="2">
        <v>2157.3225163028005</v>
      </c>
      <c r="F939" s="2">
        <v>2092.6028408137163</v>
      </c>
      <c r="G939" s="2">
        <v>2029.8247555893047</v>
      </c>
      <c r="H939" s="2">
        <v>1968.9300129216256</v>
      </c>
      <c r="I939" s="2">
        <v>1909.8621125339766</v>
      </c>
      <c r="J939" s="2">
        <v>1852.5662491579574</v>
      </c>
      <c r="K939" s="2">
        <v>1796.9892616832185</v>
      </c>
      <c r="L939" s="2">
        <v>1743.0795838327219</v>
      </c>
      <c r="M939" s="2">
        <v>1690.7871963177402</v>
      </c>
      <c r="N939" s="2">
        <v>1640.0635804282078</v>
      </c>
      <c r="O939" s="2">
        <v>1590.8616730153615</v>
      </c>
    </row>
    <row r="940" spans="1:15" x14ac:dyDescent="0.25">
      <c r="A940" t="s">
        <v>3038</v>
      </c>
      <c r="B940" t="s">
        <v>3036</v>
      </c>
      <c r="C940" s="2">
        <v>2292.8286920000005</v>
      </c>
      <c r="D940" s="2">
        <v>2224.0438312400006</v>
      </c>
      <c r="E940" s="2">
        <v>2157.3225163028005</v>
      </c>
      <c r="F940" s="2">
        <v>2092.6028408137163</v>
      </c>
      <c r="G940" s="2">
        <v>2029.8247555893047</v>
      </c>
      <c r="H940" s="2">
        <v>1968.9300129216256</v>
      </c>
      <c r="I940" s="2">
        <v>1909.8621125339766</v>
      </c>
      <c r="J940" s="2">
        <v>1852.5662491579574</v>
      </c>
      <c r="K940" s="2">
        <v>1796.9892616832185</v>
      </c>
      <c r="L940" s="2">
        <v>1743.0795838327219</v>
      </c>
      <c r="M940" s="2">
        <v>1690.7871963177402</v>
      </c>
      <c r="N940" s="2">
        <v>1640.0635804282078</v>
      </c>
      <c r="O940" s="2">
        <v>1590.8616730153615</v>
      </c>
    </row>
    <row r="941" spans="1:15" x14ac:dyDescent="0.25">
      <c r="A941" t="s">
        <v>3039</v>
      </c>
      <c r="B941" t="s">
        <v>3040</v>
      </c>
      <c r="C941" s="2">
        <v>2284.8612160000002</v>
      </c>
      <c r="D941" s="2">
        <v>2216.3153795200001</v>
      </c>
      <c r="E941" s="2">
        <v>2149.8259181344001</v>
      </c>
      <c r="F941" s="2">
        <v>2085.3311405903682</v>
      </c>
      <c r="G941" s="2">
        <v>2022.7712063726572</v>
      </c>
      <c r="H941" s="2">
        <v>1962.0880701814774</v>
      </c>
      <c r="I941" s="2">
        <v>1903.225428076033</v>
      </c>
      <c r="J941" s="2">
        <v>1846.1286652337519</v>
      </c>
      <c r="K941" s="2">
        <v>1790.7448052767393</v>
      </c>
      <c r="L941" s="2">
        <v>1737.0224611184371</v>
      </c>
      <c r="M941" s="2">
        <v>1684.911787284884</v>
      </c>
      <c r="N941" s="2">
        <v>1634.3644336663374</v>
      </c>
      <c r="O941" s="2">
        <v>1585.3335006563473</v>
      </c>
    </row>
    <row r="942" spans="1:15" x14ac:dyDescent="0.25">
      <c r="A942" t="s">
        <v>3041</v>
      </c>
      <c r="B942" t="s">
        <v>3027</v>
      </c>
      <c r="C942" s="2">
        <v>2284.4503439999999</v>
      </c>
      <c r="D942" s="2">
        <v>2215.9168336799999</v>
      </c>
      <c r="E942" s="2">
        <v>2149.4393286695999</v>
      </c>
      <c r="F942" s="2">
        <v>2084.9561488095119</v>
      </c>
      <c r="G942" s="2">
        <v>2022.4074643452266</v>
      </c>
      <c r="H942" s="2">
        <v>1961.7352404148696</v>
      </c>
      <c r="I942" s="2">
        <v>1902.8831832024234</v>
      </c>
      <c r="J942" s="2">
        <v>1845.7966877063507</v>
      </c>
      <c r="K942" s="2">
        <v>1790.4227870751602</v>
      </c>
      <c r="L942" s="2">
        <v>1736.7101034629054</v>
      </c>
      <c r="M942" s="2">
        <v>1684.6088003590182</v>
      </c>
      <c r="N942" s="2">
        <v>1634.0705363482477</v>
      </c>
      <c r="O942" s="2">
        <v>1585.0484202578002</v>
      </c>
    </row>
    <row r="943" spans="1:15" x14ac:dyDescent="0.25">
      <c r="A943" t="s">
        <v>1163</v>
      </c>
      <c r="B943" t="s">
        <v>1162</v>
      </c>
      <c r="C943" s="2">
        <v>2280.545036</v>
      </c>
      <c r="D943" s="2">
        <v>2212.1286849200001</v>
      </c>
      <c r="E943" s="2">
        <v>2145.7648243724002</v>
      </c>
      <c r="F943" s="2">
        <v>2081.3918796412281</v>
      </c>
      <c r="G943" s="2">
        <v>2018.9501232519913</v>
      </c>
      <c r="H943" s="2">
        <v>1958.3816195544314</v>
      </c>
      <c r="I943" s="2">
        <v>1899.6301709677984</v>
      </c>
      <c r="J943" s="2">
        <v>1842.6412658387644</v>
      </c>
      <c r="K943" s="2">
        <v>1787.3620278636015</v>
      </c>
      <c r="L943" s="2">
        <v>1733.7411670276933</v>
      </c>
      <c r="M943" s="2">
        <v>1681.7289320168625</v>
      </c>
      <c r="N943" s="2">
        <v>1631.2770640563565</v>
      </c>
      <c r="O943" s="2">
        <v>1582.3387521346658</v>
      </c>
    </row>
    <row r="944" spans="1:15" x14ac:dyDescent="0.25">
      <c r="A944" t="s">
        <v>3042</v>
      </c>
      <c r="B944" t="s">
        <v>3043</v>
      </c>
      <c r="C944" s="2">
        <v>2278.0362880000007</v>
      </c>
      <c r="D944" s="2">
        <v>2209.6951993600005</v>
      </c>
      <c r="E944" s="2">
        <v>2143.4043433792003</v>
      </c>
      <c r="F944" s="2">
        <v>2079.1022130778242</v>
      </c>
      <c r="G944" s="2">
        <v>2016.7291466854895</v>
      </c>
      <c r="H944" s="2">
        <v>1956.2272722849248</v>
      </c>
      <c r="I944" s="2">
        <v>1897.5404541163771</v>
      </c>
      <c r="J944" s="2">
        <v>1840.6142404928858</v>
      </c>
      <c r="K944" s="2">
        <v>1785.3958132780992</v>
      </c>
      <c r="L944" s="2">
        <v>1731.8339388797563</v>
      </c>
      <c r="M944" s="2">
        <v>1679.8789207133634</v>
      </c>
      <c r="N944" s="2">
        <v>1629.4825530919625</v>
      </c>
      <c r="O944" s="2">
        <v>1580.5980764992034</v>
      </c>
    </row>
    <row r="945" spans="1:15" x14ac:dyDescent="0.25">
      <c r="A945" t="s">
        <v>3044</v>
      </c>
      <c r="B945" t="s">
        <v>3045</v>
      </c>
      <c r="C945" s="2">
        <v>2272.87104</v>
      </c>
      <c r="D945" s="2">
        <v>2204.6849087999999</v>
      </c>
      <c r="E945" s="2">
        <v>2138.544361536</v>
      </c>
      <c r="F945" s="2">
        <v>2074.38803068992</v>
      </c>
      <c r="G945" s="2">
        <v>2012.1563897692224</v>
      </c>
      <c r="H945" s="2">
        <v>1951.7916980761456</v>
      </c>
      <c r="I945" s="2">
        <v>1893.2379471338611</v>
      </c>
      <c r="J945" s="2">
        <v>1836.4408087198451</v>
      </c>
      <c r="K945" s="2">
        <v>1781.3475844582497</v>
      </c>
      <c r="L945" s="2">
        <v>1727.9071569245023</v>
      </c>
      <c r="M945" s="2">
        <v>1676.0699422167672</v>
      </c>
      <c r="N945" s="2">
        <v>1625.7878439502642</v>
      </c>
      <c r="O945" s="2">
        <v>1577.0142086317562</v>
      </c>
    </row>
    <row r="946" spans="1:15" x14ac:dyDescent="0.25">
      <c r="A946" t="s">
        <v>3046</v>
      </c>
      <c r="B946" t="s">
        <v>3047</v>
      </c>
      <c r="C946" s="2">
        <v>2272.0776320000004</v>
      </c>
      <c r="D946" s="2">
        <v>2203.9153030400003</v>
      </c>
      <c r="E946" s="2">
        <v>2137.7978439488002</v>
      </c>
      <c r="F946" s="2">
        <v>2073.6639086303362</v>
      </c>
      <c r="G946" s="2">
        <v>2011.4539913714261</v>
      </c>
      <c r="H946" s="2">
        <v>1951.1103716302832</v>
      </c>
      <c r="I946" s="2">
        <v>1892.5770604813747</v>
      </c>
      <c r="J946" s="2">
        <v>1835.7997486669335</v>
      </c>
      <c r="K946" s="2">
        <v>1780.7257562069256</v>
      </c>
      <c r="L946" s="2">
        <v>1727.3039835207178</v>
      </c>
      <c r="M946" s="2">
        <v>1675.4848640150963</v>
      </c>
      <c r="N946" s="2">
        <v>1625.2203180946433</v>
      </c>
      <c r="O946" s="2">
        <v>1576.4637085518038</v>
      </c>
    </row>
    <row r="947" spans="1:15" x14ac:dyDescent="0.25">
      <c r="A947" t="s">
        <v>3048</v>
      </c>
      <c r="B947" t="s">
        <v>3047</v>
      </c>
      <c r="C947" s="2">
        <v>2272.0776320000004</v>
      </c>
      <c r="D947" s="2">
        <v>2203.9153030400003</v>
      </c>
      <c r="E947" s="2">
        <v>2137.7978439488002</v>
      </c>
      <c r="F947" s="2">
        <v>2073.6639086303362</v>
      </c>
      <c r="G947" s="2">
        <v>2011.4539913714261</v>
      </c>
      <c r="H947" s="2">
        <v>1951.1103716302832</v>
      </c>
      <c r="I947" s="2">
        <v>1892.5770604813747</v>
      </c>
      <c r="J947" s="2">
        <v>1835.7997486669335</v>
      </c>
      <c r="K947" s="2">
        <v>1780.7257562069256</v>
      </c>
      <c r="L947" s="2">
        <v>1727.3039835207178</v>
      </c>
      <c r="M947" s="2">
        <v>1675.4848640150963</v>
      </c>
      <c r="N947" s="2">
        <v>1625.2203180946433</v>
      </c>
      <c r="O947" s="2">
        <v>1576.4637085518038</v>
      </c>
    </row>
    <row r="948" spans="1:15" x14ac:dyDescent="0.25">
      <c r="A948" t="s">
        <v>3049</v>
      </c>
      <c r="B948" t="s">
        <v>3047</v>
      </c>
      <c r="C948" s="2">
        <v>2272.0776320000004</v>
      </c>
      <c r="D948" s="2">
        <v>2203.9153030400003</v>
      </c>
      <c r="E948" s="2">
        <v>2137.7978439488002</v>
      </c>
      <c r="F948" s="2">
        <v>2073.6639086303362</v>
      </c>
      <c r="G948" s="2">
        <v>2011.4539913714261</v>
      </c>
      <c r="H948" s="2">
        <v>1951.1103716302832</v>
      </c>
      <c r="I948" s="2">
        <v>1892.5770604813747</v>
      </c>
      <c r="J948" s="2">
        <v>1835.7997486669335</v>
      </c>
      <c r="K948" s="2">
        <v>1780.7257562069256</v>
      </c>
      <c r="L948" s="2">
        <v>1727.3039835207178</v>
      </c>
      <c r="M948" s="2">
        <v>1675.4848640150963</v>
      </c>
      <c r="N948" s="2">
        <v>1625.2203180946433</v>
      </c>
      <c r="O948" s="2">
        <v>1576.4637085518038</v>
      </c>
    </row>
    <row r="949" spans="1:15" x14ac:dyDescent="0.25">
      <c r="A949" t="s">
        <v>3050</v>
      </c>
      <c r="B949" t="s">
        <v>3051</v>
      </c>
      <c r="C949" s="2">
        <v>2268.786102</v>
      </c>
      <c r="D949" s="2">
        <v>2200.7225189400001</v>
      </c>
      <c r="E949" s="2">
        <v>2134.7008433718001</v>
      </c>
      <c r="F949" s="2">
        <v>2070.659818070646</v>
      </c>
      <c r="G949" s="2">
        <v>2008.5400235285265</v>
      </c>
      <c r="H949" s="2">
        <v>1948.2838228226706</v>
      </c>
      <c r="I949" s="2">
        <v>1889.8353081379903</v>
      </c>
      <c r="J949" s="2">
        <v>1833.1402488938506</v>
      </c>
      <c r="K949" s="2">
        <v>1778.146041427035</v>
      </c>
      <c r="L949" s="2">
        <v>1724.8016601842239</v>
      </c>
      <c r="M949" s="2">
        <v>1673.0576103786971</v>
      </c>
      <c r="N949" s="2">
        <v>1622.8658820673361</v>
      </c>
      <c r="O949" s="2">
        <v>1574.179905605316</v>
      </c>
    </row>
    <row r="950" spans="1:15" x14ac:dyDescent="0.25">
      <c r="A950" t="s">
        <v>3052</v>
      </c>
      <c r="B950" t="s">
        <v>3053</v>
      </c>
      <c r="C950" s="2">
        <v>2268.1591680000001</v>
      </c>
      <c r="D950" s="2">
        <v>2200.1143929600003</v>
      </c>
      <c r="E950" s="2">
        <v>2134.1109611712004</v>
      </c>
      <c r="F950" s="2">
        <v>2070.0876323360644</v>
      </c>
      <c r="G950" s="2">
        <v>2007.9850033659825</v>
      </c>
      <c r="H950" s="2">
        <v>1947.7454532650029</v>
      </c>
      <c r="I950" s="2">
        <v>1889.3130896670527</v>
      </c>
      <c r="J950" s="2">
        <v>1832.6336969770412</v>
      </c>
      <c r="K950" s="2">
        <v>1777.6546860677299</v>
      </c>
      <c r="L950" s="2">
        <v>1724.325045485698</v>
      </c>
      <c r="M950" s="2">
        <v>1672.5952941211269</v>
      </c>
      <c r="N950" s="2">
        <v>1622.4174352974931</v>
      </c>
      <c r="O950" s="2">
        <v>1573.7449122385683</v>
      </c>
    </row>
    <row r="951" spans="1:15" x14ac:dyDescent="0.25">
      <c r="A951" t="s">
        <v>3054</v>
      </c>
      <c r="B951" t="s">
        <v>3055</v>
      </c>
      <c r="C951" s="2">
        <v>2267.6005440000004</v>
      </c>
      <c r="D951" s="2">
        <v>2199.5725276800003</v>
      </c>
      <c r="E951" s="2">
        <v>2133.5853518496001</v>
      </c>
      <c r="F951" s="2">
        <v>2069.5777912941121</v>
      </c>
      <c r="G951" s="2">
        <v>2007.4904575552887</v>
      </c>
      <c r="H951" s="2">
        <v>1947.2657438286299</v>
      </c>
      <c r="I951" s="2">
        <v>1888.847771513771</v>
      </c>
      <c r="J951" s="2">
        <v>1832.1823383683579</v>
      </c>
      <c r="K951" s="2">
        <v>1777.2168682173071</v>
      </c>
      <c r="L951" s="2">
        <v>1723.900362170788</v>
      </c>
      <c r="M951" s="2">
        <v>1672.1833513056642</v>
      </c>
      <c r="N951" s="2">
        <v>1622.0178507664943</v>
      </c>
      <c r="O951" s="2">
        <v>1573.3573152434994</v>
      </c>
    </row>
    <row r="952" spans="1:15" x14ac:dyDescent="0.25">
      <c r="A952" t="s">
        <v>3056</v>
      </c>
      <c r="B952" t="s">
        <v>3057</v>
      </c>
      <c r="C952" s="2">
        <v>2266.8334479999999</v>
      </c>
      <c r="D952" s="2">
        <v>2198.8284445599998</v>
      </c>
      <c r="E952" s="2">
        <v>2132.8635912231998</v>
      </c>
      <c r="F952" s="2">
        <v>2068.8776834865039</v>
      </c>
      <c r="G952" s="2">
        <v>2006.8113529819086</v>
      </c>
      <c r="H952" s="2">
        <v>1946.6070123924512</v>
      </c>
      <c r="I952" s="2">
        <v>1888.2088020206777</v>
      </c>
      <c r="J952" s="2">
        <v>1831.5625379600574</v>
      </c>
      <c r="K952" s="2">
        <v>1776.6156618212556</v>
      </c>
      <c r="L952" s="2">
        <v>1723.3171919666179</v>
      </c>
      <c r="M952" s="2">
        <v>1671.6176762076193</v>
      </c>
      <c r="N952" s="2">
        <v>1621.4691459213907</v>
      </c>
      <c r="O952" s="2">
        <v>1572.8250715437489</v>
      </c>
    </row>
    <row r="953" spans="1:15" x14ac:dyDescent="0.25">
      <c r="A953" t="s">
        <v>3058</v>
      </c>
      <c r="B953" t="s">
        <v>3059</v>
      </c>
      <c r="C953" s="2">
        <v>2260.6460800000004</v>
      </c>
      <c r="D953" s="2">
        <v>2192.8266976000004</v>
      </c>
      <c r="E953" s="2">
        <v>2127.0418966720003</v>
      </c>
      <c r="F953" s="2">
        <v>2063.2306397718403</v>
      </c>
      <c r="G953" s="2">
        <v>2001.333720578685</v>
      </c>
      <c r="H953" s="2">
        <v>1941.2937089613245</v>
      </c>
      <c r="I953" s="2">
        <v>1883.0548976924847</v>
      </c>
      <c r="J953" s="2">
        <v>1826.5632507617102</v>
      </c>
      <c r="K953" s="2">
        <v>1771.7663532388588</v>
      </c>
      <c r="L953" s="2">
        <v>1718.6133626416929</v>
      </c>
      <c r="M953" s="2">
        <v>1667.054961762442</v>
      </c>
      <c r="N953" s="2">
        <v>1617.0433129095686</v>
      </c>
      <c r="O953" s="2">
        <v>1568.5320135222814</v>
      </c>
    </row>
    <row r="954" spans="1:15" x14ac:dyDescent="0.25">
      <c r="A954" t="s">
        <v>3060</v>
      </c>
      <c r="B954" t="s">
        <v>3061</v>
      </c>
      <c r="C954" s="2">
        <v>2253.845440000001</v>
      </c>
      <c r="D954" s="2">
        <v>2186.2300768000009</v>
      </c>
      <c r="E954" s="2">
        <v>2120.6431744960009</v>
      </c>
      <c r="F954" s="2">
        <v>2057.0238792611208</v>
      </c>
      <c r="G954" s="2">
        <v>1995.3131628832871</v>
      </c>
      <c r="H954" s="2">
        <v>1935.4537679967884</v>
      </c>
      <c r="I954" s="2">
        <v>1877.3901549568848</v>
      </c>
      <c r="J954" s="2">
        <v>1821.0684503081782</v>
      </c>
      <c r="K954" s="2">
        <v>1766.4363967989327</v>
      </c>
      <c r="L954" s="2">
        <v>1713.4433048949647</v>
      </c>
      <c r="M954" s="2">
        <v>1662.0400057481158</v>
      </c>
      <c r="N954" s="2">
        <v>1612.1788055756724</v>
      </c>
      <c r="O954" s="2">
        <v>1563.8134414084022</v>
      </c>
    </row>
    <row r="955" spans="1:15" x14ac:dyDescent="0.25">
      <c r="A955" t="s">
        <v>3062</v>
      </c>
      <c r="B955" t="s">
        <v>3063</v>
      </c>
      <c r="C955" s="2">
        <v>2252.5885360000002</v>
      </c>
      <c r="D955" s="2">
        <v>2185.0108799200002</v>
      </c>
      <c r="E955" s="2">
        <v>2119.4605535224</v>
      </c>
      <c r="F955" s="2">
        <v>2055.8767369167281</v>
      </c>
      <c r="G955" s="2">
        <v>1994.2004348092262</v>
      </c>
      <c r="H955" s="2">
        <v>1934.3744217649494</v>
      </c>
      <c r="I955" s="2">
        <v>1876.3431891120008</v>
      </c>
      <c r="J955" s="2">
        <v>1820.0528934386407</v>
      </c>
      <c r="K955" s="2">
        <v>1765.4513066354814</v>
      </c>
      <c r="L955" s="2">
        <v>1712.4877674364168</v>
      </c>
      <c r="M955" s="2">
        <v>1661.1131344133241</v>
      </c>
      <c r="N955" s="2">
        <v>1611.2797403809243</v>
      </c>
      <c r="O955" s="2">
        <v>1562.9413481694965</v>
      </c>
    </row>
    <row r="956" spans="1:15" x14ac:dyDescent="0.25">
      <c r="A956" t="s">
        <v>3064</v>
      </c>
      <c r="B956" t="s">
        <v>3065</v>
      </c>
      <c r="C956" s="2">
        <v>2249.7569600000002</v>
      </c>
      <c r="D956" s="2">
        <v>2182.2642512000002</v>
      </c>
      <c r="E956" s="2">
        <v>2116.7963236640003</v>
      </c>
      <c r="F956" s="2">
        <v>2053.29243395408</v>
      </c>
      <c r="G956" s="2">
        <v>1991.6936609354575</v>
      </c>
      <c r="H956" s="2">
        <v>1931.9428511073938</v>
      </c>
      <c r="I956" s="2">
        <v>1873.9845655741719</v>
      </c>
      <c r="J956" s="2">
        <v>1817.7650286069468</v>
      </c>
      <c r="K956" s="2">
        <v>1763.2320777487382</v>
      </c>
      <c r="L956" s="2">
        <v>1710.335115416276</v>
      </c>
      <c r="M956" s="2">
        <v>1659.0250619537876</v>
      </c>
      <c r="N956" s="2">
        <v>1609.2543100951739</v>
      </c>
      <c r="O956" s="2">
        <v>1560.9766807923186</v>
      </c>
    </row>
    <row r="957" spans="1:15" x14ac:dyDescent="0.25">
      <c r="A957" t="s">
        <v>3066</v>
      </c>
      <c r="B957" t="s">
        <v>3067</v>
      </c>
      <c r="C957" s="2">
        <v>2239.9203200000002</v>
      </c>
      <c r="D957" s="2">
        <v>2172.7227104000003</v>
      </c>
      <c r="E957" s="2">
        <v>2107.5410290880004</v>
      </c>
      <c r="F957" s="2">
        <v>2044.3147982153603</v>
      </c>
      <c r="G957" s="2">
        <v>1982.9853542688993</v>
      </c>
      <c r="H957" s="2">
        <v>1923.4957936408323</v>
      </c>
      <c r="I957" s="2">
        <v>1865.7909198316072</v>
      </c>
      <c r="J957" s="2">
        <v>1809.8171922366589</v>
      </c>
      <c r="K957" s="2">
        <v>1755.5226764695592</v>
      </c>
      <c r="L957" s="2">
        <v>1702.8569961754724</v>
      </c>
      <c r="M957" s="2">
        <v>1651.7712862902083</v>
      </c>
      <c r="N957" s="2">
        <v>1602.2181477015019</v>
      </c>
      <c r="O957" s="2">
        <v>1554.1516032704569</v>
      </c>
    </row>
    <row r="958" spans="1:15" x14ac:dyDescent="0.25">
      <c r="A958" t="s">
        <v>3068</v>
      </c>
      <c r="B958" t="s">
        <v>3069</v>
      </c>
      <c r="C958" s="2">
        <v>2239.3778880000004</v>
      </c>
      <c r="D958" s="2">
        <v>2172.1965513600003</v>
      </c>
      <c r="E958" s="2">
        <v>2107.0306548192002</v>
      </c>
      <c r="F958" s="2">
        <v>2043.8197351746242</v>
      </c>
      <c r="G958" s="2">
        <v>1982.5051431193854</v>
      </c>
      <c r="H958" s="2">
        <v>1923.0299888258037</v>
      </c>
      <c r="I958" s="2">
        <v>1865.3390891610295</v>
      </c>
      <c r="J958" s="2">
        <v>1809.3789164861985</v>
      </c>
      <c r="K958" s="2">
        <v>1755.0975489916125</v>
      </c>
      <c r="L958" s="2">
        <v>1702.4446225218642</v>
      </c>
      <c r="M958" s="2">
        <v>1651.3712838462081</v>
      </c>
      <c r="N958" s="2">
        <v>1601.8301453308218</v>
      </c>
      <c r="O958" s="2">
        <v>1553.7752409708971</v>
      </c>
    </row>
    <row r="959" spans="1:15" x14ac:dyDescent="0.25">
      <c r="A959" t="s">
        <v>3070</v>
      </c>
      <c r="B959" t="s">
        <v>3071</v>
      </c>
      <c r="C959" s="2">
        <v>2239.0054720000003</v>
      </c>
      <c r="D959" s="2">
        <v>2171.83530784</v>
      </c>
      <c r="E959" s="2">
        <v>2106.6802486048</v>
      </c>
      <c r="F959" s="2">
        <v>2043.4798411466559</v>
      </c>
      <c r="G959" s="2">
        <v>1982.1754459122562</v>
      </c>
      <c r="H959" s="2">
        <v>1922.7101825348884</v>
      </c>
      <c r="I959" s="2">
        <v>1865.0288770588418</v>
      </c>
      <c r="J959" s="2">
        <v>1809.0780107470764</v>
      </c>
      <c r="K959" s="2">
        <v>1754.805670424664</v>
      </c>
      <c r="L959" s="2">
        <v>1702.1615003119241</v>
      </c>
      <c r="M959" s="2">
        <v>1651.0966553025664</v>
      </c>
      <c r="N959" s="2">
        <v>1601.5637556434895</v>
      </c>
      <c r="O959" s="2">
        <v>1553.5168429741848</v>
      </c>
    </row>
    <row r="960" spans="1:15" x14ac:dyDescent="0.25">
      <c r="A960" t="s">
        <v>3072</v>
      </c>
      <c r="B960" t="s">
        <v>3073</v>
      </c>
      <c r="C960" s="2">
        <v>2231.8890880000008</v>
      </c>
      <c r="D960" s="2">
        <v>2164.9324153600005</v>
      </c>
      <c r="E960" s="2">
        <v>2099.9844428992005</v>
      </c>
      <c r="F960" s="2">
        <v>2036.9849096122246</v>
      </c>
      <c r="G960" s="2">
        <v>1975.8753623238579</v>
      </c>
      <c r="H960" s="2">
        <v>1916.5991014541421</v>
      </c>
      <c r="I960" s="2">
        <v>1859.1011284105177</v>
      </c>
      <c r="J960" s="2">
        <v>1803.3280945582021</v>
      </c>
      <c r="K960" s="2">
        <v>1749.228251721456</v>
      </c>
      <c r="L960" s="2">
        <v>1696.7514041698123</v>
      </c>
      <c r="M960" s="2">
        <v>1645.8488620447179</v>
      </c>
      <c r="N960" s="2">
        <v>1596.4733961833763</v>
      </c>
      <c r="O960" s="2">
        <v>1548.5791942978749</v>
      </c>
    </row>
    <row r="961" spans="1:15" x14ac:dyDescent="0.25">
      <c r="A961" t="s">
        <v>3074</v>
      </c>
      <c r="B961" t="s">
        <v>3075</v>
      </c>
      <c r="C961" s="2">
        <v>2231.0147200000001</v>
      </c>
      <c r="D961" s="2">
        <v>2164.0842784000001</v>
      </c>
      <c r="E961" s="2">
        <v>2099.1617500480002</v>
      </c>
      <c r="F961" s="2">
        <v>2036.1868975465602</v>
      </c>
      <c r="G961" s="2">
        <v>1975.1012906201634</v>
      </c>
      <c r="H961" s="2">
        <v>1915.8482519015583</v>
      </c>
      <c r="I961" s="2">
        <v>1858.3728043445115</v>
      </c>
      <c r="J961" s="2">
        <v>1802.6216202141761</v>
      </c>
      <c r="K961" s="2">
        <v>1748.5429716077508</v>
      </c>
      <c r="L961" s="2">
        <v>1696.0866824595182</v>
      </c>
      <c r="M961" s="2">
        <v>1645.2040819857327</v>
      </c>
      <c r="N961" s="2">
        <v>1595.8479595261606</v>
      </c>
      <c r="O961" s="2">
        <v>1547.9725207403758</v>
      </c>
    </row>
    <row r="962" spans="1:15" x14ac:dyDescent="0.25">
      <c r="A962" t="s">
        <v>3076</v>
      </c>
      <c r="B962" t="s">
        <v>3075</v>
      </c>
      <c r="C962" s="2">
        <v>2231.0147200000001</v>
      </c>
      <c r="D962" s="2">
        <v>2164.0842784000001</v>
      </c>
      <c r="E962" s="2">
        <v>2099.1617500480002</v>
      </c>
      <c r="F962" s="2">
        <v>2036.1868975465602</v>
      </c>
      <c r="G962" s="2">
        <v>1975.1012906201634</v>
      </c>
      <c r="H962" s="2">
        <v>1915.8482519015583</v>
      </c>
      <c r="I962" s="2">
        <v>1858.3728043445115</v>
      </c>
      <c r="J962" s="2">
        <v>1802.6216202141761</v>
      </c>
      <c r="K962" s="2">
        <v>1748.5429716077508</v>
      </c>
      <c r="L962" s="2">
        <v>1696.0866824595182</v>
      </c>
      <c r="M962" s="2">
        <v>1645.2040819857327</v>
      </c>
      <c r="N962" s="2">
        <v>1595.8479595261606</v>
      </c>
      <c r="O962" s="2">
        <v>1547.9725207403758</v>
      </c>
    </row>
    <row r="963" spans="1:15" x14ac:dyDescent="0.25">
      <c r="A963" t="s">
        <v>3077</v>
      </c>
      <c r="B963" t="s">
        <v>3075</v>
      </c>
      <c r="C963" s="2">
        <v>2231.0147200000001</v>
      </c>
      <c r="D963" s="2">
        <v>2164.0842784000001</v>
      </c>
      <c r="E963" s="2">
        <v>2099.1617500480002</v>
      </c>
      <c r="F963" s="2">
        <v>2036.1868975465602</v>
      </c>
      <c r="G963" s="2">
        <v>1975.1012906201634</v>
      </c>
      <c r="H963" s="2">
        <v>1915.8482519015583</v>
      </c>
      <c r="I963" s="2">
        <v>1858.3728043445115</v>
      </c>
      <c r="J963" s="2">
        <v>1802.6216202141761</v>
      </c>
      <c r="K963" s="2">
        <v>1748.5429716077508</v>
      </c>
      <c r="L963" s="2">
        <v>1696.0866824595182</v>
      </c>
      <c r="M963" s="2">
        <v>1645.2040819857327</v>
      </c>
      <c r="N963" s="2">
        <v>1595.8479595261606</v>
      </c>
      <c r="O963" s="2">
        <v>1547.9725207403758</v>
      </c>
    </row>
    <row r="964" spans="1:15" x14ac:dyDescent="0.25">
      <c r="A964" t="s">
        <v>3078</v>
      </c>
      <c r="B964" t="s">
        <v>3075</v>
      </c>
      <c r="C964" s="2">
        <v>2231.0147200000001</v>
      </c>
      <c r="D964" s="2">
        <v>2164.0842784000001</v>
      </c>
      <c r="E964" s="2">
        <v>2099.1617500480002</v>
      </c>
      <c r="F964" s="2">
        <v>2036.1868975465602</v>
      </c>
      <c r="G964" s="2">
        <v>1975.1012906201634</v>
      </c>
      <c r="H964" s="2">
        <v>1915.8482519015583</v>
      </c>
      <c r="I964" s="2">
        <v>1858.3728043445115</v>
      </c>
      <c r="J964" s="2">
        <v>1802.6216202141761</v>
      </c>
      <c r="K964" s="2">
        <v>1748.5429716077508</v>
      </c>
      <c r="L964" s="2">
        <v>1696.0866824595182</v>
      </c>
      <c r="M964" s="2">
        <v>1645.2040819857327</v>
      </c>
      <c r="N964" s="2">
        <v>1595.8479595261606</v>
      </c>
      <c r="O964" s="2">
        <v>1547.9725207403758</v>
      </c>
    </row>
    <row r="965" spans="1:15" x14ac:dyDescent="0.25">
      <c r="A965" t="s">
        <v>3079</v>
      </c>
      <c r="B965" t="s">
        <v>3075</v>
      </c>
      <c r="C965" s="2">
        <v>2231.0147200000001</v>
      </c>
      <c r="D965" s="2">
        <v>2164.0842784000001</v>
      </c>
      <c r="E965" s="2">
        <v>2099.1617500480002</v>
      </c>
      <c r="F965" s="2">
        <v>2036.1868975465602</v>
      </c>
      <c r="G965" s="2">
        <v>1975.1012906201634</v>
      </c>
      <c r="H965" s="2">
        <v>1915.8482519015583</v>
      </c>
      <c r="I965" s="2">
        <v>1858.3728043445115</v>
      </c>
      <c r="J965" s="2">
        <v>1802.6216202141761</v>
      </c>
      <c r="K965" s="2">
        <v>1748.5429716077508</v>
      </c>
      <c r="L965" s="2">
        <v>1696.0866824595182</v>
      </c>
      <c r="M965" s="2">
        <v>1645.2040819857327</v>
      </c>
      <c r="N965" s="2">
        <v>1595.8479595261606</v>
      </c>
      <c r="O965" s="2">
        <v>1547.9725207403758</v>
      </c>
    </row>
    <row r="966" spans="1:15" x14ac:dyDescent="0.25">
      <c r="A966" t="s">
        <v>3080</v>
      </c>
      <c r="B966" t="s">
        <v>3081</v>
      </c>
      <c r="C966" s="2">
        <v>2229.5493440000005</v>
      </c>
      <c r="D966" s="2">
        <v>2162.6628636800006</v>
      </c>
      <c r="E966" s="2">
        <v>2097.7829777696006</v>
      </c>
      <c r="F966" s="2">
        <v>2034.8494884365125</v>
      </c>
      <c r="G966" s="2">
        <v>1973.8040037834171</v>
      </c>
      <c r="H966" s="2">
        <v>1914.5898836699146</v>
      </c>
      <c r="I966" s="2">
        <v>1857.152187159817</v>
      </c>
      <c r="J966" s="2">
        <v>1801.4376215450225</v>
      </c>
      <c r="K966" s="2">
        <v>1747.3944928986718</v>
      </c>
      <c r="L966" s="2">
        <v>1694.9726581117116</v>
      </c>
      <c r="M966" s="2">
        <v>1644.1234783683601</v>
      </c>
      <c r="N966" s="2">
        <v>1594.7997740173093</v>
      </c>
      <c r="O966" s="2">
        <v>1546.9557807967901</v>
      </c>
    </row>
    <row r="967" spans="1:15" x14ac:dyDescent="0.25">
      <c r="A967" t="s">
        <v>3082</v>
      </c>
      <c r="B967" t="s">
        <v>3083</v>
      </c>
      <c r="C967" s="2">
        <v>2226.4556600000005</v>
      </c>
      <c r="D967" s="2">
        <v>2159.6619902000007</v>
      </c>
      <c r="E967" s="2">
        <v>2094.8721304940004</v>
      </c>
      <c r="F967" s="2">
        <v>2032.0259665791802</v>
      </c>
      <c r="G967" s="2">
        <v>1971.0651875818048</v>
      </c>
      <c r="H967" s="2">
        <v>1911.9332319543507</v>
      </c>
      <c r="I967" s="2">
        <v>1854.5752349957202</v>
      </c>
      <c r="J967" s="2">
        <v>1798.9379779458486</v>
      </c>
      <c r="K967" s="2">
        <v>1744.9698386074731</v>
      </c>
      <c r="L967" s="2">
        <v>1692.6207434492489</v>
      </c>
      <c r="M967" s="2">
        <v>1641.8421211457714</v>
      </c>
      <c r="N967" s="2">
        <v>1592.5868575113982</v>
      </c>
      <c r="O967" s="2">
        <v>1544.8092517860562</v>
      </c>
    </row>
    <row r="968" spans="1:15" x14ac:dyDescent="0.25">
      <c r="A968" t="s">
        <v>3084</v>
      </c>
      <c r="B968" t="s">
        <v>3085</v>
      </c>
      <c r="C968" s="2">
        <v>2224.3911800000001</v>
      </c>
      <c r="D968" s="2">
        <v>2157.6594445999999</v>
      </c>
      <c r="E968" s="2">
        <v>2092.9296612620001</v>
      </c>
      <c r="F968" s="2">
        <v>2030.14177142414</v>
      </c>
      <c r="G968" s="2">
        <v>1969.2375182814158</v>
      </c>
      <c r="H968" s="2">
        <v>1910.1603927329732</v>
      </c>
      <c r="I968" s="2">
        <v>1852.8555809509839</v>
      </c>
      <c r="J968" s="2">
        <v>1797.2699135224543</v>
      </c>
      <c r="K968" s="2">
        <v>1743.3518161167806</v>
      </c>
      <c r="L968" s="2">
        <v>1691.0512616332771</v>
      </c>
      <c r="M968" s="2">
        <v>1640.3197237842787</v>
      </c>
      <c r="N968" s="2">
        <v>1591.1101320707503</v>
      </c>
      <c r="O968" s="2">
        <v>1543.3768281086277</v>
      </c>
    </row>
    <row r="969" spans="1:15" x14ac:dyDescent="0.25">
      <c r="A969" t="s">
        <v>3086</v>
      </c>
      <c r="B969" t="s">
        <v>3087</v>
      </c>
      <c r="C969" s="2">
        <v>2222.2320780000005</v>
      </c>
      <c r="D969" s="2">
        <v>2155.5651156600002</v>
      </c>
      <c r="E969" s="2">
        <v>2090.8981621902003</v>
      </c>
      <c r="F969" s="2">
        <v>2028.1712173244941</v>
      </c>
      <c r="G969" s="2">
        <v>1967.3260808047592</v>
      </c>
      <c r="H969" s="2">
        <v>1908.3062983806162</v>
      </c>
      <c r="I969" s="2">
        <v>1851.0571094291977</v>
      </c>
      <c r="J969" s="2">
        <v>1795.5253961463218</v>
      </c>
      <c r="K969" s="2">
        <v>1741.6596342619321</v>
      </c>
      <c r="L969" s="2">
        <v>1689.4098452340741</v>
      </c>
      <c r="M969" s="2">
        <v>1638.7275498770518</v>
      </c>
      <c r="N969" s="2">
        <v>1589.5657233807403</v>
      </c>
      <c r="O969" s="2">
        <v>1541.8787516793182</v>
      </c>
    </row>
    <row r="970" spans="1:15" x14ac:dyDescent="0.25">
      <c r="A970" t="s">
        <v>3088</v>
      </c>
      <c r="B970" t="s">
        <v>3089</v>
      </c>
      <c r="C970" s="2">
        <v>2218.9840640000002</v>
      </c>
      <c r="D970" s="2">
        <v>2152.41454208</v>
      </c>
      <c r="E970" s="2">
        <v>2087.8421058176</v>
      </c>
      <c r="F970" s="2">
        <v>2025.2068426430719</v>
      </c>
      <c r="G970" s="2">
        <v>1964.4506373637796</v>
      </c>
      <c r="H970" s="2">
        <v>1905.5171182428662</v>
      </c>
      <c r="I970" s="2">
        <v>1848.3516046955801</v>
      </c>
      <c r="J970" s="2">
        <v>1792.9010565547128</v>
      </c>
      <c r="K970" s="2">
        <v>1739.1140248580714</v>
      </c>
      <c r="L970" s="2">
        <v>1686.9406041123293</v>
      </c>
      <c r="M970" s="2">
        <v>1636.3323859889595</v>
      </c>
      <c r="N970" s="2">
        <v>1587.2424144092906</v>
      </c>
      <c r="O970" s="2">
        <v>1539.6251419770119</v>
      </c>
    </row>
    <row r="971" spans="1:15" x14ac:dyDescent="0.25">
      <c r="A971" t="s">
        <v>3090</v>
      </c>
      <c r="B971" t="s">
        <v>3091</v>
      </c>
      <c r="C971" s="2">
        <v>2217.9801600000001</v>
      </c>
      <c r="D971" s="2">
        <v>2151.4407551999998</v>
      </c>
      <c r="E971" s="2">
        <v>2086.8975325439997</v>
      </c>
      <c r="F971" s="2">
        <v>2024.2906065676796</v>
      </c>
      <c r="G971" s="2">
        <v>1963.5618883706491</v>
      </c>
      <c r="H971" s="2">
        <v>1904.6550317195295</v>
      </c>
      <c r="I971" s="2">
        <v>1847.5153807679435</v>
      </c>
      <c r="J971" s="2">
        <v>1792.0899193449052</v>
      </c>
      <c r="K971" s="2">
        <v>1738.3272217645581</v>
      </c>
      <c r="L971" s="2">
        <v>1686.1774051116213</v>
      </c>
      <c r="M971" s="2">
        <v>1635.5920829582726</v>
      </c>
      <c r="N971" s="2">
        <v>1586.5243204695244</v>
      </c>
      <c r="O971" s="2">
        <v>1538.9285908554386</v>
      </c>
    </row>
    <row r="972" spans="1:15" x14ac:dyDescent="0.25">
      <c r="A972" t="s">
        <v>3092</v>
      </c>
      <c r="B972" t="s">
        <v>3093</v>
      </c>
      <c r="C972" s="2">
        <v>2217.2191360000002</v>
      </c>
      <c r="D972" s="2">
        <v>2150.7025619199999</v>
      </c>
      <c r="E972" s="2">
        <v>2086.1814850624</v>
      </c>
      <c r="F972" s="2">
        <v>2023.5960405105279</v>
      </c>
      <c r="G972" s="2">
        <v>1962.8881592952121</v>
      </c>
      <c r="H972" s="2">
        <v>1904.0015145163557</v>
      </c>
      <c r="I972" s="2">
        <v>1846.8814690808649</v>
      </c>
      <c r="J972" s="2">
        <v>1791.4750250084389</v>
      </c>
      <c r="K972" s="2">
        <v>1737.7307742581856</v>
      </c>
      <c r="L972" s="2">
        <v>1685.5988510304401</v>
      </c>
      <c r="M972" s="2">
        <v>1635.0308854995269</v>
      </c>
      <c r="N972" s="2">
        <v>1585.9799589345409</v>
      </c>
      <c r="O972" s="2">
        <v>1538.4005601665046</v>
      </c>
    </row>
    <row r="973" spans="1:15" x14ac:dyDescent="0.25">
      <c r="A973" t="s">
        <v>3094</v>
      </c>
      <c r="B973" t="s">
        <v>3095</v>
      </c>
      <c r="C973" s="2">
        <v>2215.7547720000007</v>
      </c>
      <c r="D973" s="2">
        <v>2149.2821288400005</v>
      </c>
      <c r="E973" s="2">
        <v>2084.8036649748005</v>
      </c>
      <c r="F973" s="2">
        <v>2022.2595550255564</v>
      </c>
      <c r="G973" s="2">
        <v>1961.5917683747896</v>
      </c>
      <c r="H973" s="2">
        <v>1902.7440153235459</v>
      </c>
      <c r="I973" s="2">
        <v>1845.6616948638396</v>
      </c>
      <c r="J973" s="2">
        <v>1790.2918440179244</v>
      </c>
      <c r="K973" s="2">
        <v>1736.5830886973865</v>
      </c>
      <c r="L973" s="2">
        <v>1684.4855960364648</v>
      </c>
      <c r="M973" s="2">
        <v>1633.9510281553708</v>
      </c>
      <c r="N973" s="2">
        <v>1584.9324973107096</v>
      </c>
      <c r="O973" s="2">
        <v>1537.3845223913881</v>
      </c>
    </row>
    <row r="974" spans="1:15" x14ac:dyDescent="0.25">
      <c r="A974" t="s">
        <v>3096</v>
      </c>
      <c r="B974" t="s">
        <v>3097</v>
      </c>
      <c r="C974" s="2">
        <v>2215.4380160000005</v>
      </c>
      <c r="D974" s="2">
        <v>2148.9748755200003</v>
      </c>
      <c r="E974" s="2">
        <v>2084.5056292544004</v>
      </c>
      <c r="F974" s="2">
        <v>2021.9704603767684</v>
      </c>
      <c r="G974" s="2">
        <v>1961.3113465654653</v>
      </c>
      <c r="H974" s="2">
        <v>1902.4720061685014</v>
      </c>
      <c r="I974" s="2">
        <v>1845.3978459834464</v>
      </c>
      <c r="J974" s="2">
        <v>1790.035910603943</v>
      </c>
      <c r="K974" s="2">
        <v>1736.3348332858247</v>
      </c>
      <c r="L974" s="2">
        <v>1684.24478828725</v>
      </c>
      <c r="M974" s="2">
        <v>1633.7174446386325</v>
      </c>
      <c r="N974" s="2">
        <v>1584.7059212994734</v>
      </c>
      <c r="O974" s="2">
        <v>1537.1647436604892</v>
      </c>
    </row>
    <row r="975" spans="1:15" x14ac:dyDescent="0.25">
      <c r="A975" t="s">
        <v>3098</v>
      </c>
      <c r="B975" t="s">
        <v>3099</v>
      </c>
      <c r="C975" s="2">
        <v>2210.2970560000003</v>
      </c>
      <c r="D975" s="2">
        <v>2143.9881443200002</v>
      </c>
      <c r="E975" s="2">
        <v>2079.6684999904001</v>
      </c>
      <c r="F975" s="2">
        <v>2017.2784449906881</v>
      </c>
      <c r="G975" s="2">
        <v>1956.7600916409674</v>
      </c>
      <c r="H975" s="2">
        <v>1898.0572888917384</v>
      </c>
      <c r="I975" s="2">
        <v>1841.1155702249862</v>
      </c>
      <c r="J975" s="2">
        <v>1785.8821031182365</v>
      </c>
      <c r="K975" s="2">
        <v>1732.3056400246894</v>
      </c>
      <c r="L975" s="2">
        <v>1680.3364708239487</v>
      </c>
      <c r="M975" s="2">
        <v>1629.9263766992303</v>
      </c>
      <c r="N975" s="2">
        <v>1581.0285853982534</v>
      </c>
      <c r="O975" s="2">
        <v>1533.5977278363057</v>
      </c>
    </row>
    <row r="976" spans="1:15" x14ac:dyDescent="0.25">
      <c r="A976" t="s">
        <v>3100</v>
      </c>
      <c r="B976" t="s">
        <v>3101</v>
      </c>
      <c r="C976" s="2">
        <v>2210.1756160000004</v>
      </c>
      <c r="D976" s="2">
        <v>2143.8703475200005</v>
      </c>
      <c r="E976" s="2">
        <v>2079.5542370944004</v>
      </c>
      <c r="F976" s="2">
        <v>2017.1676099815684</v>
      </c>
      <c r="G976" s="2">
        <v>1956.6525816821213</v>
      </c>
      <c r="H976" s="2">
        <v>1897.9530042316576</v>
      </c>
      <c r="I976" s="2">
        <v>1841.0144141047078</v>
      </c>
      <c r="J976" s="2">
        <v>1785.7839816815665</v>
      </c>
      <c r="K976" s="2">
        <v>1732.2104622311194</v>
      </c>
      <c r="L976" s="2">
        <v>1680.2441483641858</v>
      </c>
      <c r="M976" s="2">
        <v>1629.8368239132601</v>
      </c>
      <c r="N976" s="2">
        <v>1580.9417191958623</v>
      </c>
      <c r="O976" s="2">
        <v>1533.5134676199864</v>
      </c>
    </row>
    <row r="977" spans="1:15" x14ac:dyDescent="0.25">
      <c r="A977" t="s">
        <v>3102</v>
      </c>
      <c r="B977" t="s">
        <v>3103</v>
      </c>
      <c r="C977" s="2">
        <v>2206.2925719999998</v>
      </c>
      <c r="D977" s="2">
        <v>2140.1037948399999</v>
      </c>
      <c r="E977" s="2">
        <v>2075.9006809947996</v>
      </c>
      <c r="F977" s="2">
        <v>2013.6236605649556</v>
      </c>
      <c r="G977" s="2">
        <v>1953.2149507480069</v>
      </c>
      <c r="H977" s="2">
        <v>1894.6185022255665</v>
      </c>
      <c r="I977" s="2">
        <v>1837.7799471587996</v>
      </c>
      <c r="J977" s="2">
        <v>1782.6465487440355</v>
      </c>
      <c r="K977" s="2">
        <v>1729.1671522817144</v>
      </c>
      <c r="L977" s="2">
        <v>1677.2921377132629</v>
      </c>
      <c r="M977" s="2">
        <v>1626.973373581865</v>
      </c>
      <c r="N977" s="2">
        <v>1578.164172374409</v>
      </c>
      <c r="O977" s="2">
        <v>1530.8192472031767</v>
      </c>
    </row>
    <row r="978" spans="1:15" x14ac:dyDescent="0.25">
      <c r="A978" t="s">
        <v>3104</v>
      </c>
      <c r="B978" t="s">
        <v>3105</v>
      </c>
      <c r="C978" s="2">
        <v>2205.6388199999997</v>
      </c>
      <c r="D978" s="2">
        <v>2139.4696553999997</v>
      </c>
      <c r="E978" s="2">
        <v>2075.2855657379996</v>
      </c>
      <c r="F978" s="2">
        <v>2013.0269987658596</v>
      </c>
      <c r="G978" s="2">
        <v>1952.6361888028837</v>
      </c>
      <c r="H978" s="2">
        <v>1894.0571031387972</v>
      </c>
      <c r="I978" s="2">
        <v>1837.2353900446333</v>
      </c>
      <c r="J978" s="2">
        <v>1782.1183283432943</v>
      </c>
      <c r="K978" s="2">
        <v>1728.6547784929953</v>
      </c>
      <c r="L978" s="2">
        <v>1676.7951351382055</v>
      </c>
      <c r="M978" s="2">
        <v>1626.4912810840592</v>
      </c>
      <c r="N978" s="2">
        <v>1577.6965426515374</v>
      </c>
      <c r="O978" s="2">
        <v>1530.3656463719913</v>
      </c>
    </row>
    <row r="979" spans="1:15" x14ac:dyDescent="0.25">
      <c r="A979" t="s">
        <v>3106</v>
      </c>
      <c r="B979" t="s">
        <v>3107</v>
      </c>
      <c r="C979" s="2">
        <v>2203.0582200000003</v>
      </c>
      <c r="D979" s="2">
        <v>2136.9664734000003</v>
      </c>
      <c r="E979" s="2">
        <v>2072.8574791980004</v>
      </c>
      <c r="F979" s="2">
        <v>2010.6717548220604</v>
      </c>
      <c r="G979" s="2">
        <v>1950.3516021773985</v>
      </c>
      <c r="H979" s="2">
        <v>1891.8410541120766</v>
      </c>
      <c r="I979" s="2">
        <v>1835.0858224887143</v>
      </c>
      <c r="J979" s="2">
        <v>1780.0332478140529</v>
      </c>
      <c r="K979" s="2">
        <v>1726.6322503796312</v>
      </c>
      <c r="L979" s="2">
        <v>1674.8332828682421</v>
      </c>
      <c r="M979" s="2">
        <v>1624.5882843821948</v>
      </c>
      <c r="N979" s="2">
        <v>1575.8506358507288</v>
      </c>
      <c r="O979" s="2">
        <v>1528.5751167752069</v>
      </c>
    </row>
    <row r="980" spans="1:15" x14ac:dyDescent="0.25">
      <c r="A980" t="s">
        <v>3108</v>
      </c>
      <c r="B980" t="s">
        <v>3109</v>
      </c>
      <c r="C980" s="2">
        <v>2198.9302720000005</v>
      </c>
      <c r="D980" s="2">
        <v>2132.9623638400003</v>
      </c>
      <c r="E980" s="2">
        <v>2068.9734929248002</v>
      </c>
      <c r="F980" s="2">
        <v>2006.9042881370563</v>
      </c>
      <c r="G980" s="2">
        <v>1946.6971594929446</v>
      </c>
      <c r="H980" s="2">
        <v>1888.2962447081561</v>
      </c>
      <c r="I980" s="2">
        <v>1831.6473573669114</v>
      </c>
      <c r="J980" s="2">
        <v>1776.6979366459041</v>
      </c>
      <c r="K980" s="2">
        <v>1723.3969985465269</v>
      </c>
      <c r="L980" s="2">
        <v>1671.695088590131</v>
      </c>
      <c r="M980" s="2">
        <v>1621.544235932427</v>
      </c>
      <c r="N980" s="2">
        <v>1572.897908854454</v>
      </c>
      <c r="O980" s="2">
        <v>1525.7109715888205</v>
      </c>
    </row>
    <row r="981" spans="1:15" x14ac:dyDescent="0.25">
      <c r="A981" t="s">
        <v>3110</v>
      </c>
      <c r="B981" t="s">
        <v>3111</v>
      </c>
      <c r="C981" s="2">
        <v>2194.2184000000007</v>
      </c>
      <c r="D981" s="2">
        <v>2128.3918480000007</v>
      </c>
      <c r="E981" s="2">
        <v>2064.5400925600006</v>
      </c>
      <c r="F981" s="2">
        <v>2002.6038897832007</v>
      </c>
      <c r="G981" s="2">
        <v>1942.5257730897047</v>
      </c>
      <c r="H981" s="2">
        <v>1884.2499998970134</v>
      </c>
      <c r="I981" s="2">
        <v>1827.722499900103</v>
      </c>
      <c r="J981" s="2">
        <v>1772.8908249030999</v>
      </c>
      <c r="K981" s="2">
        <v>1719.7041001560069</v>
      </c>
      <c r="L981" s="2">
        <v>1668.1129771513267</v>
      </c>
      <c r="M981" s="2">
        <v>1618.0695878367869</v>
      </c>
      <c r="N981" s="2">
        <v>1569.5275002016833</v>
      </c>
      <c r="O981" s="2">
        <v>1522.4416751956328</v>
      </c>
    </row>
    <row r="982" spans="1:15" x14ac:dyDescent="0.25">
      <c r="A982" t="s">
        <v>3112</v>
      </c>
      <c r="B982" t="s">
        <v>3113</v>
      </c>
      <c r="C982" s="2">
        <v>2192.6396800000007</v>
      </c>
      <c r="D982" s="2">
        <v>2126.8604896000006</v>
      </c>
      <c r="E982" s="2">
        <v>2063.0546749120003</v>
      </c>
      <c r="F982" s="2">
        <v>2001.1630346646402</v>
      </c>
      <c r="G982" s="2">
        <v>1941.1281436247009</v>
      </c>
      <c r="H982" s="2">
        <v>1882.8942993159599</v>
      </c>
      <c r="I982" s="2">
        <v>1826.4074703364811</v>
      </c>
      <c r="J982" s="2">
        <v>1771.6152462263865</v>
      </c>
      <c r="K982" s="2">
        <v>1718.4667888395948</v>
      </c>
      <c r="L982" s="2">
        <v>1666.912785174407</v>
      </c>
      <c r="M982" s="2">
        <v>1616.9054016191747</v>
      </c>
      <c r="N982" s="2">
        <v>1568.3982395705993</v>
      </c>
      <c r="O982" s="2">
        <v>1521.3462923834813</v>
      </c>
    </row>
    <row r="983" spans="1:15" x14ac:dyDescent="0.25">
      <c r="A983" t="s">
        <v>3114</v>
      </c>
      <c r="B983" t="s">
        <v>3115</v>
      </c>
      <c r="C983" s="2">
        <v>2185.1265920000001</v>
      </c>
      <c r="D983" s="2">
        <v>2119.5727942399999</v>
      </c>
      <c r="E983" s="2">
        <v>2055.9856104127998</v>
      </c>
      <c r="F983" s="2">
        <v>1994.3060421004157</v>
      </c>
      <c r="G983" s="2">
        <v>1934.4768608374031</v>
      </c>
      <c r="H983" s="2">
        <v>1876.442555012281</v>
      </c>
      <c r="I983" s="2">
        <v>1820.1492783619126</v>
      </c>
      <c r="J983" s="2">
        <v>1765.5448000110553</v>
      </c>
      <c r="K983" s="2">
        <v>1712.5784560107236</v>
      </c>
      <c r="L983" s="2">
        <v>1661.2011023304019</v>
      </c>
      <c r="M983" s="2">
        <v>1611.3650692604899</v>
      </c>
      <c r="N983" s="2">
        <v>1563.0241171826751</v>
      </c>
      <c r="O983" s="2">
        <v>1516.1333936671949</v>
      </c>
    </row>
    <row r="984" spans="1:15" x14ac:dyDescent="0.25">
      <c r="A984" t="s">
        <v>3116</v>
      </c>
      <c r="B984" t="s">
        <v>3117</v>
      </c>
      <c r="C984" s="2">
        <v>2184.8594240000007</v>
      </c>
      <c r="D984" s="2">
        <v>2119.3136412800004</v>
      </c>
      <c r="E984" s="2">
        <v>2055.7342320416005</v>
      </c>
      <c r="F984" s="2">
        <v>1994.0622050803524</v>
      </c>
      <c r="G984" s="2">
        <v>1934.2403389279418</v>
      </c>
      <c r="H984" s="2">
        <v>1876.2131287601035</v>
      </c>
      <c r="I984" s="2">
        <v>1819.9267348973003</v>
      </c>
      <c r="J984" s="2">
        <v>1765.3289328503813</v>
      </c>
      <c r="K984" s="2">
        <v>1712.3690648648699</v>
      </c>
      <c r="L984" s="2">
        <v>1660.9979929189237</v>
      </c>
      <c r="M984" s="2">
        <v>1611.1680531313559</v>
      </c>
      <c r="N984" s="2">
        <v>1562.8330115374151</v>
      </c>
      <c r="O984" s="2">
        <v>1515.9480211912926</v>
      </c>
    </row>
    <row r="985" spans="1:15" x14ac:dyDescent="0.25">
      <c r="A985" t="s">
        <v>3118</v>
      </c>
      <c r="B985" t="s">
        <v>3119</v>
      </c>
      <c r="C985" s="2">
        <v>2176.804916</v>
      </c>
      <c r="D985" s="2">
        <v>2111.5007685199998</v>
      </c>
      <c r="E985" s="2">
        <v>2048.1557454643998</v>
      </c>
      <c r="F985" s="2">
        <v>1986.7110731004677</v>
      </c>
      <c r="G985" s="2">
        <v>1927.1097409074537</v>
      </c>
      <c r="H985" s="2">
        <v>1869.29644868023</v>
      </c>
      <c r="I985" s="2">
        <v>1813.217555219823</v>
      </c>
      <c r="J985" s="2">
        <v>1758.8210285632283</v>
      </c>
      <c r="K985" s="2">
        <v>1706.0563977063314</v>
      </c>
      <c r="L985" s="2">
        <v>1654.8747057751414</v>
      </c>
      <c r="M985" s="2">
        <v>1605.228464601887</v>
      </c>
      <c r="N985" s="2">
        <v>1557.0716106638304</v>
      </c>
      <c r="O985" s="2">
        <v>1510.3594623439153</v>
      </c>
    </row>
    <row r="986" spans="1:15" x14ac:dyDescent="0.25">
      <c r="A986" t="s">
        <v>3120</v>
      </c>
      <c r="B986" t="s">
        <v>3121</v>
      </c>
      <c r="C986" s="2">
        <v>2175.0308800000003</v>
      </c>
      <c r="D986" s="2">
        <v>2109.7799536000002</v>
      </c>
      <c r="E986" s="2">
        <v>2046.4865549920003</v>
      </c>
      <c r="F986" s="2">
        <v>1985.0919583422401</v>
      </c>
      <c r="G986" s="2">
        <v>1925.5391995919729</v>
      </c>
      <c r="H986" s="2">
        <v>1867.7730236042137</v>
      </c>
      <c r="I986" s="2">
        <v>1811.7398328960871</v>
      </c>
      <c r="J986" s="2">
        <v>1757.3876379092044</v>
      </c>
      <c r="K986" s="2">
        <v>1704.6660087719283</v>
      </c>
      <c r="L986" s="2">
        <v>1653.5260285087704</v>
      </c>
      <c r="M986" s="2">
        <v>1603.9202476535072</v>
      </c>
      <c r="N986" s="2">
        <v>1555.802640223902</v>
      </c>
      <c r="O986" s="2">
        <v>1509.1285610171849</v>
      </c>
    </row>
    <row r="987" spans="1:15" x14ac:dyDescent="0.25">
      <c r="A987" t="s">
        <v>3122</v>
      </c>
      <c r="B987" t="s">
        <v>3123</v>
      </c>
      <c r="C987" s="2">
        <v>2173.2983359999998</v>
      </c>
      <c r="D987" s="2">
        <v>2108.0993859199998</v>
      </c>
      <c r="E987" s="2">
        <v>2044.8564043423999</v>
      </c>
      <c r="F987" s="2">
        <v>1983.5107122121278</v>
      </c>
      <c r="G987" s="2">
        <v>1924.0053908457639</v>
      </c>
      <c r="H987" s="2">
        <v>1866.285229120391</v>
      </c>
      <c r="I987" s="2">
        <v>1810.2966722467793</v>
      </c>
      <c r="J987" s="2">
        <v>1755.9877720793759</v>
      </c>
      <c r="K987" s="2">
        <v>1703.3081389169945</v>
      </c>
      <c r="L987" s="2">
        <v>1652.2088947494847</v>
      </c>
      <c r="M987" s="2">
        <v>1602.6426279070001</v>
      </c>
      <c r="N987" s="2">
        <v>1554.5633490697901</v>
      </c>
      <c r="O987" s="2">
        <v>1507.9264485976964</v>
      </c>
    </row>
    <row r="988" spans="1:15" x14ac:dyDescent="0.25">
      <c r="A988" t="s">
        <v>3124</v>
      </c>
      <c r="B988" t="s">
        <v>3125</v>
      </c>
      <c r="C988" s="2">
        <v>2169.114728</v>
      </c>
      <c r="D988" s="2">
        <v>2104.0412861599998</v>
      </c>
      <c r="E988" s="2">
        <v>2040.9200475751998</v>
      </c>
      <c r="F988" s="2">
        <v>1979.6924461479437</v>
      </c>
      <c r="G988" s="2">
        <v>1920.3016727635054</v>
      </c>
      <c r="H988" s="2">
        <v>1862.6926225806001</v>
      </c>
      <c r="I988" s="2">
        <v>1806.8118439031821</v>
      </c>
      <c r="J988" s="2">
        <v>1752.6074885860867</v>
      </c>
      <c r="K988" s="2">
        <v>1700.029263928504</v>
      </c>
      <c r="L988" s="2">
        <v>1649.0283860106488</v>
      </c>
      <c r="M988" s="2">
        <v>1599.5575344303293</v>
      </c>
      <c r="N988" s="2">
        <v>1551.5708083974193</v>
      </c>
      <c r="O988" s="2">
        <v>1505.0236841454966</v>
      </c>
    </row>
    <row r="989" spans="1:15" x14ac:dyDescent="0.25">
      <c r="A989" t="s">
        <v>1109</v>
      </c>
      <c r="B989" t="s">
        <v>3126</v>
      </c>
      <c r="C989" s="2">
        <v>2163.7212740000004</v>
      </c>
      <c r="D989" s="2">
        <v>2098.8096357800005</v>
      </c>
      <c r="E989" s="2">
        <v>2035.8453467066004</v>
      </c>
      <c r="F989" s="2">
        <v>1974.7699863054022</v>
      </c>
      <c r="G989" s="2">
        <v>1915.5268867162401</v>
      </c>
      <c r="H989" s="2">
        <v>1858.0610801147529</v>
      </c>
      <c r="I989" s="2">
        <v>1802.3192477113103</v>
      </c>
      <c r="J989" s="2">
        <v>1748.2496702799708</v>
      </c>
      <c r="K989" s="2">
        <v>1695.8021801715715</v>
      </c>
      <c r="L989" s="2">
        <v>1644.9281147664244</v>
      </c>
      <c r="M989" s="2">
        <v>1595.5802713234316</v>
      </c>
      <c r="N989" s="2">
        <v>1547.7128631837286</v>
      </c>
      <c r="O989" s="2">
        <v>1501.2814772882166</v>
      </c>
    </row>
    <row r="990" spans="1:15" x14ac:dyDescent="0.25">
      <c r="A990" t="s">
        <v>3127</v>
      </c>
      <c r="B990" t="s">
        <v>3128</v>
      </c>
      <c r="C990" s="2">
        <v>2162.7978240000002</v>
      </c>
      <c r="D990" s="2">
        <v>2097.9138892800001</v>
      </c>
      <c r="E990" s="2">
        <v>2034.9764726016001</v>
      </c>
      <c r="F990" s="2">
        <v>1973.927178423552</v>
      </c>
      <c r="G990" s="2">
        <v>1914.7093630708455</v>
      </c>
      <c r="H990" s="2">
        <v>1857.2680821787201</v>
      </c>
      <c r="I990" s="2">
        <v>1801.5500397133585</v>
      </c>
      <c r="J990" s="2">
        <v>1747.5035385219578</v>
      </c>
      <c r="K990" s="2">
        <v>1695.078432366299</v>
      </c>
      <c r="L990" s="2">
        <v>1644.2260793953101</v>
      </c>
      <c r="M990" s="2">
        <v>1594.8992970134507</v>
      </c>
      <c r="N990" s="2">
        <v>1547.0523181030471</v>
      </c>
      <c r="O990" s="2">
        <v>1500.6407485599557</v>
      </c>
    </row>
    <row r="991" spans="1:15" x14ac:dyDescent="0.25">
      <c r="A991" t="s">
        <v>3129</v>
      </c>
      <c r="B991" t="s">
        <v>3130</v>
      </c>
      <c r="C991" s="2">
        <v>2161.6739980000002</v>
      </c>
      <c r="D991" s="2">
        <v>2096.8237780600002</v>
      </c>
      <c r="E991" s="2">
        <v>2033.9190647182002</v>
      </c>
      <c r="F991" s="2">
        <v>1972.9014927766541</v>
      </c>
      <c r="G991" s="2">
        <v>1913.7144479933545</v>
      </c>
      <c r="H991" s="2">
        <v>1856.3030145535538</v>
      </c>
      <c r="I991" s="2">
        <v>1800.6139241169471</v>
      </c>
      <c r="J991" s="2">
        <v>1746.5955063934387</v>
      </c>
      <c r="K991" s="2">
        <v>1694.1976412016354</v>
      </c>
      <c r="L991" s="2">
        <v>1643.3717119655862</v>
      </c>
      <c r="M991" s="2">
        <v>1594.0705606066185</v>
      </c>
      <c r="N991" s="2">
        <v>1546.24844378842</v>
      </c>
      <c r="O991" s="2">
        <v>1499.8609904747673</v>
      </c>
    </row>
    <row r="992" spans="1:15" x14ac:dyDescent="0.25">
      <c r="A992" t="s">
        <v>3131</v>
      </c>
      <c r="B992" t="s">
        <v>3132</v>
      </c>
      <c r="C992" s="2">
        <v>2160.4985600000005</v>
      </c>
      <c r="D992" s="2">
        <v>2095.6836032000006</v>
      </c>
      <c r="E992" s="2">
        <v>2032.8130951040005</v>
      </c>
      <c r="F992" s="2">
        <v>1971.8287022508805</v>
      </c>
      <c r="G992" s="2">
        <v>1912.6738411833539</v>
      </c>
      <c r="H992" s="2">
        <v>1855.2936259478533</v>
      </c>
      <c r="I992" s="2">
        <v>1799.6348171694176</v>
      </c>
      <c r="J992" s="2">
        <v>1745.6457726543351</v>
      </c>
      <c r="K992" s="2">
        <v>1693.2763994747049</v>
      </c>
      <c r="L992" s="2">
        <v>1642.4781074904638</v>
      </c>
      <c r="M992" s="2">
        <v>1593.2037642657499</v>
      </c>
      <c r="N992" s="2">
        <v>1545.4076513377775</v>
      </c>
      <c r="O992" s="2">
        <v>1499.0454217976442</v>
      </c>
    </row>
    <row r="993" spans="1:15" x14ac:dyDescent="0.25">
      <c r="A993" t="s">
        <v>3133</v>
      </c>
      <c r="B993" t="s">
        <v>3134</v>
      </c>
      <c r="C993" s="2">
        <v>2159.6403840000003</v>
      </c>
      <c r="D993" s="2">
        <v>2094.8511724800001</v>
      </c>
      <c r="E993" s="2">
        <v>2032.0056373056</v>
      </c>
      <c r="F993" s="2">
        <v>1971.0454681864319</v>
      </c>
      <c r="G993" s="2">
        <v>1911.9141041408388</v>
      </c>
      <c r="H993" s="2">
        <v>1854.5566810166135</v>
      </c>
      <c r="I993" s="2">
        <v>1798.9199805861151</v>
      </c>
      <c r="J993" s="2">
        <v>1744.9523811685317</v>
      </c>
      <c r="K993" s="2">
        <v>1692.6038097334756</v>
      </c>
      <c r="L993" s="2">
        <v>1641.8256954414712</v>
      </c>
      <c r="M993" s="2">
        <v>1592.5709245782271</v>
      </c>
      <c r="N993" s="2">
        <v>1544.7937968408803</v>
      </c>
      <c r="O993" s="2">
        <v>1498.4499829356539</v>
      </c>
    </row>
    <row r="994" spans="1:15" x14ac:dyDescent="0.25">
      <c r="A994" t="s">
        <v>3135</v>
      </c>
      <c r="B994" t="s">
        <v>3136</v>
      </c>
      <c r="C994" s="2">
        <v>2159.0417860000002</v>
      </c>
      <c r="D994" s="2">
        <v>2094.2705324200001</v>
      </c>
      <c r="E994" s="2">
        <v>2031.4424164474001</v>
      </c>
      <c r="F994" s="2">
        <v>1970.4991439539781</v>
      </c>
      <c r="G994" s="2">
        <v>1911.3841696353586</v>
      </c>
      <c r="H994" s="2">
        <v>1854.0426445462979</v>
      </c>
      <c r="I994" s="2">
        <v>1798.4213652099088</v>
      </c>
      <c r="J994" s="2">
        <v>1744.4687242536115</v>
      </c>
      <c r="K994" s="2">
        <v>1692.1346625260032</v>
      </c>
      <c r="L994" s="2">
        <v>1641.3706226502231</v>
      </c>
      <c r="M994" s="2">
        <v>1592.1295039707163</v>
      </c>
      <c r="N994" s="2">
        <v>1544.3656188515947</v>
      </c>
      <c r="O994" s="2">
        <v>1498.0346502860468</v>
      </c>
    </row>
    <row r="995" spans="1:15" x14ac:dyDescent="0.25">
      <c r="A995" t="s">
        <v>3137</v>
      </c>
      <c r="B995" t="s">
        <v>3138</v>
      </c>
      <c r="C995" s="2">
        <v>2157.9321280000004</v>
      </c>
      <c r="D995" s="2">
        <v>2093.1941641600001</v>
      </c>
      <c r="E995" s="2">
        <v>2030.3983392352</v>
      </c>
      <c r="F995" s="2">
        <v>1969.4863890581439</v>
      </c>
      <c r="G995" s="2">
        <v>1910.4017973863995</v>
      </c>
      <c r="H995" s="2">
        <v>1853.0897434648075</v>
      </c>
      <c r="I995" s="2">
        <v>1797.4970511608633</v>
      </c>
      <c r="J995" s="2">
        <v>1743.5721396260374</v>
      </c>
      <c r="K995" s="2">
        <v>1691.2649754372562</v>
      </c>
      <c r="L995" s="2">
        <v>1640.5270261741384</v>
      </c>
      <c r="M995" s="2">
        <v>1591.3112153889142</v>
      </c>
      <c r="N995" s="2">
        <v>1543.5718789272466</v>
      </c>
      <c r="O995" s="2">
        <v>1497.2647225594292</v>
      </c>
    </row>
    <row r="996" spans="1:15" x14ac:dyDescent="0.25">
      <c r="A996" t="s">
        <v>3139</v>
      </c>
      <c r="B996" t="s">
        <v>3140</v>
      </c>
      <c r="C996" s="2">
        <v>2155.9106580000002</v>
      </c>
      <c r="D996" s="2">
        <v>2091.23333826</v>
      </c>
      <c r="E996" s="2">
        <v>2028.4963381122</v>
      </c>
      <c r="F996" s="2">
        <v>1967.641447968834</v>
      </c>
      <c r="G996" s="2">
        <v>1908.6122045297689</v>
      </c>
      <c r="H996" s="2">
        <v>1851.3538383938758</v>
      </c>
      <c r="I996" s="2">
        <v>1795.8132232420594</v>
      </c>
      <c r="J996" s="2">
        <v>1741.9388265447976</v>
      </c>
      <c r="K996" s="2">
        <v>1689.6806617484538</v>
      </c>
      <c r="L996" s="2">
        <v>1638.990241896</v>
      </c>
      <c r="M996" s="2">
        <v>1589.8205346391201</v>
      </c>
      <c r="N996" s="2">
        <v>1542.1259185999463</v>
      </c>
      <c r="O996" s="2">
        <v>1495.8621410419478</v>
      </c>
    </row>
    <row r="997" spans="1:15" x14ac:dyDescent="0.25">
      <c r="A997" t="s">
        <v>3141</v>
      </c>
      <c r="B997" t="s">
        <v>3142</v>
      </c>
      <c r="C997" s="2">
        <v>2153.2182319999997</v>
      </c>
      <c r="D997" s="2">
        <v>2088.6216850399996</v>
      </c>
      <c r="E997" s="2">
        <v>2025.9630344887996</v>
      </c>
      <c r="F997" s="2">
        <v>1965.1841434541357</v>
      </c>
      <c r="G997" s="2">
        <v>1906.2286191505116</v>
      </c>
      <c r="H997" s="2">
        <v>1849.0417605759962</v>
      </c>
      <c r="I997" s="2">
        <v>1793.5705077587163</v>
      </c>
      <c r="J997" s="2">
        <v>1739.7633925259547</v>
      </c>
      <c r="K997" s="2">
        <v>1687.5704907501761</v>
      </c>
      <c r="L997" s="2">
        <v>1636.9433760276706</v>
      </c>
      <c r="M997" s="2">
        <v>1587.8350747468405</v>
      </c>
      <c r="N997" s="2">
        <v>1540.2000225044353</v>
      </c>
      <c r="O997" s="2">
        <v>1493.9940218293023</v>
      </c>
    </row>
    <row r="998" spans="1:15" x14ac:dyDescent="0.25">
      <c r="A998" t="s">
        <v>3143</v>
      </c>
      <c r="B998" t="s">
        <v>3144</v>
      </c>
      <c r="C998" s="2">
        <v>2151.9977600000002</v>
      </c>
      <c r="D998" s="2">
        <v>2087.4378272000004</v>
      </c>
      <c r="E998" s="2">
        <v>2024.8146923840002</v>
      </c>
      <c r="F998" s="2">
        <v>1964.0702516124802</v>
      </c>
      <c r="G998" s="2">
        <v>1905.1481440641057</v>
      </c>
      <c r="H998" s="2">
        <v>1847.9936997421826</v>
      </c>
      <c r="I998" s="2">
        <v>1792.553888749917</v>
      </c>
      <c r="J998" s="2">
        <v>1738.7772720874193</v>
      </c>
      <c r="K998" s="2">
        <v>1686.6139539247968</v>
      </c>
      <c r="L998" s="2">
        <v>1636.0155353070529</v>
      </c>
      <c r="M998" s="2">
        <v>1586.9350692478413</v>
      </c>
      <c r="N998" s="2">
        <v>1539.327017170406</v>
      </c>
      <c r="O998" s="2">
        <v>1493.1472066552938</v>
      </c>
    </row>
    <row r="999" spans="1:15" x14ac:dyDescent="0.25">
      <c r="A999" t="s">
        <v>1143</v>
      </c>
      <c r="B999" t="s">
        <v>3145</v>
      </c>
      <c r="C999" s="2">
        <v>2151.8677180000004</v>
      </c>
      <c r="D999" s="2">
        <v>2087.3116864600001</v>
      </c>
      <c r="E999" s="2">
        <v>2024.6923358662</v>
      </c>
      <c r="F999" s="2">
        <v>1963.9515657902139</v>
      </c>
      <c r="G999" s="2">
        <v>1905.0330188165074</v>
      </c>
      <c r="H999" s="2">
        <v>1847.8820282520121</v>
      </c>
      <c r="I999" s="2">
        <v>1792.4455674044516</v>
      </c>
      <c r="J999" s="2">
        <v>1738.6722003823179</v>
      </c>
      <c r="K999" s="2">
        <v>1686.5120343708484</v>
      </c>
      <c r="L999" s="2">
        <v>1635.9166733397228</v>
      </c>
      <c r="M999" s="2">
        <v>1586.8391731395311</v>
      </c>
      <c r="N999" s="2">
        <v>1539.2339979453452</v>
      </c>
      <c r="O999" s="2">
        <v>1493.0569780069848</v>
      </c>
    </row>
    <row r="1000" spans="1:15" x14ac:dyDescent="0.25">
      <c r="A1000" t="s">
        <v>3146</v>
      </c>
      <c r="B1000" t="s">
        <v>3147</v>
      </c>
      <c r="C1000" s="2">
        <v>2151.0910080000003</v>
      </c>
      <c r="D1000" s="2">
        <v>2086.5582777600002</v>
      </c>
      <c r="E1000" s="2">
        <v>2023.9615294272003</v>
      </c>
      <c r="F1000" s="2">
        <v>1963.2426835443841</v>
      </c>
      <c r="G1000" s="2">
        <v>1904.3454030380526</v>
      </c>
      <c r="H1000" s="2">
        <v>1847.2150409469109</v>
      </c>
      <c r="I1000" s="2">
        <v>1791.7985897185035</v>
      </c>
      <c r="J1000" s="2">
        <v>1738.0446320269484</v>
      </c>
      <c r="K1000" s="2">
        <v>1685.9032930661399</v>
      </c>
      <c r="L1000" s="2">
        <v>1635.3261942741556</v>
      </c>
      <c r="M1000" s="2">
        <v>1586.2664084459309</v>
      </c>
      <c r="N1000" s="2">
        <v>1538.678416192553</v>
      </c>
      <c r="O1000" s="2">
        <v>1492.5180637067763</v>
      </c>
    </row>
    <row r="1001" spans="1:15" x14ac:dyDescent="0.25">
      <c r="A1001" t="s">
        <v>3148</v>
      </c>
      <c r="B1001" t="s">
        <v>3149</v>
      </c>
      <c r="C1001" s="2">
        <v>2150.1356800000008</v>
      </c>
      <c r="D1001" s="2">
        <v>2085.6316096000005</v>
      </c>
      <c r="E1001" s="2">
        <v>2023.0626613120005</v>
      </c>
      <c r="F1001" s="2">
        <v>1962.3707814726404</v>
      </c>
      <c r="G1001" s="2">
        <v>1903.499658028461</v>
      </c>
      <c r="H1001" s="2">
        <v>1846.3946682876071</v>
      </c>
      <c r="I1001" s="2">
        <v>1791.002828238979</v>
      </c>
      <c r="J1001" s="2">
        <v>1737.2727433918096</v>
      </c>
      <c r="K1001" s="2">
        <v>1685.1545610900553</v>
      </c>
      <c r="L1001" s="2">
        <v>1634.5999242573537</v>
      </c>
      <c r="M1001" s="2">
        <v>1585.561926529633</v>
      </c>
      <c r="N1001" s="2">
        <v>1537.9950687337439</v>
      </c>
      <c r="O1001" s="2">
        <v>1491.8552166717316</v>
      </c>
    </row>
    <row r="1002" spans="1:15" x14ac:dyDescent="0.25">
      <c r="A1002" t="s">
        <v>3150</v>
      </c>
      <c r="B1002" t="s">
        <v>3151</v>
      </c>
      <c r="C1002" s="2">
        <v>2148.3140800000006</v>
      </c>
      <c r="D1002" s="2">
        <v>2083.8646576000006</v>
      </c>
      <c r="E1002" s="2">
        <v>2021.3487178720004</v>
      </c>
      <c r="F1002" s="2">
        <v>1960.7082563358404</v>
      </c>
      <c r="G1002" s="2">
        <v>1901.887008645765</v>
      </c>
      <c r="H1002" s="2">
        <v>1844.8303983863921</v>
      </c>
      <c r="I1002" s="2">
        <v>1789.4854864348004</v>
      </c>
      <c r="J1002" s="2">
        <v>1735.8009218417562</v>
      </c>
      <c r="K1002" s="2">
        <v>1683.7268941865036</v>
      </c>
      <c r="L1002" s="2">
        <v>1633.2150873609085</v>
      </c>
      <c r="M1002" s="2">
        <v>1584.2186347400811</v>
      </c>
      <c r="N1002" s="2">
        <v>1536.6920756978786</v>
      </c>
      <c r="O1002" s="2">
        <v>1490.5913134269422</v>
      </c>
    </row>
    <row r="1003" spans="1:15" x14ac:dyDescent="0.25">
      <c r="A1003" t="s">
        <v>3152</v>
      </c>
      <c r="B1003" t="s">
        <v>3153</v>
      </c>
      <c r="C1003" s="2">
        <v>2146.9458560000007</v>
      </c>
      <c r="D1003" s="2">
        <v>2082.5374803200007</v>
      </c>
      <c r="E1003" s="2">
        <v>2020.0613559104006</v>
      </c>
      <c r="F1003" s="2">
        <v>1959.4595152330885</v>
      </c>
      <c r="G1003" s="2">
        <v>1900.6757297760957</v>
      </c>
      <c r="H1003" s="2">
        <v>1843.6554578828129</v>
      </c>
      <c r="I1003" s="2">
        <v>1788.3457941463284</v>
      </c>
      <c r="J1003" s="2">
        <v>1734.6954203219386</v>
      </c>
      <c r="K1003" s="2">
        <v>1682.6545577122804</v>
      </c>
      <c r="L1003" s="2">
        <v>1632.174920980912</v>
      </c>
      <c r="M1003" s="2">
        <v>1583.2096733514845</v>
      </c>
      <c r="N1003" s="2">
        <v>1535.71338315094</v>
      </c>
      <c r="O1003" s="2">
        <v>1489.6419816564116</v>
      </c>
    </row>
    <row r="1004" spans="1:15" x14ac:dyDescent="0.25">
      <c r="A1004" t="s">
        <v>3154</v>
      </c>
      <c r="B1004" t="s">
        <v>3155</v>
      </c>
      <c r="C1004" s="2">
        <v>2143.0516800000005</v>
      </c>
      <c r="D1004" s="2">
        <v>2078.7601296000003</v>
      </c>
      <c r="E1004" s="2">
        <v>2016.3973257120001</v>
      </c>
      <c r="F1004" s="2">
        <v>1955.9054059406401</v>
      </c>
      <c r="G1004" s="2">
        <v>1897.2282437624208</v>
      </c>
      <c r="H1004" s="2">
        <v>1840.3113964495481</v>
      </c>
      <c r="I1004" s="2">
        <v>1785.1020545560616</v>
      </c>
      <c r="J1004" s="2">
        <v>1731.5489929193798</v>
      </c>
      <c r="K1004" s="2">
        <v>1679.6025231317983</v>
      </c>
      <c r="L1004" s="2">
        <v>1629.2144474378442</v>
      </c>
      <c r="M1004" s="2">
        <v>1580.338014014709</v>
      </c>
      <c r="N1004" s="2">
        <v>1532.9278735942676</v>
      </c>
      <c r="O1004" s="2">
        <v>1486.9400373864396</v>
      </c>
    </row>
    <row r="1005" spans="1:15" x14ac:dyDescent="0.25">
      <c r="A1005" t="s">
        <v>3156</v>
      </c>
      <c r="B1005" t="s">
        <v>3157</v>
      </c>
      <c r="C1005" s="2">
        <v>2139.2708480000001</v>
      </c>
      <c r="D1005" s="2">
        <v>2075.0927225599999</v>
      </c>
      <c r="E1005" s="2">
        <v>2012.8399408831999</v>
      </c>
      <c r="F1005" s="2">
        <v>1952.454742656704</v>
      </c>
      <c r="G1005" s="2">
        <v>1893.8811003770029</v>
      </c>
      <c r="H1005" s="2">
        <v>1837.0646673656927</v>
      </c>
      <c r="I1005" s="2">
        <v>1781.9527273447218</v>
      </c>
      <c r="J1005" s="2">
        <v>1728.49414552438</v>
      </c>
      <c r="K1005" s="2">
        <v>1676.6393211586485</v>
      </c>
      <c r="L1005" s="2">
        <v>1626.3401415238891</v>
      </c>
      <c r="M1005" s="2">
        <v>1577.5499372781724</v>
      </c>
      <c r="N1005" s="2">
        <v>1530.2234391598272</v>
      </c>
      <c r="O1005" s="2">
        <v>1484.3167359850324</v>
      </c>
    </row>
    <row r="1006" spans="1:15" x14ac:dyDescent="0.25">
      <c r="A1006" t="s">
        <v>3158</v>
      </c>
      <c r="B1006" t="s">
        <v>3159</v>
      </c>
      <c r="C1006" s="2">
        <v>2138.129312</v>
      </c>
      <c r="D1006" s="2">
        <v>2073.98543264</v>
      </c>
      <c r="E1006" s="2">
        <v>2011.7658696608</v>
      </c>
      <c r="F1006" s="2">
        <v>1951.4128935709759</v>
      </c>
      <c r="G1006" s="2">
        <v>1892.8705067638466</v>
      </c>
      <c r="H1006" s="2">
        <v>1836.0843915609312</v>
      </c>
      <c r="I1006" s="2">
        <v>1781.0018598141032</v>
      </c>
      <c r="J1006" s="2">
        <v>1727.57180401968</v>
      </c>
      <c r="K1006" s="2">
        <v>1675.7446498990896</v>
      </c>
      <c r="L1006" s="2">
        <v>1625.4723104021168</v>
      </c>
      <c r="M1006" s="2">
        <v>1576.7081410900532</v>
      </c>
      <c r="N1006" s="2">
        <v>1529.4068968573515</v>
      </c>
      <c r="O1006" s="2">
        <v>1483.524689951631</v>
      </c>
    </row>
    <row r="1007" spans="1:15" x14ac:dyDescent="0.25">
      <c r="A1007" t="s">
        <v>3160</v>
      </c>
      <c r="B1007" t="s">
        <v>3161</v>
      </c>
      <c r="C1007" s="2">
        <v>2137.9592960000004</v>
      </c>
      <c r="D1007" s="2">
        <v>2073.8205171200002</v>
      </c>
      <c r="E1007" s="2">
        <v>2011.6059016064</v>
      </c>
      <c r="F1007" s="2">
        <v>1951.2577245582079</v>
      </c>
      <c r="G1007" s="2">
        <v>1892.7199928214616</v>
      </c>
      <c r="H1007" s="2">
        <v>1835.9383930368176</v>
      </c>
      <c r="I1007" s="2">
        <v>1780.860241245713</v>
      </c>
      <c r="J1007" s="2">
        <v>1727.4344340083417</v>
      </c>
      <c r="K1007" s="2">
        <v>1675.6114009880914</v>
      </c>
      <c r="L1007" s="2">
        <v>1625.3430589584486</v>
      </c>
      <c r="M1007" s="2">
        <v>1576.5827671896952</v>
      </c>
      <c r="N1007" s="2">
        <v>1529.2852841740043</v>
      </c>
      <c r="O1007" s="2">
        <v>1483.4067256487842</v>
      </c>
    </row>
    <row r="1008" spans="1:15" x14ac:dyDescent="0.25">
      <c r="A1008" t="s">
        <v>3162</v>
      </c>
      <c r="B1008" t="s">
        <v>3163</v>
      </c>
      <c r="C1008" s="2">
        <v>2136.4534400000007</v>
      </c>
      <c r="D1008" s="2">
        <v>2072.3598368000007</v>
      </c>
      <c r="E1008" s="2">
        <v>2010.1890416960007</v>
      </c>
      <c r="F1008" s="2">
        <v>1949.8833704451206</v>
      </c>
      <c r="G1008" s="2">
        <v>1891.386869331767</v>
      </c>
      <c r="H1008" s="2">
        <v>1834.645263251814</v>
      </c>
      <c r="I1008" s="2">
        <v>1779.6059053542594</v>
      </c>
      <c r="J1008" s="2">
        <v>1726.2177281936317</v>
      </c>
      <c r="K1008" s="2">
        <v>1674.4311963478228</v>
      </c>
      <c r="L1008" s="2">
        <v>1624.1982604573882</v>
      </c>
      <c r="M1008" s="2">
        <v>1575.4723126436666</v>
      </c>
      <c r="N1008" s="2">
        <v>1528.2081432643565</v>
      </c>
      <c r="O1008" s="2">
        <v>1482.3618989664258</v>
      </c>
    </row>
    <row r="1009" spans="1:15" x14ac:dyDescent="0.25">
      <c r="A1009" t="s">
        <v>3164</v>
      </c>
      <c r="B1009" t="s">
        <v>3165</v>
      </c>
      <c r="C1009" s="2">
        <v>2135.8786240000004</v>
      </c>
      <c r="D1009" s="2">
        <v>2071.8022652800005</v>
      </c>
      <c r="E1009" s="2">
        <v>2009.6481973216005</v>
      </c>
      <c r="F1009" s="2">
        <v>1949.3587514019525</v>
      </c>
      <c r="G1009" s="2">
        <v>1890.877988859894</v>
      </c>
      <c r="H1009" s="2">
        <v>1834.1516491940972</v>
      </c>
      <c r="I1009" s="2">
        <v>1779.1270997182742</v>
      </c>
      <c r="J1009" s="2">
        <v>1725.7532867267259</v>
      </c>
      <c r="K1009" s="2">
        <v>1673.9806881249242</v>
      </c>
      <c r="L1009" s="2">
        <v>1623.7612674811764</v>
      </c>
      <c r="M1009" s="2">
        <v>1575.0484294567411</v>
      </c>
      <c r="N1009" s="2">
        <v>1527.7969765730388</v>
      </c>
      <c r="O1009" s="2">
        <v>1481.9630672758476</v>
      </c>
    </row>
    <row r="1010" spans="1:15" x14ac:dyDescent="0.25">
      <c r="A1010" t="s">
        <v>3166</v>
      </c>
      <c r="B1010" t="s">
        <v>3167</v>
      </c>
      <c r="C1010" s="2">
        <v>2135.1014080000004</v>
      </c>
      <c r="D1010" s="2">
        <v>2071.0483657600003</v>
      </c>
      <c r="E1010" s="2">
        <v>2008.9169147872001</v>
      </c>
      <c r="F1010" s="2">
        <v>1948.649407343584</v>
      </c>
      <c r="G1010" s="2">
        <v>1890.1899251232765</v>
      </c>
      <c r="H1010" s="2">
        <v>1833.4842273695781</v>
      </c>
      <c r="I1010" s="2">
        <v>1778.4797005484907</v>
      </c>
      <c r="J1010" s="2">
        <v>1725.125309532036</v>
      </c>
      <c r="K1010" s="2">
        <v>1673.3715502460748</v>
      </c>
      <c r="L1010" s="2">
        <v>1623.1704037386926</v>
      </c>
      <c r="M1010" s="2">
        <v>1574.4752916265318</v>
      </c>
      <c r="N1010" s="2">
        <v>1527.2410328777357</v>
      </c>
      <c r="O1010" s="2">
        <v>1481.4238018914036</v>
      </c>
    </row>
    <row r="1011" spans="1:15" x14ac:dyDescent="0.25">
      <c r="A1011" t="s">
        <v>3168</v>
      </c>
      <c r="B1011" t="s">
        <v>3169</v>
      </c>
      <c r="C1011" s="2">
        <v>2133.2443880000005</v>
      </c>
      <c r="D1011" s="2">
        <v>2069.2470563600004</v>
      </c>
      <c r="E1011" s="2">
        <v>2007.1696446692004</v>
      </c>
      <c r="F1011" s="2">
        <v>1946.9545553291243</v>
      </c>
      <c r="G1011" s="2">
        <v>1888.5459186692506</v>
      </c>
      <c r="H1011" s="2">
        <v>1831.889541109173</v>
      </c>
      <c r="I1011" s="2">
        <v>1776.9328548758979</v>
      </c>
      <c r="J1011" s="2">
        <v>1723.6248692296208</v>
      </c>
      <c r="K1011" s="2">
        <v>1671.9161231527321</v>
      </c>
      <c r="L1011" s="2">
        <v>1621.7586394581501</v>
      </c>
      <c r="M1011" s="2">
        <v>1573.1058802744055</v>
      </c>
      <c r="N1011" s="2">
        <v>1525.9127038661734</v>
      </c>
      <c r="O1011" s="2">
        <v>1480.1353227501882</v>
      </c>
    </row>
    <row r="1012" spans="1:15" x14ac:dyDescent="0.25">
      <c r="A1012" t="s">
        <v>1112</v>
      </c>
      <c r="B1012" t="s">
        <v>3170</v>
      </c>
      <c r="C1012" s="2">
        <v>2128.3240440000004</v>
      </c>
      <c r="D1012" s="2">
        <v>2064.4743226800006</v>
      </c>
      <c r="E1012" s="2">
        <v>2002.5400929996006</v>
      </c>
      <c r="F1012" s="2">
        <v>1942.4638902096126</v>
      </c>
      <c r="G1012" s="2">
        <v>1884.1899735033242</v>
      </c>
      <c r="H1012" s="2">
        <v>1827.6642742982244</v>
      </c>
      <c r="I1012" s="2">
        <v>1772.8343460692777</v>
      </c>
      <c r="J1012" s="2">
        <v>1719.6493156871993</v>
      </c>
      <c r="K1012" s="2">
        <v>1668.0598362165833</v>
      </c>
      <c r="L1012" s="2">
        <v>1618.0180411300857</v>
      </c>
      <c r="M1012" s="2">
        <v>1569.4774998961832</v>
      </c>
      <c r="N1012" s="2">
        <v>1522.3931748992977</v>
      </c>
      <c r="O1012" s="2">
        <v>1476.7213796523188</v>
      </c>
    </row>
    <row r="1013" spans="1:15" x14ac:dyDescent="0.25">
      <c r="A1013" t="s">
        <v>3171</v>
      </c>
      <c r="B1013" t="s">
        <v>3172</v>
      </c>
      <c r="C1013" s="2">
        <v>2128.0659840000003</v>
      </c>
      <c r="D1013" s="2">
        <v>2064.2240044800001</v>
      </c>
      <c r="E1013" s="2">
        <v>2002.2972843456</v>
      </c>
      <c r="F1013" s="2">
        <v>1942.2283658152319</v>
      </c>
      <c r="G1013" s="2">
        <v>1883.961514840775</v>
      </c>
      <c r="H1013" s="2">
        <v>1827.4426693955515</v>
      </c>
      <c r="I1013" s="2">
        <v>1772.6193893136849</v>
      </c>
      <c r="J1013" s="2">
        <v>1719.4408076342743</v>
      </c>
      <c r="K1013" s="2">
        <v>1667.857583405246</v>
      </c>
      <c r="L1013" s="2">
        <v>1617.8218559030886</v>
      </c>
      <c r="M1013" s="2">
        <v>1569.287200225996</v>
      </c>
      <c r="N1013" s="2">
        <v>1522.2085842192162</v>
      </c>
      <c r="O1013" s="2">
        <v>1476.5423266926396</v>
      </c>
    </row>
    <row r="1014" spans="1:15" x14ac:dyDescent="0.25">
      <c r="A1014" t="s">
        <v>3173</v>
      </c>
      <c r="B1014" t="s">
        <v>3174</v>
      </c>
      <c r="C1014" s="2">
        <v>2127.6692800000005</v>
      </c>
      <c r="D1014" s="2">
        <v>2063.8392016000003</v>
      </c>
      <c r="E1014" s="2">
        <v>2001.9240255520001</v>
      </c>
      <c r="F1014" s="2">
        <v>1941.86630478544</v>
      </c>
      <c r="G1014" s="2">
        <v>1883.6103156418767</v>
      </c>
      <c r="H1014" s="2">
        <v>1827.1020061726203</v>
      </c>
      <c r="I1014" s="2">
        <v>1772.2889459874416</v>
      </c>
      <c r="J1014" s="2">
        <v>1719.1202776078183</v>
      </c>
      <c r="K1014" s="2">
        <v>1667.5466692795837</v>
      </c>
      <c r="L1014" s="2">
        <v>1617.5202692011962</v>
      </c>
      <c r="M1014" s="2">
        <v>1568.9946611251603</v>
      </c>
      <c r="N1014" s="2">
        <v>1521.9248212914054</v>
      </c>
      <c r="O1014" s="2">
        <v>1476.2670766526633</v>
      </c>
    </row>
    <row r="1015" spans="1:15" x14ac:dyDescent="0.25">
      <c r="A1015" t="s">
        <v>3175</v>
      </c>
      <c r="B1015" t="s">
        <v>3176</v>
      </c>
      <c r="C1015" s="2">
        <v>2126.3658240000004</v>
      </c>
      <c r="D1015" s="2">
        <v>2062.5748492800003</v>
      </c>
      <c r="E1015" s="2">
        <v>2000.6976038016003</v>
      </c>
      <c r="F1015" s="2">
        <v>1940.6766756875522</v>
      </c>
      <c r="G1015" s="2">
        <v>1882.4563754169255</v>
      </c>
      <c r="H1015" s="2">
        <v>1825.9826841544177</v>
      </c>
      <c r="I1015" s="2">
        <v>1771.2032036297851</v>
      </c>
      <c r="J1015" s="2">
        <v>1718.0671075208916</v>
      </c>
      <c r="K1015" s="2">
        <v>1666.5250942952648</v>
      </c>
      <c r="L1015" s="2">
        <v>1616.5293414664068</v>
      </c>
      <c r="M1015" s="2">
        <v>1568.0334612224146</v>
      </c>
      <c r="N1015" s="2">
        <v>1520.9924573857422</v>
      </c>
      <c r="O1015" s="2">
        <v>1475.3626836641699</v>
      </c>
    </row>
    <row r="1016" spans="1:15" x14ac:dyDescent="0.25">
      <c r="A1016" t="s">
        <v>3177</v>
      </c>
      <c r="B1016" t="s">
        <v>3178</v>
      </c>
      <c r="C1016" s="2">
        <v>2123.2650560000006</v>
      </c>
      <c r="D1016" s="2">
        <v>2059.5671043200005</v>
      </c>
      <c r="E1016" s="2">
        <v>1997.7800911904003</v>
      </c>
      <c r="F1016" s="2">
        <v>1937.8466884546883</v>
      </c>
      <c r="G1016" s="2">
        <v>1879.7112878010475</v>
      </c>
      <c r="H1016" s="2">
        <v>1823.3199491670161</v>
      </c>
      <c r="I1016" s="2">
        <v>1768.6203506920056</v>
      </c>
      <c r="J1016" s="2">
        <v>1715.5617401712454</v>
      </c>
      <c r="K1016" s="2">
        <v>1664.094887966108</v>
      </c>
      <c r="L1016" s="2">
        <v>1614.1720413271248</v>
      </c>
      <c r="M1016" s="2">
        <v>1565.746880087311</v>
      </c>
      <c r="N1016" s="2">
        <v>1518.7744736846917</v>
      </c>
      <c r="O1016" s="2">
        <v>1473.2112394741509</v>
      </c>
    </row>
    <row r="1017" spans="1:15" x14ac:dyDescent="0.25">
      <c r="A1017" t="s">
        <v>3179</v>
      </c>
      <c r="B1017" t="s">
        <v>3180</v>
      </c>
      <c r="C1017" s="2">
        <v>2121.7349120000003</v>
      </c>
      <c r="D1017" s="2">
        <v>2058.0828646400005</v>
      </c>
      <c r="E1017" s="2">
        <v>1996.3403787008003</v>
      </c>
      <c r="F1017" s="2">
        <v>1936.4501673397763</v>
      </c>
      <c r="G1017" s="2">
        <v>1878.3566623195829</v>
      </c>
      <c r="H1017" s="2">
        <v>1822.0059624499954</v>
      </c>
      <c r="I1017" s="2">
        <v>1767.3457835764955</v>
      </c>
      <c r="J1017" s="2">
        <v>1714.3254100692006</v>
      </c>
      <c r="K1017" s="2">
        <v>1662.8956477671245</v>
      </c>
      <c r="L1017" s="2">
        <v>1613.0087783341107</v>
      </c>
      <c r="M1017" s="2">
        <v>1564.6185149840874</v>
      </c>
      <c r="N1017" s="2">
        <v>1517.6799595345647</v>
      </c>
      <c r="O1017" s="2">
        <v>1472.1495607485276</v>
      </c>
    </row>
    <row r="1018" spans="1:15" x14ac:dyDescent="0.25">
      <c r="A1018" t="s">
        <v>3181</v>
      </c>
      <c r="B1018" t="s">
        <v>3182</v>
      </c>
      <c r="C1018" s="2">
        <v>2118.1822860000002</v>
      </c>
      <c r="D1018" s="2">
        <v>2054.6368174200002</v>
      </c>
      <c r="E1018" s="2">
        <v>1992.9977128974001</v>
      </c>
      <c r="F1018" s="2">
        <v>1933.2077815104781</v>
      </c>
      <c r="G1018" s="2">
        <v>1875.2115480651637</v>
      </c>
      <c r="H1018" s="2">
        <v>1818.9552016232087</v>
      </c>
      <c r="I1018" s="2">
        <v>1764.3865455745124</v>
      </c>
      <c r="J1018" s="2">
        <v>1711.454949207277</v>
      </c>
      <c r="K1018" s="2">
        <v>1660.1113007310587</v>
      </c>
      <c r="L1018" s="2">
        <v>1610.3079617091269</v>
      </c>
      <c r="M1018" s="2">
        <v>1561.998722857853</v>
      </c>
      <c r="N1018" s="2">
        <v>1515.1387611721173</v>
      </c>
      <c r="O1018" s="2">
        <v>1469.6845983369537</v>
      </c>
    </row>
    <row r="1019" spans="1:15" x14ac:dyDescent="0.25">
      <c r="A1019" t="s">
        <v>3183</v>
      </c>
      <c r="B1019" t="s">
        <v>3184</v>
      </c>
      <c r="C1019" s="2">
        <v>2116.383456</v>
      </c>
      <c r="D1019" s="2">
        <v>2052.8919523199997</v>
      </c>
      <c r="E1019" s="2">
        <v>1991.3051937503997</v>
      </c>
      <c r="F1019" s="2">
        <v>1931.5660379378876</v>
      </c>
      <c r="G1019" s="2">
        <v>1873.619056799751</v>
      </c>
      <c r="H1019" s="2">
        <v>1817.4104850957583</v>
      </c>
      <c r="I1019" s="2">
        <v>1762.8881705428855</v>
      </c>
      <c r="J1019" s="2">
        <v>1710.0015254265988</v>
      </c>
      <c r="K1019" s="2">
        <v>1658.7014796638009</v>
      </c>
      <c r="L1019" s="2">
        <v>1608.9404352738868</v>
      </c>
      <c r="M1019" s="2">
        <v>1560.6722222156702</v>
      </c>
      <c r="N1019" s="2">
        <v>1513.8520555492</v>
      </c>
      <c r="O1019" s="2">
        <v>1468.4364938827239</v>
      </c>
    </row>
    <row r="1020" spans="1:15" x14ac:dyDescent="0.25">
      <c r="A1020" t="s">
        <v>3185</v>
      </c>
      <c r="B1020" t="s">
        <v>3165</v>
      </c>
      <c r="C1020" s="2">
        <v>2113.8817920000006</v>
      </c>
      <c r="D1020" s="2">
        <v>2050.4653382400006</v>
      </c>
      <c r="E1020" s="2">
        <v>1988.9513780928005</v>
      </c>
      <c r="F1020" s="2">
        <v>1929.2828367500165</v>
      </c>
      <c r="G1020" s="2">
        <v>1871.404351647516</v>
      </c>
      <c r="H1020" s="2">
        <v>1815.2622210980905</v>
      </c>
      <c r="I1020" s="2">
        <v>1760.8043544651478</v>
      </c>
      <c r="J1020" s="2">
        <v>1707.9802238311934</v>
      </c>
      <c r="K1020" s="2">
        <v>1656.7408171162576</v>
      </c>
      <c r="L1020" s="2">
        <v>1607.0385926027698</v>
      </c>
      <c r="M1020" s="2">
        <v>1558.8274348246866</v>
      </c>
      <c r="N1020" s="2">
        <v>1512.0626117799459</v>
      </c>
      <c r="O1020" s="2">
        <v>1466.7007334265475</v>
      </c>
    </row>
    <row r="1021" spans="1:15" x14ac:dyDescent="0.25">
      <c r="A1021" t="s">
        <v>3186</v>
      </c>
      <c r="B1021" t="s">
        <v>3187</v>
      </c>
      <c r="C1021" s="2">
        <v>2099.5761600000001</v>
      </c>
      <c r="D1021" s="2">
        <v>2036.5888752000001</v>
      </c>
      <c r="E1021" s="2">
        <v>1975.4912089439999</v>
      </c>
      <c r="F1021" s="2">
        <v>1916.2264726756798</v>
      </c>
      <c r="G1021" s="2">
        <v>1858.7396784954094</v>
      </c>
      <c r="H1021" s="2">
        <v>1802.9774881405472</v>
      </c>
      <c r="I1021" s="2">
        <v>1748.8881634963307</v>
      </c>
      <c r="J1021" s="2">
        <v>1696.4215185914406</v>
      </c>
      <c r="K1021" s="2">
        <v>1645.5288730336974</v>
      </c>
      <c r="L1021" s="2">
        <v>1596.1630068426864</v>
      </c>
      <c r="M1021" s="2">
        <v>1548.2781166374057</v>
      </c>
      <c r="N1021" s="2">
        <v>1501.8297731382834</v>
      </c>
      <c r="O1021" s="2">
        <v>1456.7748799441349</v>
      </c>
    </row>
    <row r="1022" spans="1:15" x14ac:dyDescent="0.25">
      <c r="A1022" t="s">
        <v>3188</v>
      </c>
      <c r="B1022" t="s">
        <v>3189</v>
      </c>
      <c r="C1022" s="2">
        <v>2098.9770560000002</v>
      </c>
      <c r="D1022" s="2">
        <v>2036.00774432</v>
      </c>
      <c r="E1022" s="2">
        <v>1974.9275119904</v>
      </c>
      <c r="F1022" s="2">
        <v>1915.6796866306879</v>
      </c>
      <c r="G1022" s="2">
        <v>1858.2092960317673</v>
      </c>
      <c r="H1022" s="2">
        <v>1802.4630171508143</v>
      </c>
      <c r="I1022" s="2">
        <v>1748.3891266362898</v>
      </c>
      <c r="J1022" s="2">
        <v>1695.9374528372011</v>
      </c>
      <c r="K1022" s="2">
        <v>1645.059329252085</v>
      </c>
      <c r="L1022" s="2">
        <v>1595.7075493745224</v>
      </c>
      <c r="M1022" s="2">
        <v>1547.8363228932867</v>
      </c>
      <c r="N1022" s="2">
        <v>1501.4012332064881</v>
      </c>
      <c r="O1022" s="2">
        <v>1456.3591962102935</v>
      </c>
    </row>
    <row r="1023" spans="1:15" x14ac:dyDescent="0.25">
      <c r="A1023" t="s">
        <v>3190</v>
      </c>
      <c r="B1023" t="s">
        <v>3191</v>
      </c>
      <c r="C1023" s="2">
        <v>2098.1512640000005</v>
      </c>
      <c r="D1023" s="2">
        <v>2035.2067260800004</v>
      </c>
      <c r="E1023" s="2">
        <v>1974.1505242976004</v>
      </c>
      <c r="F1023" s="2">
        <v>1914.9260085686724</v>
      </c>
      <c r="G1023" s="2">
        <v>1857.4782283116122</v>
      </c>
      <c r="H1023" s="2">
        <v>1801.7538814622637</v>
      </c>
      <c r="I1023" s="2">
        <v>1747.7012650183958</v>
      </c>
      <c r="J1023" s="2">
        <v>1695.270227067844</v>
      </c>
      <c r="K1023" s="2">
        <v>1644.4121202558085</v>
      </c>
      <c r="L1023" s="2">
        <v>1595.0797566481342</v>
      </c>
      <c r="M1023" s="2">
        <v>1547.22736394869</v>
      </c>
      <c r="N1023" s="2">
        <v>1500.8105430302294</v>
      </c>
      <c r="O1023" s="2">
        <v>1455.7862267393225</v>
      </c>
    </row>
    <row r="1024" spans="1:15" x14ac:dyDescent="0.25">
      <c r="A1024" t="s">
        <v>3192</v>
      </c>
      <c r="B1024" t="s">
        <v>3193</v>
      </c>
      <c r="C1024" s="2">
        <v>2095.8115200000002</v>
      </c>
      <c r="D1024" s="2">
        <v>2032.9371744000002</v>
      </c>
      <c r="E1024" s="2">
        <v>1971.9490591680001</v>
      </c>
      <c r="F1024" s="2">
        <v>1912.7905873929601</v>
      </c>
      <c r="G1024" s="2">
        <v>1855.4068697711712</v>
      </c>
      <c r="H1024" s="2">
        <v>1799.744663678036</v>
      </c>
      <c r="I1024" s="2">
        <v>1745.7523237676949</v>
      </c>
      <c r="J1024" s="2">
        <v>1693.3797540546639</v>
      </c>
      <c r="K1024" s="2">
        <v>1642.5783614330239</v>
      </c>
      <c r="L1024" s="2">
        <v>1593.3010105900332</v>
      </c>
      <c r="M1024" s="2">
        <v>1545.5019802723323</v>
      </c>
      <c r="N1024" s="2">
        <v>1499.1369208641622</v>
      </c>
      <c r="O1024" s="2">
        <v>1454.1628132382373</v>
      </c>
    </row>
    <row r="1025" spans="1:15" x14ac:dyDescent="0.25">
      <c r="A1025" t="s">
        <v>3194</v>
      </c>
      <c r="B1025" t="s">
        <v>3195</v>
      </c>
      <c r="C1025" s="2">
        <v>2095.653648</v>
      </c>
      <c r="D1025" s="2">
        <v>2032.78403856</v>
      </c>
      <c r="E1025" s="2">
        <v>1971.8005174032</v>
      </c>
      <c r="F1025" s="2">
        <v>1912.6465018811041</v>
      </c>
      <c r="G1025" s="2">
        <v>1855.2671068246709</v>
      </c>
      <c r="H1025" s="2">
        <v>1799.6090936199307</v>
      </c>
      <c r="I1025" s="2">
        <v>1745.6208208113328</v>
      </c>
      <c r="J1025" s="2">
        <v>1693.2521961869927</v>
      </c>
      <c r="K1025" s="2">
        <v>1642.4546303013828</v>
      </c>
      <c r="L1025" s="2">
        <v>1593.1809913923414</v>
      </c>
      <c r="M1025" s="2">
        <v>1545.3855616505712</v>
      </c>
      <c r="N1025" s="2">
        <v>1499.023994801054</v>
      </c>
      <c r="O1025" s="2">
        <v>1454.0532749570223</v>
      </c>
    </row>
    <row r="1026" spans="1:15" x14ac:dyDescent="0.25">
      <c r="A1026" t="s">
        <v>3196</v>
      </c>
      <c r="B1026" t="s">
        <v>3197</v>
      </c>
      <c r="C1026" s="2">
        <v>2095.0343040000002</v>
      </c>
      <c r="D1026" s="2">
        <v>2032.1832748800002</v>
      </c>
      <c r="E1026" s="2">
        <v>1971.2177766336001</v>
      </c>
      <c r="F1026" s="2">
        <v>1912.081243334592</v>
      </c>
      <c r="G1026" s="2">
        <v>1854.7188060345543</v>
      </c>
      <c r="H1026" s="2">
        <v>1799.0772418535175</v>
      </c>
      <c r="I1026" s="2">
        <v>1745.104924597912</v>
      </c>
      <c r="J1026" s="2">
        <v>1692.7517768599746</v>
      </c>
      <c r="K1026" s="2">
        <v>1641.9692235541754</v>
      </c>
      <c r="L1026" s="2">
        <v>1592.71014684755</v>
      </c>
      <c r="M1026" s="2">
        <v>1544.9288424421236</v>
      </c>
      <c r="N1026" s="2">
        <v>1498.5809771688598</v>
      </c>
      <c r="O1026" s="2">
        <v>1453.623547853794</v>
      </c>
    </row>
    <row r="1027" spans="1:15" x14ac:dyDescent="0.25">
      <c r="A1027" t="s">
        <v>3198</v>
      </c>
      <c r="B1027" t="s">
        <v>3199</v>
      </c>
      <c r="C1027" s="2">
        <v>2095.0257020000004</v>
      </c>
      <c r="D1027" s="2">
        <v>2032.1749309400002</v>
      </c>
      <c r="E1027" s="2">
        <v>1971.2096830118001</v>
      </c>
      <c r="F1027" s="2">
        <v>1912.0733925214461</v>
      </c>
      <c r="G1027" s="2">
        <v>1854.7111907458027</v>
      </c>
      <c r="H1027" s="2">
        <v>1799.0698550234285</v>
      </c>
      <c r="I1027" s="2">
        <v>1745.0977593727257</v>
      </c>
      <c r="J1027" s="2">
        <v>1692.7448265915439</v>
      </c>
      <c r="K1027" s="2">
        <v>1641.9624817937975</v>
      </c>
      <c r="L1027" s="2">
        <v>1592.7036073399836</v>
      </c>
      <c r="M1027" s="2">
        <v>1544.9224991197841</v>
      </c>
      <c r="N1027" s="2">
        <v>1498.5748241461906</v>
      </c>
      <c r="O1027" s="2">
        <v>1453.617579421805</v>
      </c>
    </row>
    <row r="1028" spans="1:15" x14ac:dyDescent="0.25">
      <c r="A1028" t="s">
        <v>3200</v>
      </c>
      <c r="B1028" t="s">
        <v>3097</v>
      </c>
      <c r="C1028" s="2">
        <v>2092.3869120000004</v>
      </c>
      <c r="D1028" s="2">
        <v>2029.6153046400004</v>
      </c>
      <c r="E1028" s="2">
        <v>1968.7268455008004</v>
      </c>
      <c r="F1028" s="2">
        <v>1909.6650401357763</v>
      </c>
      <c r="G1028" s="2">
        <v>1852.375088931703</v>
      </c>
      <c r="H1028" s="2">
        <v>1796.8038362637519</v>
      </c>
      <c r="I1028" s="2">
        <v>1742.8997211758392</v>
      </c>
      <c r="J1028" s="2">
        <v>1690.612729540564</v>
      </c>
      <c r="K1028" s="2">
        <v>1639.894347654347</v>
      </c>
      <c r="L1028" s="2">
        <v>1590.6975172247166</v>
      </c>
      <c r="M1028" s="2">
        <v>1542.9765917079751</v>
      </c>
      <c r="N1028" s="2">
        <v>1496.6872939567359</v>
      </c>
      <c r="O1028" s="2">
        <v>1451.7866751380338</v>
      </c>
    </row>
    <row r="1029" spans="1:15" x14ac:dyDescent="0.25">
      <c r="A1029" t="s">
        <v>3201</v>
      </c>
      <c r="B1029" t="s">
        <v>3202</v>
      </c>
      <c r="C1029" s="2">
        <v>2090.1119360000002</v>
      </c>
      <c r="D1029" s="2">
        <v>2027.4085779200002</v>
      </c>
      <c r="E1029" s="2">
        <v>1966.5863205824</v>
      </c>
      <c r="F1029" s="2">
        <v>1907.5887309649279</v>
      </c>
      <c r="G1029" s="2">
        <v>1850.3610690359801</v>
      </c>
      <c r="H1029" s="2">
        <v>1794.8502369649007</v>
      </c>
      <c r="I1029" s="2">
        <v>1741.0047298559537</v>
      </c>
      <c r="J1029" s="2">
        <v>1688.7745879602751</v>
      </c>
      <c r="K1029" s="2">
        <v>1638.1113503214667</v>
      </c>
      <c r="L1029" s="2">
        <v>1588.9680098118226</v>
      </c>
      <c r="M1029" s="2">
        <v>1541.2989695174679</v>
      </c>
      <c r="N1029" s="2">
        <v>1495.0600004319438</v>
      </c>
      <c r="O1029" s="2">
        <v>1450.2082004189854</v>
      </c>
    </row>
    <row r="1030" spans="1:15" x14ac:dyDescent="0.25">
      <c r="A1030" t="s">
        <v>3203</v>
      </c>
      <c r="B1030" t="s">
        <v>3204</v>
      </c>
      <c r="C1030" s="2">
        <v>2087.9826880000005</v>
      </c>
      <c r="D1030" s="2">
        <v>2025.3432073600004</v>
      </c>
      <c r="E1030" s="2">
        <v>1964.5829111392004</v>
      </c>
      <c r="F1030" s="2">
        <v>1905.6454238050244</v>
      </c>
      <c r="G1030" s="2">
        <v>1848.4760610908736</v>
      </c>
      <c r="H1030" s="2">
        <v>1793.0217792581473</v>
      </c>
      <c r="I1030" s="2">
        <v>1739.2311258804027</v>
      </c>
      <c r="J1030" s="2">
        <v>1687.0541921039905</v>
      </c>
      <c r="K1030" s="2">
        <v>1636.4425663408708</v>
      </c>
      <c r="L1030" s="2">
        <v>1587.3492893506448</v>
      </c>
      <c r="M1030" s="2">
        <v>1539.7288106701253</v>
      </c>
      <c r="N1030" s="2">
        <v>1493.5369463500215</v>
      </c>
      <c r="O1030" s="2">
        <v>1448.7308379595208</v>
      </c>
    </row>
    <row r="1031" spans="1:15" x14ac:dyDescent="0.25">
      <c r="A1031" t="s">
        <v>3205</v>
      </c>
      <c r="B1031" t="s">
        <v>3206</v>
      </c>
      <c r="C1031" s="2">
        <v>2081.6151840000002</v>
      </c>
      <c r="D1031" s="2">
        <v>2019.1667284800001</v>
      </c>
      <c r="E1031" s="2">
        <v>1958.5917266256001</v>
      </c>
      <c r="F1031" s="2">
        <v>1899.833974826832</v>
      </c>
      <c r="G1031" s="2">
        <v>1842.838955582027</v>
      </c>
      <c r="H1031" s="2">
        <v>1787.5537869145662</v>
      </c>
      <c r="I1031" s="2">
        <v>1733.9271733071291</v>
      </c>
      <c r="J1031" s="2">
        <v>1681.9093581079153</v>
      </c>
      <c r="K1031" s="2">
        <v>1631.4520773646777</v>
      </c>
      <c r="L1031" s="2">
        <v>1582.5085150437374</v>
      </c>
      <c r="M1031" s="2">
        <v>1535.0332595924251</v>
      </c>
      <c r="N1031" s="2">
        <v>1488.9822618046524</v>
      </c>
      <c r="O1031" s="2">
        <v>1444.3127939505127</v>
      </c>
    </row>
    <row r="1032" spans="1:15" x14ac:dyDescent="0.25">
      <c r="A1032" t="s">
        <v>3207</v>
      </c>
      <c r="B1032" t="s">
        <v>3208</v>
      </c>
      <c r="C1032" s="2">
        <v>2080.0926300000006</v>
      </c>
      <c r="D1032" s="2">
        <v>2017.6898511000004</v>
      </c>
      <c r="E1032" s="2">
        <v>1957.1591555670004</v>
      </c>
      <c r="F1032" s="2">
        <v>1898.4443808999904</v>
      </c>
      <c r="G1032" s="2">
        <v>1841.4910494729907</v>
      </c>
      <c r="H1032" s="2">
        <v>1786.2463179888009</v>
      </c>
      <c r="I1032" s="2">
        <v>1732.6589284491367</v>
      </c>
      <c r="J1032" s="2">
        <v>1680.6791605956626</v>
      </c>
      <c r="K1032" s="2">
        <v>1630.2587857777926</v>
      </c>
      <c r="L1032" s="2">
        <v>1581.3510222044588</v>
      </c>
      <c r="M1032" s="2">
        <v>1533.910491538325</v>
      </c>
      <c r="N1032" s="2">
        <v>1487.8931767921752</v>
      </c>
      <c r="O1032" s="2">
        <v>1443.2563814884099</v>
      </c>
    </row>
    <row r="1033" spans="1:15" x14ac:dyDescent="0.25">
      <c r="A1033" t="s">
        <v>3209</v>
      </c>
      <c r="B1033" t="s">
        <v>3210</v>
      </c>
      <c r="C1033" s="2">
        <v>2073.7013439999996</v>
      </c>
      <c r="D1033" s="2">
        <v>2011.4903036799997</v>
      </c>
      <c r="E1033" s="2">
        <v>1951.1455945695996</v>
      </c>
      <c r="F1033" s="2">
        <v>1892.6112267325116</v>
      </c>
      <c r="G1033" s="2">
        <v>1835.8328899305361</v>
      </c>
      <c r="H1033" s="2">
        <v>1780.75790323262</v>
      </c>
      <c r="I1033" s="2">
        <v>1727.3351661356414</v>
      </c>
      <c r="J1033" s="2">
        <v>1675.5151111515722</v>
      </c>
      <c r="K1033" s="2">
        <v>1625.2496578170251</v>
      </c>
      <c r="L1033" s="2">
        <v>1576.4921680825144</v>
      </c>
      <c r="M1033" s="2">
        <v>1529.1974030400388</v>
      </c>
      <c r="N1033" s="2">
        <v>1483.3214809488377</v>
      </c>
      <c r="O1033" s="2">
        <v>1438.8218365203725</v>
      </c>
    </row>
    <row r="1034" spans="1:15" x14ac:dyDescent="0.25">
      <c r="A1034" t="s">
        <v>3211</v>
      </c>
      <c r="B1034" t="s">
        <v>3212</v>
      </c>
      <c r="C1034" s="2">
        <v>2061.8164160000006</v>
      </c>
      <c r="D1034" s="2">
        <v>1999.9619235200005</v>
      </c>
      <c r="E1034" s="2">
        <v>1939.9630658144004</v>
      </c>
      <c r="F1034" s="2">
        <v>1881.7641738399682</v>
      </c>
      <c r="G1034" s="2">
        <v>1825.3112486247692</v>
      </c>
      <c r="H1034" s="2">
        <v>1770.551911166026</v>
      </c>
      <c r="I1034" s="2">
        <v>1717.4353538310452</v>
      </c>
      <c r="J1034" s="2">
        <v>1665.9122932161138</v>
      </c>
      <c r="K1034" s="2">
        <v>1615.9349244196303</v>
      </c>
      <c r="L1034" s="2">
        <v>1567.4568766870414</v>
      </c>
      <c r="M1034" s="2">
        <v>1520.43317038643</v>
      </c>
      <c r="N1034" s="2">
        <v>1474.8201752748371</v>
      </c>
      <c r="O1034" s="2">
        <v>1430.5755700165919</v>
      </c>
    </row>
    <row r="1035" spans="1:15" x14ac:dyDescent="0.25">
      <c r="A1035" t="s">
        <v>3213</v>
      </c>
      <c r="B1035" t="s">
        <v>3214</v>
      </c>
      <c r="C1035" s="2">
        <v>2060.4967680000004</v>
      </c>
      <c r="D1035" s="2">
        <v>1998.6818649600004</v>
      </c>
      <c r="E1035" s="2">
        <v>1938.7214090112004</v>
      </c>
      <c r="F1035" s="2">
        <v>1880.5597667408645</v>
      </c>
      <c r="G1035" s="2">
        <v>1824.1429737386384</v>
      </c>
      <c r="H1035" s="2">
        <v>1769.4186845264792</v>
      </c>
      <c r="I1035" s="2">
        <v>1716.3361239906847</v>
      </c>
      <c r="J1035" s="2">
        <v>1664.8460402709641</v>
      </c>
      <c r="K1035" s="2">
        <v>1614.9006590628351</v>
      </c>
      <c r="L1035" s="2">
        <v>1566.4536392909499</v>
      </c>
      <c r="M1035" s="2">
        <v>1519.4600301122214</v>
      </c>
      <c r="N1035" s="2">
        <v>1473.8762292088547</v>
      </c>
      <c r="O1035" s="2">
        <v>1429.659942332589</v>
      </c>
    </row>
    <row r="1036" spans="1:15" x14ac:dyDescent="0.25">
      <c r="A1036" t="s">
        <v>3215</v>
      </c>
      <c r="B1036" t="s">
        <v>3216</v>
      </c>
      <c r="C1036" s="2">
        <v>2059.42</v>
      </c>
      <c r="D1036" s="2">
        <v>1997.6374000000001</v>
      </c>
      <c r="E1036" s="2">
        <v>1937.7082780000001</v>
      </c>
      <c r="F1036" s="2">
        <v>1879.5770296600001</v>
      </c>
      <c r="G1036" s="2">
        <v>1823.1897187702</v>
      </c>
      <c r="H1036" s="2">
        <v>1768.4940272070939</v>
      </c>
      <c r="I1036" s="2">
        <v>1715.4392063908811</v>
      </c>
      <c r="J1036" s="2">
        <v>1663.9760301991546</v>
      </c>
      <c r="K1036" s="2">
        <v>1614.05674929318</v>
      </c>
      <c r="L1036" s="2">
        <v>1565.6350468143846</v>
      </c>
      <c r="M1036" s="2">
        <v>1518.665995409953</v>
      </c>
      <c r="N1036" s="2">
        <v>1473.1060155476544</v>
      </c>
      <c r="O1036" s="2">
        <v>1428.9128350812248</v>
      </c>
    </row>
    <row r="1037" spans="1:15" x14ac:dyDescent="0.25">
      <c r="A1037" t="s">
        <v>3217</v>
      </c>
      <c r="B1037" t="s">
        <v>3218</v>
      </c>
      <c r="C1037" s="2">
        <v>2055.4691520000001</v>
      </c>
      <c r="D1037" s="2">
        <v>1993.8050774400001</v>
      </c>
      <c r="E1037" s="2">
        <v>1933.9909251168001</v>
      </c>
      <c r="F1037" s="2">
        <v>1875.9711973632961</v>
      </c>
      <c r="G1037" s="2">
        <v>1819.6920614423973</v>
      </c>
      <c r="H1037" s="2">
        <v>1765.1012995991252</v>
      </c>
      <c r="I1037" s="2">
        <v>1712.1482606111515</v>
      </c>
      <c r="J1037" s="2">
        <v>1660.7838127928169</v>
      </c>
      <c r="K1037" s="2">
        <v>1610.9602984090322</v>
      </c>
      <c r="L1037" s="2">
        <v>1562.6314894567613</v>
      </c>
      <c r="M1037" s="2">
        <v>1515.7525447730584</v>
      </c>
      <c r="N1037" s="2">
        <v>1470.2799684298666</v>
      </c>
      <c r="O1037" s="2">
        <v>1426.1715693769706</v>
      </c>
    </row>
    <row r="1038" spans="1:15" x14ac:dyDescent="0.25">
      <c r="A1038" t="s">
        <v>3219</v>
      </c>
      <c r="B1038" t="s">
        <v>3220</v>
      </c>
      <c r="C1038" s="2">
        <v>2051.9473920000005</v>
      </c>
      <c r="D1038" s="2">
        <v>1990.3889702400004</v>
      </c>
      <c r="E1038" s="2">
        <v>1930.6773011328003</v>
      </c>
      <c r="F1038" s="2">
        <v>1872.7569820988163</v>
      </c>
      <c r="G1038" s="2">
        <v>1816.5742726358517</v>
      </c>
      <c r="H1038" s="2">
        <v>1762.0770444567761</v>
      </c>
      <c r="I1038" s="2">
        <v>1709.2147331230728</v>
      </c>
      <c r="J1038" s="2">
        <v>1657.9382911293806</v>
      </c>
      <c r="K1038" s="2">
        <v>1608.2001423954991</v>
      </c>
      <c r="L1038" s="2">
        <v>1559.954138123634</v>
      </c>
      <c r="M1038" s="2">
        <v>1513.155513979925</v>
      </c>
      <c r="N1038" s="2">
        <v>1467.7608485605272</v>
      </c>
      <c r="O1038" s="2">
        <v>1423.7280231037114</v>
      </c>
    </row>
    <row r="1039" spans="1:15" x14ac:dyDescent="0.25">
      <c r="A1039" t="s">
        <v>3221</v>
      </c>
      <c r="B1039" t="s">
        <v>3222</v>
      </c>
      <c r="C1039" s="2">
        <v>2049.2676160000005</v>
      </c>
      <c r="D1039" s="2">
        <v>1987.7895875200004</v>
      </c>
      <c r="E1039" s="2">
        <v>1928.1558998944004</v>
      </c>
      <c r="F1039" s="2">
        <v>1870.3112228975683</v>
      </c>
      <c r="G1039" s="2">
        <v>1814.2018862106413</v>
      </c>
      <c r="H1039" s="2">
        <v>1759.7758296243221</v>
      </c>
      <c r="I1039" s="2">
        <v>1706.9825547355924</v>
      </c>
      <c r="J1039" s="2">
        <v>1655.7730780935246</v>
      </c>
      <c r="K1039" s="2">
        <v>1606.0998857507188</v>
      </c>
      <c r="L1039" s="2">
        <v>1557.9168891781972</v>
      </c>
      <c r="M1039" s="2">
        <v>1511.1793825028512</v>
      </c>
      <c r="N1039" s="2">
        <v>1465.8440010277657</v>
      </c>
      <c r="O1039" s="2">
        <v>1421.8686809969327</v>
      </c>
    </row>
    <row r="1040" spans="1:15" x14ac:dyDescent="0.25">
      <c r="A1040" t="s">
        <v>3223</v>
      </c>
      <c r="B1040" t="s">
        <v>3224</v>
      </c>
      <c r="C1040" s="2">
        <v>2046.9061140000006</v>
      </c>
      <c r="D1040" s="2">
        <v>1985.4989305800004</v>
      </c>
      <c r="E1040" s="2">
        <v>1925.9339626626004</v>
      </c>
      <c r="F1040" s="2">
        <v>1868.1559437827223</v>
      </c>
      <c r="G1040" s="2">
        <v>1812.1112654692406</v>
      </c>
      <c r="H1040" s="2">
        <v>1757.7479275051633</v>
      </c>
      <c r="I1040" s="2">
        <v>1705.0154896800084</v>
      </c>
      <c r="J1040" s="2">
        <v>1653.8650249896082</v>
      </c>
      <c r="K1040" s="2">
        <v>1604.24907423992</v>
      </c>
      <c r="L1040" s="2">
        <v>1556.1216020127224</v>
      </c>
      <c r="M1040" s="2">
        <v>1509.4379539523406</v>
      </c>
      <c r="N1040" s="2">
        <v>1464.1548153337703</v>
      </c>
      <c r="O1040" s="2">
        <v>1420.2301708737573</v>
      </c>
    </row>
    <row r="1041" spans="1:15" x14ac:dyDescent="0.25">
      <c r="A1041" t="s">
        <v>3225</v>
      </c>
      <c r="B1041" t="s">
        <v>3226</v>
      </c>
      <c r="C1041" s="2">
        <v>2045.9968320000005</v>
      </c>
      <c r="D1041" s="2">
        <v>1984.6169270400005</v>
      </c>
      <c r="E1041" s="2">
        <v>1925.0784192288004</v>
      </c>
      <c r="F1041" s="2">
        <v>1867.3260666519363</v>
      </c>
      <c r="G1041" s="2">
        <v>1811.3062846523783</v>
      </c>
      <c r="H1041" s="2">
        <v>1756.967096112807</v>
      </c>
      <c r="I1041" s="2">
        <v>1704.2580832294227</v>
      </c>
      <c r="J1041" s="2">
        <v>1653.1303407325399</v>
      </c>
      <c r="K1041" s="2">
        <v>1603.5364305105636</v>
      </c>
      <c r="L1041" s="2">
        <v>1555.4303375952466</v>
      </c>
      <c r="M1041" s="2">
        <v>1508.7674274673891</v>
      </c>
      <c r="N1041" s="2">
        <v>1463.5044046433675</v>
      </c>
      <c r="O1041" s="2">
        <v>1419.5992725040664</v>
      </c>
    </row>
    <row r="1042" spans="1:15" x14ac:dyDescent="0.25">
      <c r="A1042" t="s">
        <v>3227</v>
      </c>
      <c r="B1042" t="s">
        <v>3228</v>
      </c>
      <c r="C1042" s="2">
        <v>2045.3977280000004</v>
      </c>
      <c r="D1042" s="2">
        <v>1984.0357961600002</v>
      </c>
      <c r="E1042" s="2">
        <v>1924.5147222752003</v>
      </c>
      <c r="F1042" s="2">
        <v>1866.7792806069442</v>
      </c>
      <c r="G1042" s="2">
        <v>1810.7759021887359</v>
      </c>
      <c r="H1042" s="2">
        <v>1756.4526251230739</v>
      </c>
      <c r="I1042" s="2">
        <v>1703.7590463693816</v>
      </c>
      <c r="J1042" s="2">
        <v>1652.6462749783002</v>
      </c>
      <c r="K1042" s="2">
        <v>1603.0668867289512</v>
      </c>
      <c r="L1042" s="2">
        <v>1554.9748801270825</v>
      </c>
      <c r="M1042" s="2">
        <v>1508.3256337232701</v>
      </c>
      <c r="N1042" s="2">
        <v>1463.075864711572</v>
      </c>
      <c r="O1042" s="2">
        <v>1419.1835887702248</v>
      </c>
    </row>
    <row r="1043" spans="1:15" x14ac:dyDescent="0.25">
      <c r="A1043" t="s">
        <v>1182</v>
      </c>
      <c r="B1043" t="s">
        <v>1181</v>
      </c>
      <c r="C1043" s="2">
        <v>2044.9706640000004</v>
      </c>
      <c r="D1043" s="2">
        <v>1983.6215440800004</v>
      </c>
      <c r="E1043" s="2">
        <v>1924.1128977576004</v>
      </c>
      <c r="F1043" s="2">
        <v>1866.3895108248723</v>
      </c>
      <c r="G1043" s="2">
        <v>1810.3978255001261</v>
      </c>
      <c r="H1043" s="2">
        <v>1756.0858907351223</v>
      </c>
      <c r="I1043" s="2">
        <v>1703.4033140130687</v>
      </c>
      <c r="J1043" s="2">
        <v>1652.3012145926766</v>
      </c>
      <c r="K1043" s="2">
        <v>1602.7321781548962</v>
      </c>
      <c r="L1043" s="2">
        <v>1554.6502128102493</v>
      </c>
      <c r="M1043" s="2">
        <v>1508.0107064259419</v>
      </c>
      <c r="N1043" s="2">
        <v>1462.7703852331636</v>
      </c>
      <c r="O1043" s="2">
        <v>1418.8872736761687</v>
      </c>
    </row>
    <row r="1044" spans="1:15" x14ac:dyDescent="0.25">
      <c r="A1044" t="s">
        <v>3229</v>
      </c>
      <c r="B1044" t="s">
        <v>3230</v>
      </c>
      <c r="C1044" s="2">
        <v>2044.6448000000005</v>
      </c>
      <c r="D1044" s="2">
        <v>1983.3054560000005</v>
      </c>
      <c r="E1044" s="2">
        <v>1923.8062923200005</v>
      </c>
      <c r="F1044" s="2">
        <v>1866.0921035504005</v>
      </c>
      <c r="G1044" s="2">
        <v>1810.1093404438884</v>
      </c>
      <c r="H1044" s="2">
        <v>1755.8060602305718</v>
      </c>
      <c r="I1044" s="2">
        <v>1703.1318784236546</v>
      </c>
      <c r="J1044" s="2">
        <v>1652.0379220709449</v>
      </c>
      <c r="K1044" s="2">
        <v>1602.4767844088165</v>
      </c>
      <c r="L1044" s="2">
        <v>1554.4024808765519</v>
      </c>
      <c r="M1044" s="2">
        <v>1507.7704064502552</v>
      </c>
      <c r="N1044" s="2">
        <v>1462.5372942567476</v>
      </c>
      <c r="O1044" s="2">
        <v>1418.6611754290452</v>
      </c>
    </row>
    <row r="1045" spans="1:15" x14ac:dyDescent="0.25">
      <c r="A1045" t="s">
        <v>3231</v>
      </c>
      <c r="B1045" t="s">
        <v>3232</v>
      </c>
      <c r="C1045" s="2">
        <v>2044.4990720000005</v>
      </c>
      <c r="D1045" s="2">
        <v>1983.1640998400005</v>
      </c>
      <c r="E1045" s="2">
        <v>1923.6691768448004</v>
      </c>
      <c r="F1045" s="2">
        <v>1865.9591015394562</v>
      </c>
      <c r="G1045" s="2">
        <v>1809.9803284932725</v>
      </c>
      <c r="H1045" s="2">
        <v>1755.6809186384744</v>
      </c>
      <c r="I1045" s="2">
        <v>1703.0104910793202</v>
      </c>
      <c r="J1045" s="2">
        <v>1651.9201763469405</v>
      </c>
      <c r="K1045" s="2">
        <v>1602.3625710565323</v>
      </c>
      <c r="L1045" s="2">
        <v>1554.2916939248362</v>
      </c>
      <c r="M1045" s="2">
        <v>1507.662943107091</v>
      </c>
      <c r="N1045" s="2">
        <v>1462.4330548138782</v>
      </c>
      <c r="O1045" s="2">
        <v>1418.560063169462</v>
      </c>
    </row>
    <row r="1046" spans="1:15" x14ac:dyDescent="0.25">
      <c r="A1046" t="s">
        <v>3233</v>
      </c>
      <c r="B1046" t="s">
        <v>3234</v>
      </c>
      <c r="C1046" s="2">
        <v>2043.7623360000002</v>
      </c>
      <c r="D1046" s="2">
        <v>1982.4494659200002</v>
      </c>
      <c r="E1046" s="2">
        <v>1922.9759819424</v>
      </c>
      <c r="F1046" s="2">
        <v>1865.286702484128</v>
      </c>
      <c r="G1046" s="2">
        <v>1809.3281014096042</v>
      </c>
      <c r="H1046" s="2">
        <v>1755.0482583673161</v>
      </c>
      <c r="I1046" s="2">
        <v>1702.3968106162965</v>
      </c>
      <c r="J1046" s="2">
        <v>1651.3249062978075</v>
      </c>
      <c r="K1046" s="2">
        <v>1601.7851591088731</v>
      </c>
      <c r="L1046" s="2">
        <v>1553.7316043356068</v>
      </c>
      <c r="M1046" s="2">
        <v>1507.1196562055386</v>
      </c>
      <c r="N1046" s="2">
        <v>1461.9060665193724</v>
      </c>
      <c r="O1046" s="2">
        <v>1418.0488845237912</v>
      </c>
    </row>
    <row r="1047" spans="1:15" x14ac:dyDescent="0.25">
      <c r="A1047" t="s">
        <v>3235</v>
      </c>
      <c r="B1047" t="s">
        <v>3236</v>
      </c>
      <c r="C1047" s="2">
        <v>2042.8201640000002</v>
      </c>
      <c r="D1047" s="2">
        <v>1981.5355590800002</v>
      </c>
      <c r="E1047" s="2">
        <v>1922.0894923076</v>
      </c>
      <c r="F1047" s="2">
        <v>1864.426807538372</v>
      </c>
      <c r="G1047" s="2">
        <v>1808.4940033122209</v>
      </c>
      <c r="H1047" s="2">
        <v>1754.2391832128542</v>
      </c>
      <c r="I1047" s="2">
        <v>1701.6120077164685</v>
      </c>
      <c r="J1047" s="2">
        <v>1650.5636474849744</v>
      </c>
      <c r="K1047" s="2">
        <v>1601.046738060425</v>
      </c>
      <c r="L1047" s="2">
        <v>1553.0153359186122</v>
      </c>
      <c r="M1047" s="2">
        <v>1506.4248758410538</v>
      </c>
      <c r="N1047" s="2">
        <v>1461.2321295658221</v>
      </c>
      <c r="O1047" s="2">
        <v>1417.3951656788474</v>
      </c>
    </row>
    <row r="1048" spans="1:15" x14ac:dyDescent="0.25">
      <c r="A1048" t="s">
        <v>3237</v>
      </c>
      <c r="B1048" t="s">
        <v>3238</v>
      </c>
      <c r="C1048" s="2">
        <v>2042.8201640000002</v>
      </c>
      <c r="D1048" s="2">
        <v>1981.5355590800002</v>
      </c>
      <c r="E1048" s="2">
        <v>1922.0894923076</v>
      </c>
      <c r="F1048" s="2">
        <v>1864.426807538372</v>
      </c>
      <c r="G1048" s="2">
        <v>1808.4940033122209</v>
      </c>
      <c r="H1048" s="2">
        <v>1754.2391832128542</v>
      </c>
      <c r="I1048" s="2">
        <v>1701.6120077164685</v>
      </c>
      <c r="J1048" s="2">
        <v>1650.5636474849744</v>
      </c>
      <c r="K1048" s="2">
        <v>1601.046738060425</v>
      </c>
      <c r="L1048" s="2">
        <v>1553.0153359186122</v>
      </c>
      <c r="M1048" s="2">
        <v>1506.4248758410538</v>
      </c>
      <c r="N1048" s="2">
        <v>1461.2321295658221</v>
      </c>
      <c r="O1048" s="2">
        <v>1417.3951656788474</v>
      </c>
    </row>
    <row r="1049" spans="1:15" x14ac:dyDescent="0.25">
      <c r="A1049" t="s">
        <v>3239</v>
      </c>
      <c r="B1049" t="s">
        <v>3240</v>
      </c>
      <c r="C1049" s="2">
        <v>2042.8201640000002</v>
      </c>
      <c r="D1049" s="2">
        <v>1981.5355590800002</v>
      </c>
      <c r="E1049" s="2">
        <v>1922.0894923076</v>
      </c>
      <c r="F1049" s="2">
        <v>1864.426807538372</v>
      </c>
      <c r="G1049" s="2">
        <v>1808.4940033122209</v>
      </c>
      <c r="H1049" s="2">
        <v>1754.2391832128542</v>
      </c>
      <c r="I1049" s="2">
        <v>1701.6120077164685</v>
      </c>
      <c r="J1049" s="2">
        <v>1650.5636474849744</v>
      </c>
      <c r="K1049" s="2">
        <v>1601.046738060425</v>
      </c>
      <c r="L1049" s="2">
        <v>1553.0153359186122</v>
      </c>
      <c r="M1049" s="2">
        <v>1506.4248758410538</v>
      </c>
      <c r="N1049" s="2">
        <v>1461.2321295658221</v>
      </c>
      <c r="O1049" s="2">
        <v>1417.3951656788474</v>
      </c>
    </row>
    <row r="1050" spans="1:15" x14ac:dyDescent="0.25">
      <c r="A1050" t="s">
        <v>3241</v>
      </c>
      <c r="B1050" t="s">
        <v>3242</v>
      </c>
      <c r="C1050" s="2">
        <v>2042.8201640000002</v>
      </c>
      <c r="D1050" s="2">
        <v>1981.5355590800002</v>
      </c>
      <c r="E1050" s="2">
        <v>1922.0894923076</v>
      </c>
      <c r="F1050" s="2">
        <v>1864.426807538372</v>
      </c>
      <c r="G1050" s="2">
        <v>1808.4940033122209</v>
      </c>
      <c r="H1050" s="2">
        <v>1754.2391832128542</v>
      </c>
      <c r="I1050" s="2">
        <v>1701.6120077164685</v>
      </c>
      <c r="J1050" s="2">
        <v>1650.5636474849744</v>
      </c>
      <c r="K1050" s="2">
        <v>1601.046738060425</v>
      </c>
      <c r="L1050" s="2">
        <v>1553.0153359186122</v>
      </c>
      <c r="M1050" s="2">
        <v>1506.4248758410538</v>
      </c>
      <c r="N1050" s="2">
        <v>1461.2321295658221</v>
      </c>
      <c r="O1050" s="2">
        <v>1417.3951656788474</v>
      </c>
    </row>
    <row r="1051" spans="1:15" x14ac:dyDescent="0.25">
      <c r="A1051" t="s">
        <v>3243</v>
      </c>
      <c r="B1051" t="s">
        <v>3244</v>
      </c>
      <c r="C1051" s="2">
        <v>2038.5808960000006</v>
      </c>
      <c r="D1051" s="2">
        <v>1977.4234691200006</v>
      </c>
      <c r="E1051" s="2">
        <v>1918.1007650464005</v>
      </c>
      <c r="F1051" s="2">
        <v>1860.5577420950085</v>
      </c>
      <c r="G1051" s="2">
        <v>1804.7410098321582</v>
      </c>
      <c r="H1051" s="2">
        <v>1750.5987795371934</v>
      </c>
      <c r="I1051" s="2">
        <v>1698.0808161510777</v>
      </c>
      <c r="J1051" s="2">
        <v>1647.1383916665452</v>
      </c>
      <c r="K1051" s="2">
        <v>1597.7242399165489</v>
      </c>
      <c r="L1051" s="2">
        <v>1549.7925127190524</v>
      </c>
      <c r="M1051" s="2">
        <v>1503.2987373374808</v>
      </c>
      <c r="N1051" s="2">
        <v>1458.1997752173563</v>
      </c>
      <c r="O1051" s="2">
        <v>1414.4537819608356</v>
      </c>
    </row>
    <row r="1052" spans="1:15" x14ac:dyDescent="0.25">
      <c r="A1052" t="s">
        <v>3245</v>
      </c>
      <c r="B1052" t="s">
        <v>3246</v>
      </c>
      <c r="C1052" s="2">
        <v>2036.7299479999999</v>
      </c>
      <c r="D1052" s="2">
        <v>1975.6280495599999</v>
      </c>
      <c r="E1052" s="2">
        <v>1916.3592080731999</v>
      </c>
      <c r="F1052" s="2">
        <v>1858.8684318310038</v>
      </c>
      <c r="G1052" s="2">
        <v>1803.1023788760735</v>
      </c>
      <c r="H1052" s="2">
        <v>1749.0093075097914</v>
      </c>
      <c r="I1052" s="2">
        <v>1696.5390282844976</v>
      </c>
      <c r="J1052" s="2">
        <v>1645.6428574359627</v>
      </c>
      <c r="K1052" s="2">
        <v>1596.2735717128837</v>
      </c>
      <c r="L1052" s="2">
        <v>1548.3853645614972</v>
      </c>
      <c r="M1052" s="2">
        <v>1501.9338036246522</v>
      </c>
      <c r="N1052" s="2">
        <v>1456.8757895159126</v>
      </c>
      <c r="O1052" s="2">
        <v>1413.1695158304351</v>
      </c>
    </row>
    <row r="1053" spans="1:15" x14ac:dyDescent="0.25">
      <c r="A1053" t="s">
        <v>3247</v>
      </c>
      <c r="B1053" t="s">
        <v>3248</v>
      </c>
      <c r="C1053" s="2">
        <v>2035.4396480000003</v>
      </c>
      <c r="D1053" s="2">
        <v>1974.3764585600002</v>
      </c>
      <c r="E1053" s="2">
        <v>1915.1451648032</v>
      </c>
      <c r="F1053" s="2">
        <v>1857.6908098591041</v>
      </c>
      <c r="G1053" s="2">
        <v>1801.9600855633309</v>
      </c>
      <c r="H1053" s="2">
        <v>1747.9012829964311</v>
      </c>
      <c r="I1053" s="2">
        <v>1695.4642445065381</v>
      </c>
      <c r="J1053" s="2">
        <v>1644.6003171713419</v>
      </c>
      <c r="K1053" s="2">
        <v>1595.2623076562015</v>
      </c>
      <c r="L1053" s="2">
        <v>1547.4044384265155</v>
      </c>
      <c r="M1053" s="2">
        <v>1500.9823052737199</v>
      </c>
      <c r="N1053" s="2">
        <v>1455.9528361155083</v>
      </c>
      <c r="O1053" s="2">
        <v>1412.2742510320429</v>
      </c>
    </row>
    <row r="1054" spans="1:15" x14ac:dyDescent="0.25">
      <c r="A1054" t="s">
        <v>3249</v>
      </c>
      <c r="B1054" t="s">
        <v>3250</v>
      </c>
      <c r="C1054" s="2">
        <v>2032.9379840000004</v>
      </c>
      <c r="D1054" s="2">
        <v>1971.9498444800004</v>
      </c>
      <c r="E1054" s="2">
        <v>1912.7913491456004</v>
      </c>
      <c r="F1054" s="2">
        <v>1855.4076086712323</v>
      </c>
      <c r="G1054" s="2">
        <v>1799.7453804110953</v>
      </c>
      <c r="H1054" s="2">
        <v>1745.7530189987624</v>
      </c>
      <c r="I1054" s="2">
        <v>1693.3804284287994</v>
      </c>
      <c r="J1054" s="2">
        <v>1642.5790155759353</v>
      </c>
      <c r="K1054" s="2">
        <v>1593.3016451086571</v>
      </c>
      <c r="L1054" s="2">
        <v>1545.5025957553974</v>
      </c>
      <c r="M1054" s="2">
        <v>1499.1375178827354</v>
      </c>
      <c r="N1054" s="2">
        <v>1454.1633923462534</v>
      </c>
      <c r="O1054" s="2">
        <v>1410.5384905758658</v>
      </c>
    </row>
    <row r="1055" spans="1:15" x14ac:dyDescent="0.25">
      <c r="A1055" t="s">
        <v>3251</v>
      </c>
      <c r="B1055" t="s">
        <v>3252</v>
      </c>
      <c r="C1055" s="2">
        <v>2030.5982400000003</v>
      </c>
      <c r="D1055" s="2">
        <v>1969.6802928000002</v>
      </c>
      <c r="E1055" s="2">
        <v>1910.589884016</v>
      </c>
      <c r="F1055" s="2">
        <v>1853.27218749552</v>
      </c>
      <c r="G1055" s="2">
        <v>1797.6740218706543</v>
      </c>
      <c r="H1055" s="2">
        <v>1743.7438012145346</v>
      </c>
      <c r="I1055" s="2">
        <v>1691.4314871780985</v>
      </c>
      <c r="J1055" s="2">
        <v>1640.6885425627554</v>
      </c>
      <c r="K1055" s="2">
        <v>1591.4678862858727</v>
      </c>
      <c r="L1055" s="2">
        <v>1543.7238496972966</v>
      </c>
      <c r="M1055" s="2">
        <v>1497.4121342063777</v>
      </c>
      <c r="N1055" s="2">
        <v>1452.4897701801863</v>
      </c>
      <c r="O1055" s="2">
        <v>1408.9150770747806</v>
      </c>
    </row>
    <row r="1056" spans="1:15" x14ac:dyDescent="0.25">
      <c r="A1056" t="s">
        <v>3253</v>
      </c>
      <c r="B1056" t="s">
        <v>3228</v>
      </c>
      <c r="C1056" s="2">
        <v>2030.3391680000004</v>
      </c>
      <c r="D1056" s="2">
        <v>1969.4289929600004</v>
      </c>
      <c r="E1056" s="2">
        <v>1910.3461231712004</v>
      </c>
      <c r="F1056" s="2">
        <v>1853.0357394760642</v>
      </c>
      <c r="G1056" s="2">
        <v>1797.4446672917823</v>
      </c>
      <c r="H1056" s="2">
        <v>1743.5213272730286</v>
      </c>
      <c r="I1056" s="2">
        <v>1691.2156874548377</v>
      </c>
      <c r="J1056" s="2">
        <v>1640.4792168311926</v>
      </c>
      <c r="K1056" s="2">
        <v>1591.2648403262567</v>
      </c>
      <c r="L1056" s="2">
        <v>1543.5268951164689</v>
      </c>
      <c r="M1056" s="2">
        <v>1497.2210882629749</v>
      </c>
      <c r="N1056" s="2">
        <v>1452.3044556150855</v>
      </c>
      <c r="O1056" s="2">
        <v>1408.7353219466329</v>
      </c>
    </row>
    <row r="1057" spans="1:15" x14ac:dyDescent="0.25">
      <c r="A1057" t="s">
        <v>3254</v>
      </c>
      <c r="B1057" t="s">
        <v>3255</v>
      </c>
      <c r="C1057" s="2">
        <v>2029.7643520000004</v>
      </c>
      <c r="D1057" s="2">
        <v>1968.8714214400004</v>
      </c>
      <c r="E1057" s="2">
        <v>1909.8052787968004</v>
      </c>
      <c r="F1057" s="2">
        <v>1852.5111204328964</v>
      </c>
      <c r="G1057" s="2">
        <v>1796.9357868199095</v>
      </c>
      <c r="H1057" s="2">
        <v>1743.0277132153121</v>
      </c>
      <c r="I1057" s="2">
        <v>1690.7368818188527</v>
      </c>
      <c r="J1057" s="2">
        <v>1640.0147753642871</v>
      </c>
      <c r="K1057" s="2">
        <v>1590.8143321033583</v>
      </c>
      <c r="L1057" s="2">
        <v>1543.0899021402574</v>
      </c>
      <c r="M1057" s="2">
        <v>1496.7972050760497</v>
      </c>
      <c r="N1057" s="2">
        <v>1451.8932889237683</v>
      </c>
      <c r="O1057" s="2">
        <v>1408.3364902560552</v>
      </c>
    </row>
    <row r="1058" spans="1:15" x14ac:dyDescent="0.25">
      <c r="A1058" t="s">
        <v>3256</v>
      </c>
      <c r="B1058" t="s">
        <v>3257</v>
      </c>
      <c r="C1058" s="2">
        <v>2026.1778240000003</v>
      </c>
      <c r="D1058" s="2">
        <v>1965.3924892800003</v>
      </c>
      <c r="E1058" s="2">
        <v>1906.4307146016001</v>
      </c>
      <c r="F1058" s="2">
        <v>1849.2377931635522</v>
      </c>
      <c r="G1058" s="2">
        <v>1793.7606593686455</v>
      </c>
      <c r="H1058" s="2">
        <v>1739.947839587586</v>
      </c>
      <c r="I1058" s="2">
        <v>1687.7494043999584</v>
      </c>
      <c r="J1058" s="2">
        <v>1637.1169222679596</v>
      </c>
      <c r="K1058" s="2">
        <v>1588.0034145999207</v>
      </c>
      <c r="L1058" s="2">
        <v>1540.363312161923</v>
      </c>
      <c r="M1058" s="2">
        <v>1494.1524127970652</v>
      </c>
      <c r="N1058" s="2">
        <v>1449.3278404131531</v>
      </c>
      <c r="O1058" s="2">
        <v>1405.8480052007585</v>
      </c>
    </row>
    <row r="1059" spans="1:15" x14ac:dyDescent="0.25">
      <c r="A1059" t="s">
        <v>3258</v>
      </c>
      <c r="B1059" t="s">
        <v>3259</v>
      </c>
      <c r="C1059" s="2">
        <v>2025.5215420000004</v>
      </c>
      <c r="D1059" s="2">
        <v>1964.7558957400004</v>
      </c>
      <c r="E1059" s="2">
        <v>1905.8132188678003</v>
      </c>
      <c r="F1059" s="2">
        <v>1848.6388223017661</v>
      </c>
      <c r="G1059" s="2">
        <v>1793.1796576327131</v>
      </c>
      <c r="H1059" s="2">
        <v>1739.3842679037316</v>
      </c>
      <c r="I1059" s="2">
        <v>1687.2027398666196</v>
      </c>
      <c r="J1059" s="2">
        <v>1636.586657670621</v>
      </c>
      <c r="K1059" s="2">
        <v>1587.4890579405023</v>
      </c>
      <c r="L1059" s="2">
        <v>1539.8643862022873</v>
      </c>
      <c r="M1059" s="2">
        <v>1493.6684546162187</v>
      </c>
      <c r="N1059" s="2">
        <v>1448.8584009777321</v>
      </c>
      <c r="O1059" s="2">
        <v>1405.3926489484002</v>
      </c>
    </row>
    <row r="1060" spans="1:15" x14ac:dyDescent="0.25">
      <c r="A1060" t="s">
        <v>3260</v>
      </c>
      <c r="B1060" t="s">
        <v>3261</v>
      </c>
      <c r="C1060" s="2">
        <v>2023.8623680000003</v>
      </c>
      <c r="D1060" s="2">
        <v>1963.1464969600001</v>
      </c>
      <c r="E1060" s="2">
        <v>1904.2521020512002</v>
      </c>
      <c r="F1060" s="2">
        <v>1847.1245389896642</v>
      </c>
      <c r="G1060" s="2">
        <v>1791.7108028199741</v>
      </c>
      <c r="H1060" s="2">
        <v>1737.9594787353749</v>
      </c>
      <c r="I1060" s="2">
        <v>1685.8206943733137</v>
      </c>
      <c r="J1060" s="2">
        <v>1635.2460735421143</v>
      </c>
      <c r="K1060" s="2">
        <v>1586.1886913358508</v>
      </c>
      <c r="L1060" s="2">
        <v>1538.6030305957752</v>
      </c>
      <c r="M1060" s="2">
        <v>1492.4449396779019</v>
      </c>
      <c r="N1060" s="2">
        <v>1447.6715914875647</v>
      </c>
      <c r="O1060" s="2">
        <v>1404.2414437429377</v>
      </c>
    </row>
    <row r="1061" spans="1:15" x14ac:dyDescent="0.25">
      <c r="A1061" t="s">
        <v>3262</v>
      </c>
      <c r="B1061" t="s">
        <v>3263</v>
      </c>
      <c r="C1061" s="2">
        <v>2022.3079360000004</v>
      </c>
      <c r="D1061" s="2">
        <v>1961.6386979200004</v>
      </c>
      <c r="E1061" s="2">
        <v>1902.7895369824003</v>
      </c>
      <c r="F1061" s="2">
        <v>1845.7058508729283</v>
      </c>
      <c r="G1061" s="2">
        <v>1790.3346753467404</v>
      </c>
      <c r="H1061" s="2">
        <v>1736.624635086338</v>
      </c>
      <c r="I1061" s="2">
        <v>1684.5258960337478</v>
      </c>
      <c r="J1061" s="2">
        <v>1633.9901191527354</v>
      </c>
      <c r="K1061" s="2">
        <v>1584.9704155781533</v>
      </c>
      <c r="L1061" s="2">
        <v>1537.4213031108086</v>
      </c>
      <c r="M1061" s="2">
        <v>1491.2986640174843</v>
      </c>
      <c r="N1061" s="2">
        <v>1446.5597040969596</v>
      </c>
      <c r="O1061" s="2">
        <v>1403.1629129740509</v>
      </c>
    </row>
    <row r="1062" spans="1:15" x14ac:dyDescent="0.25">
      <c r="A1062" t="s">
        <v>3264</v>
      </c>
      <c r="B1062" t="s">
        <v>3265</v>
      </c>
      <c r="C1062" s="2">
        <v>2018.1238220000002</v>
      </c>
      <c r="D1062" s="2">
        <v>1957.5801073400003</v>
      </c>
      <c r="E1062" s="2">
        <v>1898.8527041198001</v>
      </c>
      <c r="F1062" s="2">
        <v>1841.887122996206</v>
      </c>
      <c r="G1062" s="2">
        <v>1786.6305093063197</v>
      </c>
      <c r="H1062" s="2">
        <v>1733.03159402713</v>
      </c>
      <c r="I1062" s="2">
        <v>1681.0406462063161</v>
      </c>
      <c r="J1062" s="2">
        <v>1630.6094268201266</v>
      </c>
      <c r="K1062" s="2">
        <v>1581.6911440155227</v>
      </c>
      <c r="L1062" s="2">
        <v>1534.240409695057</v>
      </c>
      <c r="M1062" s="2">
        <v>1488.2131974042052</v>
      </c>
      <c r="N1062" s="2">
        <v>1443.566801482079</v>
      </c>
      <c r="O1062" s="2">
        <v>1400.2597974376165</v>
      </c>
    </row>
    <row r="1063" spans="1:15" x14ac:dyDescent="0.25">
      <c r="A1063" t="s">
        <v>3266</v>
      </c>
      <c r="B1063" t="s">
        <v>3267</v>
      </c>
      <c r="C1063" s="2">
        <v>2017.1103040000003</v>
      </c>
      <c r="D1063" s="2">
        <v>1956.5969948800002</v>
      </c>
      <c r="E1063" s="2">
        <v>1897.8990850336002</v>
      </c>
      <c r="F1063" s="2">
        <v>1840.9621124825921</v>
      </c>
      <c r="G1063" s="2">
        <v>1785.7332491081143</v>
      </c>
      <c r="H1063" s="2">
        <v>1732.1612516348707</v>
      </c>
      <c r="I1063" s="2">
        <v>1680.1964140858245</v>
      </c>
      <c r="J1063" s="2">
        <v>1629.7905216632496</v>
      </c>
      <c r="K1063" s="2">
        <v>1580.896806013352</v>
      </c>
      <c r="L1063" s="2">
        <v>1533.4699018329513</v>
      </c>
      <c r="M1063" s="2">
        <v>1487.4658047779628</v>
      </c>
      <c r="N1063" s="2">
        <v>1442.8418306346239</v>
      </c>
      <c r="O1063" s="2">
        <v>1399.556575715585</v>
      </c>
    </row>
    <row r="1064" spans="1:15" x14ac:dyDescent="0.25">
      <c r="A1064" t="s">
        <v>3268</v>
      </c>
      <c r="B1064" t="s">
        <v>3269</v>
      </c>
      <c r="C1064" s="2">
        <v>2016.3346060000003</v>
      </c>
      <c r="D1064" s="2">
        <v>1955.8445678200003</v>
      </c>
      <c r="E1064" s="2">
        <v>1897.1692307854003</v>
      </c>
      <c r="F1064" s="2">
        <v>1840.2541538618382</v>
      </c>
      <c r="G1064" s="2">
        <v>1785.046529245983</v>
      </c>
      <c r="H1064" s="2">
        <v>1731.4951333686035</v>
      </c>
      <c r="I1064" s="2">
        <v>1679.5502793675455</v>
      </c>
      <c r="J1064" s="2">
        <v>1629.163770986519</v>
      </c>
      <c r="K1064" s="2">
        <v>1580.2888578569234</v>
      </c>
      <c r="L1064" s="2">
        <v>1532.8801921212157</v>
      </c>
      <c r="M1064" s="2">
        <v>1486.8937863575793</v>
      </c>
      <c r="N1064" s="2">
        <v>1442.2869727668519</v>
      </c>
      <c r="O1064" s="2">
        <v>1399.0183635838464</v>
      </c>
    </row>
    <row r="1065" spans="1:15" x14ac:dyDescent="0.25">
      <c r="A1065" t="s">
        <v>3270</v>
      </c>
      <c r="B1065" t="s">
        <v>3271</v>
      </c>
      <c r="C1065" s="2">
        <v>2015.2679580000001</v>
      </c>
      <c r="D1065" s="2">
        <v>1954.80991926</v>
      </c>
      <c r="E1065" s="2">
        <v>1896.1656216822</v>
      </c>
      <c r="F1065" s="2">
        <v>1839.2806530317339</v>
      </c>
      <c r="G1065" s="2">
        <v>1784.1022334407819</v>
      </c>
      <c r="H1065" s="2">
        <v>1730.5791664375583</v>
      </c>
      <c r="I1065" s="2">
        <v>1678.6617914444316</v>
      </c>
      <c r="J1065" s="2">
        <v>1628.3019377010987</v>
      </c>
      <c r="K1065" s="2">
        <v>1579.4528795700658</v>
      </c>
      <c r="L1065" s="2">
        <v>1532.0692931829637</v>
      </c>
      <c r="M1065" s="2">
        <v>1486.1072143874749</v>
      </c>
      <c r="N1065" s="2">
        <v>1441.5239979558505</v>
      </c>
      <c r="O1065" s="2">
        <v>1398.2782780171749</v>
      </c>
    </row>
    <row r="1066" spans="1:15" x14ac:dyDescent="0.25">
      <c r="A1066" t="s">
        <v>3272</v>
      </c>
      <c r="B1066" t="s">
        <v>3273</v>
      </c>
      <c r="C1066" s="2">
        <v>2014.6653120000001</v>
      </c>
      <c r="D1066" s="2">
        <v>1954.22535264</v>
      </c>
      <c r="E1066" s="2">
        <v>1895.5985920608</v>
      </c>
      <c r="F1066" s="2">
        <v>1838.7306342989759</v>
      </c>
      <c r="G1066" s="2">
        <v>1783.5687152700066</v>
      </c>
      <c r="H1066" s="2">
        <v>1730.0616538119064</v>
      </c>
      <c r="I1066" s="2">
        <v>1678.1598041975492</v>
      </c>
      <c r="J1066" s="2">
        <v>1627.8150100716227</v>
      </c>
      <c r="K1066" s="2">
        <v>1578.980559769474</v>
      </c>
      <c r="L1066" s="2">
        <v>1531.6111429763898</v>
      </c>
      <c r="M1066" s="2">
        <v>1485.662808687098</v>
      </c>
      <c r="N1066" s="2">
        <v>1441.0929244264851</v>
      </c>
      <c r="O1066" s="2">
        <v>1397.8601366936905</v>
      </c>
    </row>
    <row r="1067" spans="1:15" x14ac:dyDescent="0.25">
      <c r="A1067" t="s">
        <v>3274</v>
      </c>
      <c r="B1067" t="s">
        <v>3275</v>
      </c>
      <c r="C1067" s="2">
        <v>2014.4062400000005</v>
      </c>
      <c r="D1067" s="2">
        <v>1953.9740528000004</v>
      </c>
      <c r="E1067" s="2">
        <v>1895.3548312160003</v>
      </c>
      <c r="F1067" s="2">
        <v>1838.4941862795204</v>
      </c>
      <c r="G1067" s="2">
        <v>1783.3393606911347</v>
      </c>
      <c r="H1067" s="2">
        <v>1729.8391798704006</v>
      </c>
      <c r="I1067" s="2">
        <v>1677.9440044742885</v>
      </c>
      <c r="J1067" s="2">
        <v>1627.6056843400597</v>
      </c>
      <c r="K1067" s="2">
        <v>1578.777513809858</v>
      </c>
      <c r="L1067" s="2">
        <v>1531.4141883955622</v>
      </c>
      <c r="M1067" s="2">
        <v>1485.4717627436953</v>
      </c>
      <c r="N1067" s="2">
        <v>1440.9076098613843</v>
      </c>
      <c r="O1067" s="2">
        <v>1397.6803815655428</v>
      </c>
    </row>
    <row r="1068" spans="1:15" x14ac:dyDescent="0.25">
      <c r="A1068" t="s">
        <v>3276</v>
      </c>
      <c r="B1068" t="s">
        <v>3277</v>
      </c>
      <c r="C1068" s="2">
        <v>2010.3046040000002</v>
      </c>
      <c r="D1068" s="2">
        <v>1949.99546588</v>
      </c>
      <c r="E1068" s="2">
        <v>1891.4956019035999</v>
      </c>
      <c r="F1068" s="2">
        <v>1834.7507338464918</v>
      </c>
      <c r="G1068" s="2">
        <v>1779.7082118310971</v>
      </c>
      <c r="H1068" s="2">
        <v>1726.3169654761641</v>
      </c>
      <c r="I1068" s="2">
        <v>1674.5274565118791</v>
      </c>
      <c r="J1068" s="2">
        <v>1624.2916328165227</v>
      </c>
      <c r="K1068" s="2">
        <v>1575.562883832027</v>
      </c>
      <c r="L1068" s="2">
        <v>1528.2959973170662</v>
      </c>
      <c r="M1068" s="2">
        <v>1482.4471173975542</v>
      </c>
      <c r="N1068" s="2">
        <v>1437.9737038756275</v>
      </c>
      <c r="O1068" s="2">
        <v>1394.8344927593587</v>
      </c>
    </row>
    <row r="1069" spans="1:15" x14ac:dyDescent="0.25">
      <c r="A1069" t="s">
        <v>3278</v>
      </c>
      <c r="B1069" t="s">
        <v>3279</v>
      </c>
      <c r="C1069" s="2">
        <v>2009.0745180000004</v>
      </c>
      <c r="D1069" s="2">
        <v>1948.8022824600002</v>
      </c>
      <c r="E1069" s="2">
        <v>1890.3382139862001</v>
      </c>
      <c r="F1069" s="2">
        <v>1833.6280675666142</v>
      </c>
      <c r="G1069" s="2">
        <v>1778.6192255396156</v>
      </c>
      <c r="H1069" s="2">
        <v>1725.2606487734272</v>
      </c>
      <c r="I1069" s="2">
        <v>1673.5028293102243</v>
      </c>
      <c r="J1069" s="2">
        <v>1623.2977444309176</v>
      </c>
      <c r="K1069" s="2">
        <v>1574.59881209799</v>
      </c>
      <c r="L1069" s="2">
        <v>1527.3608477350504</v>
      </c>
      <c r="M1069" s="2">
        <v>1481.5400223029988</v>
      </c>
      <c r="N1069" s="2">
        <v>1437.0938216339086</v>
      </c>
      <c r="O1069" s="2">
        <v>1393.9810069848913</v>
      </c>
    </row>
    <row r="1070" spans="1:15" x14ac:dyDescent="0.25">
      <c r="A1070" t="s">
        <v>3280</v>
      </c>
      <c r="B1070" t="s">
        <v>3281</v>
      </c>
      <c r="C1070" s="2">
        <v>2008.8852740000002</v>
      </c>
      <c r="D1070" s="2">
        <v>1948.6187157800002</v>
      </c>
      <c r="E1070" s="2">
        <v>1890.1601543066001</v>
      </c>
      <c r="F1070" s="2">
        <v>1833.4553496774022</v>
      </c>
      <c r="G1070" s="2">
        <v>1778.4516891870801</v>
      </c>
      <c r="H1070" s="2">
        <v>1725.0981385114676</v>
      </c>
      <c r="I1070" s="2">
        <v>1673.3451943561236</v>
      </c>
      <c r="J1070" s="2">
        <v>1623.1448385254398</v>
      </c>
      <c r="K1070" s="2">
        <v>1574.4504933696767</v>
      </c>
      <c r="L1070" s="2">
        <v>1527.2169785685862</v>
      </c>
      <c r="M1070" s="2">
        <v>1481.4004692115286</v>
      </c>
      <c r="N1070" s="2">
        <v>1436.9584551351827</v>
      </c>
      <c r="O1070" s="2">
        <v>1393.8497014811271</v>
      </c>
    </row>
    <row r="1071" spans="1:15" x14ac:dyDescent="0.25">
      <c r="A1071" t="s">
        <v>3282</v>
      </c>
      <c r="B1071" t="s">
        <v>3283</v>
      </c>
      <c r="C1071" s="2">
        <v>2007.5084480000003</v>
      </c>
      <c r="D1071" s="2">
        <v>1947.2831945600003</v>
      </c>
      <c r="E1071" s="2">
        <v>1888.8646987232003</v>
      </c>
      <c r="F1071" s="2">
        <v>1832.1987577615041</v>
      </c>
      <c r="G1071" s="2">
        <v>1777.232795028659</v>
      </c>
      <c r="H1071" s="2">
        <v>1723.9158111777992</v>
      </c>
      <c r="I1071" s="2">
        <v>1672.1983368424653</v>
      </c>
      <c r="J1071" s="2">
        <v>1622.0323867371912</v>
      </c>
      <c r="K1071" s="2">
        <v>1573.3714151350755</v>
      </c>
      <c r="L1071" s="2">
        <v>1526.1702726810231</v>
      </c>
      <c r="M1071" s="2">
        <v>1480.3851645005923</v>
      </c>
      <c r="N1071" s="2">
        <v>1435.9736095655744</v>
      </c>
      <c r="O1071" s="2">
        <v>1392.8944012786071</v>
      </c>
    </row>
    <row r="1072" spans="1:15" x14ac:dyDescent="0.25">
      <c r="A1072" t="s">
        <v>3284</v>
      </c>
      <c r="B1072" t="s">
        <v>3285</v>
      </c>
      <c r="C1072" s="2">
        <v>2006.6826560000004</v>
      </c>
      <c r="D1072" s="2">
        <v>1946.4821763200002</v>
      </c>
      <c r="E1072" s="2">
        <v>1888.0877110304002</v>
      </c>
      <c r="F1072" s="2">
        <v>1831.4450796994881</v>
      </c>
      <c r="G1072" s="2">
        <v>1776.5017273085034</v>
      </c>
      <c r="H1072" s="2">
        <v>1723.2066754892483</v>
      </c>
      <c r="I1072" s="2">
        <v>1671.5104752245707</v>
      </c>
      <c r="J1072" s="2">
        <v>1621.3651609678334</v>
      </c>
      <c r="K1072" s="2">
        <v>1572.7242061387983</v>
      </c>
      <c r="L1072" s="2">
        <v>1525.5424799546342</v>
      </c>
      <c r="M1072" s="2">
        <v>1479.7762055559951</v>
      </c>
      <c r="N1072" s="2">
        <v>1435.3829193893152</v>
      </c>
      <c r="O1072" s="2">
        <v>1392.3214318076357</v>
      </c>
    </row>
    <row r="1073" spans="1:15" x14ac:dyDescent="0.25">
      <c r="A1073" t="s">
        <v>3286</v>
      </c>
      <c r="B1073" t="s">
        <v>3287</v>
      </c>
      <c r="C1073" s="2">
        <v>2005.5249280000003</v>
      </c>
      <c r="D1073" s="2">
        <v>1945.3591801600003</v>
      </c>
      <c r="E1073" s="2">
        <v>1886.9984047552002</v>
      </c>
      <c r="F1073" s="2">
        <v>1830.3884526125441</v>
      </c>
      <c r="G1073" s="2">
        <v>1775.4767990341677</v>
      </c>
      <c r="H1073" s="2">
        <v>1722.2124950631426</v>
      </c>
      <c r="I1073" s="2">
        <v>1670.5461202112483</v>
      </c>
      <c r="J1073" s="2">
        <v>1620.4297366049109</v>
      </c>
      <c r="K1073" s="2">
        <v>1571.8168445067636</v>
      </c>
      <c r="L1073" s="2">
        <v>1524.6623391715607</v>
      </c>
      <c r="M1073" s="2">
        <v>1478.9224689964137</v>
      </c>
      <c r="N1073" s="2">
        <v>1434.5547949265213</v>
      </c>
      <c r="O1073" s="2">
        <v>1391.5181510787256</v>
      </c>
    </row>
    <row r="1074" spans="1:15" x14ac:dyDescent="0.25">
      <c r="A1074" t="s">
        <v>3288</v>
      </c>
      <c r="B1074" t="s">
        <v>3289</v>
      </c>
      <c r="C1074" s="2">
        <v>2004.7072320000004</v>
      </c>
      <c r="D1074" s="2">
        <v>1944.5660150400004</v>
      </c>
      <c r="E1074" s="2">
        <v>1886.2290345888002</v>
      </c>
      <c r="F1074" s="2">
        <v>1829.6421635511363</v>
      </c>
      <c r="G1074" s="2">
        <v>1774.7528986446021</v>
      </c>
      <c r="H1074" s="2">
        <v>1721.510311685264</v>
      </c>
      <c r="I1074" s="2">
        <v>1669.8650023347061</v>
      </c>
      <c r="J1074" s="2">
        <v>1619.7690522646649</v>
      </c>
      <c r="K1074" s="2">
        <v>1571.175980696725</v>
      </c>
      <c r="L1074" s="2">
        <v>1524.0407012758233</v>
      </c>
      <c r="M1074" s="2">
        <v>1478.3194802375485</v>
      </c>
      <c r="N1074" s="2">
        <v>1433.969895830422</v>
      </c>
      <c r="O1074" s="2">
        <v>1390.9507989555093</v>
      </c>
    </row>
    <row r="1075" spans="1:15" x14ac:dyDescent="0.25">
      <c r="A1075" t="s">
        <v>3290</v>
      </c>
      <c r="B1075" t="s">
        <v>3291</v>
      </c>
      <c r="C1075" s="2">
        <v>2002.8036600000003</v>
      </c>
      <c r="D1075" s="2">
        <v>1942.7195502000002</v>
      </c>
      <c r="E1075" s="2">
        <v>1884.437963694</v>
      </c>
      <c r="F1075" s="2">
        <v>1827.9048247831799</v>
      </c>
      <c r="G1075" s="2">
        <v>1773.0676800396845</v>
      </c>
      <c r="H1075" s="2">
        <v>1719.875649638494</v>
      </c>
      <c r="I1075" s="2">
        <v>1668.2793801493392</v>
      </c>
      <c r="J1075" s="2">
        <v>1618.2309987448589</v>
      </c>
      <c r="K1075" s="2">
        <v>1569.6840687825131</v>
      </c>
      <c r="L1075" s="2">
        <v>1522.5935467190377</v>
      </c>
      <c r="M1075" s="2">
        <v>1476.9157403174665</v>
      </c>
      <c r="N1075" s="2">
        <v>1432.6082681079424</v>
      </c>
      <c r="O1075" s="2">
        <v>1389.630020064704</v>
      </c>
    </row>
    <row r="1076" spans="1:15" x14ac:dyDescent="0.25">
      <c r="A1076" t="s">
        <v>3292</v>
      </c>
      <c r="B1076" t="s">
        <v>3293</v>
      </c>
      <c r="C1076" s="2">
        <v>2002.3998720000006</v>
      </c>
      <c r="D1076" s="2">
        <v>1942.3278758400006</v>
      </c>
      <c r="E1076" s="2">
        <v>1884.0580395648005</v>
      </c>
      <c r="F1076" s="2">
        <v>1827.5362983778564</v>
      </c>
      <c r="G1076" s="2">
        <v>1772.7102094265206</v>
      </c>
      <c r="H1076" s="2">
        <v>1719.5289031437248</v>
      </c>
      <c r="I1076" s="2">
        <v>1667.943036049413</v>
      </c>
      <c r="J1076" s="2">
        <v>1617.9047449679306</v>
      </c>
      <c r="K1076" s="2">
        <v>1569.3676026188925</v>
      </c>
      <c r="L1076" s="2">
        <v>1522.2865745403258</v>
      </c>
      <c r="M1076" s="2">
        <v>1476.617977304116</v>
      </c>
      <c r="N1076" s="2">
        <v>1432.3194379849924</v>
      </c>
      <c r="O1076" s="2">
        <v>1389.3498548454427</v>
      </c>
    </row>
    <row r="1077" spans="1:15" x14ac:dyDescent="0.25">
      <c r="A1077" t="s">
        <v>3294</v>
      </c>
      <c r="B1077" t="s">
        <v>3295</v>
      </c>
      <c r="C1077" s="2">
        <v>2001.8316340000001</v>
      </c>
      <c r="D1077" s="2">
        <v>1941.77668498</v>
      </c>
      <c r="E1077" s="2">
        <v>1883.5233844305999</v>
      </c>
      <c r="F1077" s="2">
        <v>1827.0176828976819</v>
      </c>
      <c r="G1077" s="2">
        <v>1772.2071524107514</v>
      </c>
      <c r="H1077" s="2">
        <v>1719.0409378384288</v>
      </c>
      <c r="I1077" s="2">
        <v>1667.4697097032758</v>
      </c>
      <c r="J1077" s="2">
        <v>1617.4456184121775</v>
      </c>
      <c r="K1077" s="2">
        <v>1568.9222498598122</v>
      </c>
      <c r="L1077" s="2">
        <v>1521.8545823640177</v>
      </c>
      <c r="M1077" s="2">
        <v>1476.1989448930972</v>
      </c>
      <c r="N1077" s="2">
        <v>1431.9129765463042</v>
      </c>
      <c r="O1077" s="2">
        <v>1388.955587249915</v>
      </c>
    </row>
    <row r="1078" spans="1:15" x14ac:dyDescent="0.25">
      <c r="A1078" t="s">
        <v>3296</v>
      </c>
      <c r="B1078" t="s">
        <v>3297</v>
      </c>
      <c r="C1078" s="2">
        <v>1995.2430080000004</v>
      </c>
      <c r="D1078" s="2">
        <v>1935.3857177600003</v>
      </c>
      <c r="E1078" s="2">
        <v>1877.3241462272001</v>
      </c>
      <c r="F1078" s="2">
        <v>1821.0044218403841</v>
      </c>
      <c r="G1078" s="2">
        <v>1766.3742891851725</v>
      </c>
      <c r="H1078" s="2">
        <v>1713.3830605096173</v>
      </c>
      <c r="I1078" s="2">
        <v>1661.9815686943286</v>
      </c>
      <c r="J1078" s="2">
        <v>1612.1221216334986</v>
      </c>
      <c r="K1078" s="2">
        <v>1563.7584579844936</v>
      </c>
      <c r="L1078" s="2">
        <v>1516.8457042449588</v>
      </c>
      <c r="M1078" s="2">
        <v>1471.34033311761</v>
      </c>
      <c r="N1078" s="2">
        <v>1427.2001231240818</v>
      </c>
      <c r="O1078" s="2">
        <v>1384.3841194303593</v>
      </c>
    </row>
    <row r="1079" spans="1:15" x14ac:dyDescent="0.25">
      <c r="A1079" t="s">
        <v>3298</v>
      </c>
      <c r="B1079" t="s">
        <v>3299</v>
      </c>
      <c r="C1079" s="2">
        <v>1993.0894720000003</v>
      </c>
      <c r="D1079" s="2">
        <v>1933.2967878400002</v>
      </c>
      <c r="E1079" s="2">
        <v>1875.2978842048001</v>
      </c>
      <c r="F1079" s="2">
        <v>1819.0389476786561</v>
      </c>
      <c r="G1079" s="2">
        <v>1764.4677792482964</v>
      </c>
      <c r="H1079" s="2">
        <v>1711.5337458708475</v>
      </c>
      <c r="I1079" s="2">
        <v>1660.1877334947221</v>
      </c>
      <c r="J1079" s="2">
        <v>1610.3821014898804</v>
      </c>
      <c r="K1079" s="2">
        <v>1562.0706384451839</v>
      </c>
      <c r="L1079" s="2">
        <v>1515.2085192918285</v>
      </c>
      <c r="M1079" s="2">
        <v>1469.7522637130735</v>
      </c>
      <c r="N1079" s="2">
        <v>1425.6596958016812</v>
      </c>
      <c r="O1079" s="2">
        <v>1382.8899049276308</v>
      </c>
    </row>
    <row r="1080" spans="1:15" x14ac:dyDescent="0.25">
      <c r="A1080" t="s">
        <v>3300</v>
      </c>
      <c r="B1080" t="s">
        <v>3301</v>
      </c>
      <c r="C1080" s="2">
        <v>1991.2192960000004</v>
      </c>
      <c r="D1080" s="2">
        <v>1931.4827171200004</v>
      </c>
      <c r="E1080" s="2">
        <v>1873.5382356064003</v>
      </c>
      <c r="F1080" s="2">
        <v>1817.3320885382084</v>
      </c>
      <c r="G1080" s="2">
        <v>1762.812125882062</v>
      </c>
      <c r="H1080" s="2">
        <v>1709.9277621056001</v>
      </c>
      <c r="I1080" s="2">
        <v>1658.6299292424321</v>
      </c>
      <c r="J1080" s="2">
        <v>1608.8710313651591</v>
      </c>
      <c r="K1080" s="2">
        <v>1560.6049004242043</v>
      </c>
      <c r="L1080" s="2">
        <v>1513.7867534114782</v>
      </c>
      <c r="M1080" s="2">
        <v>1468.3731508091339</v>
      </c>
      <c r="N1080" s="2">
        <v>1424.3219562848599</v>
      </c>
      <c r="O1080" s="2">
        <v>1381.592297596314</v>
      </c>
    </row>
    <row r="1081" spans="1:15" x14ac:dyDescent="0.25">
      <c r="A1081" t="s">
        <v>3302</v>
      </c>
      <c r="B1081" t="s">
        <v>3303</v>
      </c>
      <c r="C1081" s="2">
        <v>1989.1548160000004</v>
      </c>
      <c r="D1081" s="2">
        <v>1929.4801715200003</v>
      </c>
      <c r="E1081" s="2">
        <v>1871.5957663744002</v>
      </c>
      <c r="F1081" s="2">
        <v>1815.4478933831681</v>
      </c>
      <c r="G1081" s="2">
        <v>1760.9844565816729</v>
      </c>
      <c r="H1081" s="2">
        <v>1708.1549228842227</v>
      </c>
      <c r="I1081" s="2">
        <v>1656.9102751976959</v>
      </c>
      <c r="J1081" s="2">
        <v>1607.202966941765</v>
      </c>
      <c r="K1081" s="2">
        <v>1558.986877933512</v>
      </c>
      <c r="L1081" s="2">
        <v>1512.2172715955066</v>
      </c>
      <c r="M1081" s="2">
        <v>1466.8507534476414</v>
      </c>
      <c r="N1081" s="2">
        <v>1422.8452308442122</v>
      </c>
      <c r="O1081" s="2">
        <v>1380.1598739188858</v>
      </c>
    </row>
    <row r="1082" spans="1:15" x14ac:dyDescent="0.25">
      <c r="A1082" t="s">
        <v>3304</v>
      </c>
      <c r="B1082" t="s">
        <v>3305</v>
      </c>
      <c r="C1082" s="2">
        <v>1987.7218240000004</v>
      </c>
      <c r="D1082" s="2">
        <v>1928.0901692800003</v>
      </c>
      <c r="E1082" s="2">
        <v>1870.2474642016002</v>
      </c>
      <c r="F1082" s="2">
        <v>1814.1400402755521</v>
      </c>
      <c r="G1082" s="2">
        <v>1759.7158390672855</v>
      </c>
      <c r="H1082" s="2">
        <v>1706.9243638952669</v>
      </c>
      <c r="I1082" s="2">
        <v>1655.7166329784088</v>
      </c>
      <c r="J1082" s="2">
        <v>1606.0451339890565</v>
      </c>
      <c r="K1082" s="2">
        <v>1557.8637799693847</v>
      </c>
      <c r="L1082" s="2">
        <v>1511.1278665703032</v>
      </c>
      <c r="M1082" s="2">
        <v>1465.794030573194</v>
      </c>
      <c r="N1082" s="2">
        <v>1421.8202096559983</v>
      </c>
      <c r="O1082" s="2">
        <v>1379.1656033663182</v>
      </c>
    </row>
    <row r="1083" spans="1:15" x14ac:dyDescent="0.25">
      <c r="A1083" t="s">
        <v>3306</v>
      </c>
      <c r="B1083" t="s">
        <v>3307</v>
      </c>
      <c r="C1083" s="2">
        <v>1987.1308160000006</v>
      </c>
      <c r="D1083" s="2">
        <v>1927.5168915200004</v>
      </c>
      <c r="E1083" s="2">
        <v>1869.6913847744004</v>
      </c>
      <c r="F1083" s="2">
        <v>1813.6006432311683</v>
      </c>
      <c r="G1083" s="2">
        <v>1759.1926239342331</v>
      </c>
      <c r="H1083" s="2">
        <v>1706.416845216206</v>
      </c>
      <c r="I1083" s="2">
        <v>1655.2243398597197</v>
      </c>
      <c r="J1083" s="2">
        <v>1605.5676096639281</v>
      </c>
      <c r="K1083" s="2">
        <v>1557.4005813740102</v>
      </c>
      <c r="L1083" s="2">
        <v>1510.67856393279</v>
      </c>
      <c r="M1083" s="2">
        <v>1465.3582070148063</v>
      </c>
      <c r="N1083" s="2">
        <v>1421.397460804362</v>
      </c>
      <c r="O1083" s="2">
        <v>1378.7555369802312</v>
      </c>
    </row>
    <row r="1084" spans="1:15" x14ac:dyDescent="0.25">
      <c r="A1084" t="s">
        <v>3308</v>
      </c>
      <c r="B1084" t="s">
        <v>3309</v>
      </c>
      <c r="C1084" s="2">
        <v>1984.5158080000003</v>
      </c>
      <c r="D1084" s="2">
        <v>1924.9803337600003</v>
      </c>
      <c r="E1084" s="2">
        <v>1867.2309237472002</v>
      </c>
      <c r="F1084" s="2">
        <v>1811.2139960347843</v>
      </c>
      <c r="G1084" s="2">
        <v>1756.8775761537406</v>
      </c>
      <c r="H1084" s="2">
        <v>1704.1712488691282</v>
      </c>
      <c r="I1084" s="2">
        <v>1653.0461114030543</v>
      </c>
      <c r="J1084" s="2">
        <v>1603.4547280609627</v>
      </c>
      <c r="K1084" s="2">
        <v>1555.3510862191338</v>
      </c>
      <c r="L1084" s="2">
        <v>1508.6905536325596</v>
      </c>
      <c r="M1084" s="2">
        <v>1463.4298370235829</v>
      </c>
      <c r="N1084" s="2">
        <v>1419.5269419128754</v>
      </c>
      <c r="O1084" s="2">
        <v>1376.941133655489</v>
      </c>
    </row>
    <row r="1085" spans="1:15" x14ac:dyDescent="0.25">
      <c r="A1085" t="s">
        <v>3310</v>
      </c>
      <c r="B1085" t="s">
        <v>3311</v>
      </c>
      <c r="C1085" s="2">
        <v>1979.5772480000005</v>
      </c>
      <c r="D1085" s="2">
        <v>1920.1899305600004</v>
      </c>
      <c r="E1085" s="2">
        <v>1862.5842326432005</v>
      </c>
      <c r="F1085" s="2">
        <v>1806.7067056639044</v>
      </c>
      <c r="G1085" s="2">
        <v>1752.5055044939872</v>
      </c>
      <c r="H1085" s="2">
        <v>1699.9303393591676</v>
      </c>
      <c r="I1085" s="2">
        <v>1648.9324291783926</v>
      </c>
      <c r="J1085" s="2">
        <v>1599.4644563030408</v>
      </c>
      <c r="K1085" s="2">
        <v>1551.4805226139495</v>
      </c>
      <c r="L1085" s="2">
        <v>1504.9361069355309</v>
      </c>
      <c r="M1085" s="2">
        <v>1459.7880237274649</v>
      </c>
      <c r="N1085" s="2">
        <v>1415.9943830156408</v>
      </c>
      <c r="O1085" s="2">
        <v>1373.5145515251716</v>
      </c>
    </row>
    <row r="1086" spans="1:15" x14ac:dyDescent="0.25">
      <c r="A1086" t="s">
        <v>3312</v>
      </c>
      <c r="B1086" t="s">
        <v>3313</v>
      </c>
      <c r="C1086" s="2">
        <v>1978.2656960000004</v>
      </c>
      <c r="D1086" s="2">
        <v>1918.9177251200003</v>
      </c>
      <c r="E1086" s="2">
        <v>1861.3501933664004</v>
      </c>
      <c r="F1086" s="2">
        <v>1805.5096875654083</v>
      </c>
      <c r="G1086" s="2">
        <v>1751.3443969384459</v>
      </c>
      <c r="H1086" s="2">
        <v>1698.8040650302926</v>
      </c>
      <c r="I1086" s="2">
        <v>1647.8399430793838</v>
      </c>
      <c r="J1086" s="2">
        <v>1598.4047447870023</v>
      </c>
      <c r="K1086" s="2">
        <v>1550.4526024433922</v>
      </c>
      <c r="L1086" s="2">
        <v>1503.9390243700902</v>
      </c>
      <c r="M1086" s="2">
        <v>1458.8208536389875</v>
      </c>
      <c r="N1086" s="2">
        <v>1415.0562280298179</v>
      </c>
      <c r="O1086" s="2">
        <v>1372.6045411889233</v>
      </c>
    </row>
    <row r="1087" spans="1:15" x14ac:dyDescent="0.25">
      <c r="A1087" t="s">
        <v>3314</v>
      </c>
      <c r="B1087" t="s">
        <v>3315</v>
      </c>
      <c r="C1087" s="2">
        <v>1976.26649</v>
      </c>
      <c r="D1087" s="2">
        <v>1916.9784952999998</v>
      </c>
      <c r="E1087" s="2">
        <v>1859.4691404409998</v>
      </c>
      <c r="F1087" s="2">
        <v>1803.6850662277698</v>
      </c>
      <c r="G1087" s="2">
        <v>1749.5745142409367</v>
      </c>
      <c r="H1087" s="2">
        <v>1697.0872788137085</v>
      </c>
      <c r="I1087" s="2">
        <v>1646.1746604492971</v>
      </c>
      <c r="J1087" s="2">
        <v>1596.7894206358183</v>
      </c>
      <c r="K1087" s="2">
        <v>1548.8857380167437</v>
      </c>
      <c r="L1087" s="2">
        <v>1502.4191658762413</v>
      </c>
      <c r="M1087" s="2">
        <v>1457.346590899954</v>
      </c>
      <c r="N1087" s="2">
        <v>1413.6261931729553</v>
      </c>
      <c r="O1087" s="2">
        <v>1371.2174073777664</v>
      </c>
    </row>
    <row r="1088" spans="1:15" x14ac:dyDescent="0.25">
      <c r="A1088" t="s">
        <v>3316</v>
      </c>
      <c r="B1088" t="s">
        <v>3317</v>
      </c>
      <c r="C1088" s="2">
        <v>1973.7375020000004</v>
      </c>
      <c r="D1088" s="2">
        <v>1914.5253769400003</v>
      </c>
      <c r="E1088" s="2">
        <v>1857.0896156318004</v>
      </c>
      <c r="F1088" s="2">
        <v>1801.3769271628464</v>
      </c>
      <c r="G1088" s="2">
        <v>1747.335619347961</v>
      </c>
      <c r="H1088" s="2">
        <v>1694.9155507675221</v>
      </c>
      <c r="I1088" s="2">
        <v>1644.0680842444963</v>
      </c>
      <c r="J1088" s="2">
        <v>1594.7460417171612</v>
      </c>
      <c r="K1088" s="2">
        <v>1546.9036604656465</v>
      </c>
      <c r="L1088" s="2">
        <v>1500.4965506516771</v>
      </c>
      <c r="M1088" s="2">
        <v>1455.4816541321268</v>
      </c>
      <c r="N1088" s="2">
        <v>1411.8172045081628</v>
      </c>
      <c r="O1088" s="2">
        <v>1369.4626883729179</v>
      </c>
    </row>
    <row r="1089" spans="1:15" x14ac:dyDescent="0.25">
      <c r="A1089" t="s">
        <v>3318</v>
      </c>
      <c r="B1089" t="s">
        <v>3319</v>
      </c>
      <c r="C1089" s="2">
        <v>1973.2947520000002</v>
      </c>
      <c r="D1089" s="2">
        <v>1914.0959094400002</v>
      </c>
      <c r="E1089" s="2">
        <v>1856.6730321568002</v>
      </c>
      <c r="F1089" s="2">
        <v>1800.9728411920962</v>
      </c>
      <c r="G1089" s="2">
        <v>1746.9436559563333</v>
      </c>
      <c r="H1089" s="2">
        <v>1694.5353462776432</v>
      </c>
      <c r="I1089" s="2">
        <v>1643.6992858893138</v>
      </c>
      <c r="J1089" s="2">
        <v>1594.3883073126344</v>
      </c>
      <c r="K1089" s="2">
        <v>1546.5566580932552</v>
      </c>
      <c r="L1089" s="2">
        <v>1500.1599583504576</v>
      </c>
      <c r="M1089" s="2">
        <v>1455.1551595999438</v>
      </c>
      <c r="N1089" s="2">
        <v>1411.5005048119453</v>
      </c>
      <c r="O1089" s="2">
        <v>1369.1554896675871</v>
      </c>
    </row>
    <row r="1090" spans="1:15" x14ac:dyDescent="0.25">
      <c r="A1090" t="s">
        <v>3320</v>
      </c>
      <c r="B1090" t="s">
        <v>3321</v>
      </c>
      <c r="C1090" s="2">
        <v>1971.9346240000004</v>
      </c>
      <c r="D1090" s="2">
        <v>1912.7765852800003</v>
      </c>
      <c r="E1090" s="2">
        <v>1855.3932877216002</v>
      </c>
      <c r="F1090" s="2">
        <v>1799.7314890899522</v>
      </c>
      <c r="G1090" s="2">
        <v>1745.7395444172537</v>
      </c>
      <c r="H1090" s="2">
        <v>1693.367358084736</v>
      </c>
      <c r="I1090" s="2">
        <v>1642.5663373421939</v>
      </c>
      <c r="J1090" s="2">
        <v>1593.289347221928</v>
      </c>
      <c r="K1090" s="2">
        <v>1545.4906668052702</v>
      </c>
      <c r="L1090" s="2">
        <v>1499.1259468011119</v>
      </c>
      <c r="M1090" s="2">
        <v>1454.1521683970784</v>
      </c>
      <c r="N1090" s="2">
        <v>1410.527603345166</v>
      </c>
      <c r="O1090" s="2">
        <v>1368.211775244811</v>
      </c>
    </row>
    <row r="1091" spans="1:15" x14ac:dyDescent="0.25">
      <c r="A1091" t="s">
        <v>3322</v>
      </c>
      <c r="B1091" t="s">
        <v>3323</v>
      </c>
      <c r="C1091" s="2">
        <v>1970.7849920000006</v>
      </c>
      <c r="D1091" s="2">
        <v>1911.6614422400005</v>
      </c>
      <c r="E1091" s="2">
        <v>1854.3115989728005</v>
      </c>
      <c r="F1091" s="2">
        <v>1798.6822510036166</v>
      </c>
      <c r="G1091" s="2">
        <v>1744.7217834735079</v>
      </c>
      <c r="H1091" s="2">
        <v>1692.3801299693025</v>
      </c>
      <c r="I1091" s="2">
        <v>1641.6087260702234</v>
      </c>
      <c r="J1091" s="2">
        <v>1592.3604642881166</v>
      </c>
      <c r="K1091" s="2">
        <v>1544.5896503594731</v>
      </c>
      <c r="L1091" s="2">
        <v>1498.2519608486889</v>
      </c>
      <c r="M1091" s="2">
        <v>1453.3044020232282</v>
      </c>
      <c r="N1091" s="2">
        <v>1409.7052699625315</v>
      </c>
      <c r="O1091" s="2">
        <v>1367.4141118636555</v>
      </c>
    </row>
    <row r="1092" spans="1:15" x14ac:dyDescent="0.25">
      <c r="A1092" t="s">
        <v>3324</v>
      </c>
      <c r="B1092" t="s">
        <v>3325</v>
      </c>
      <c r="C1092" s="2">
        <v>1965.1010940000001</v>
      </c>
      <c r="D1092" s="2">
        <v>1906.14806118</v>
      </c>
      <c r="E1092" s="2">
        <v>1848.9636193445999</v>
      </c>
      <c r="F1092" s="2">
        <v>1793.494710764262</v>
      </c>
      <c r="G1092" s="2">
        <v>1739.6898694413342</v>
      </c>
      <c r="H1092" s="2">
        <v>1687.4991733580941</v>
      </c>
      <c r="I1092" s="2">
        <v>1636.8741981573512</v>
      </c>
      <c r="J1092" s="2">
        <v>1587.7679722126306</v>
      </c>
      <c r="K1092" s="2">
        <v>1540.1349330462517</v>
      </c>
      <c r="L1092" s="2">
        <v>1493.9308850548641</v>
      </c>
      <c r="M1092" s="2">
        <v>1449.1129585032181</v>
      </c>
      <c r="N1092" s="2">
        <v>1405.6395697481216</v>
      </c>
      <c r="O1092" s="2">
        <v>1363.4703826556779</v>
      </c>
    </row>
    <row r="1093" spans="1:15" x14ac:dyDescent="0.25">
      <c r="A1093" t="s">
        <v>3326</v>
      </c>
      <c r="B1093" t="s">
        <v>3327</v>
      </c>
      <c r="C1093" s="2">
        <v>1962.9642560000004</v>
      </c>
      <c r="D1093" s="2">
        <v>1904.0753283200004</v>
      </c>
      <c r="E1093" s="2">
        <v>1846.9530684704002</v>
      </c>
      <c r="F1093" s="2">
        <v>1791.5444764162883</v>
      </c>
      <c r="G1093" s="2">
        <v>1737.7981421237996</v>
      </c>
      <c r="H1093" s="2">
        <v>1685.6641978600856</v>
      </c>
      <c r="I1093" s="2">
        <v>1635.094271924283</v>
      </c>
      <c r="J1093" s="2">
        <v>1586.0414437665545</v>
      </c>
      <c r="K1093" s="2">
        <v>1538.4602004535577</v>
      </c>
      <c r="L1093" s="2">
        <v>1492.306394439951</v>
      </c>
      <c r="M1093" s="2">
        <v>1447.5372026067523</v>
      </c>
      <c r="N1093" s="2">
        <v>1404.1110865285498</v>
      </c>
      <c r="O1093" s="2">
        <v>1361.9877539326933</v>
      </c>
    </row>
    <row r="1094" spans="1:15" x14ac:dyDescent="0.25">
      <c r="A1094" t="s">
        <v>3328</v>
      </c>
      <c r="B1094" t="s">
        <v>3329</v>
      </c>
      <c r="C1094" s="2">
        <v>1961.8955840000003</v>
      </c>
      <c r="D1094" s="2">
        <v>1903.0387164800002</v>
      </c>
      <c r="E1094" s="2">
        <v>1845.9475549856002</v>
      </c>
      <c r="F1094" s="2">
        <v>1790.569128336032</v>
      </c>
      <c r="G1094" s="2">
        <v>1736.8520544859509</v>
      </c>
      <c r="H1094" s="2">
        <v>1684.7464928513723</v>
      </c>
      <c r="I1094" s="2">
        <v>1634.204098065831</v>
      </c>
      <c r="J1094" s="2">
        <v>1585.177975123856</v>
      </c>
      <c r="K1094" s="2">
        <v>1537.6226358701401</v>
      </c>
      <c r="L1094" s="2">
        <v>1491.493956794036</v>
      </c>
      <c r="M1094" s="2">
        <v>1446.749138090215</v>
      </c>
      <c r="N1094" s="2">
        <v>1403.3466639475084</v>
      </c>
      <c r="O1094" s="2">
        <v>1361.2462640290832</v>
      </c>
    </row>
    <row r="1095" spans="1:15" x14ac:dyDescent="0.25">
      <c r="A1095" t="s">
        <v>3330</v>
      </c>
      <c r="B1095" t="s">
        <v>3331</v>
      </c>
      <c r="C1095" s="2">
        <v>1960.9888320000005</v>
      </c>
      <c r="D1095" s="2">
        <v>1902.1591670400003</v>
      </c>
      <c r="E1095" s="2">
        <v>1845.0943920288003</v>
      </c>
      <c r="F1095" s="2">
        <v>1789.7415602679362</v>
      </c>
      <c r="G1095" s="2">
        <v>1736.049313459898</v>
      </c>
      <c r="H1095" s="2">
        <v>1683.9678340561011</v>
      </c>
      <c r="I1095" s="2">
        <v>1633.448799034418</v>
      </c>
      <c r="J1095" s="2">
        <v>1584.4453350633855</v>
      </c>
      <c r="K1095" s="2">
        <v>1536.9119750114839</v>
      </c>
      <c r="L1095" s="2">
        <v>1490.8046157611393</v>
      </c>
      <c r="M1095" s="2">
        <v>1446.080477288305</v>
      </c>
      <c r="N1095" s="2">
        <v>1402.6980629696559</v>
      </c>
      <c r="O1095" s="2">
        <v>1360.6171210805662</v>
      </c>
    </row>
    <row r="1096" spans="1:15" x14ac:dyDescent="0.25">
      <c r="A1096" t="s">
        <v>3332</v>
      </c>
      <c r="B1096" t="s">
        <v>3331</v>
      </c>
      <c r="C1096" s="2">
        <v>1960.9888320000005</v>
      </c>
      <c r="D1096" s="2">
        <v>1902.1591670400003</v>
      </c>
      <c r="E1096" s="2">
        <v>1845.0943920288003</v>
      </c>
      <c r="F1096" s="2">
        <v>1789.7415602679362</v>
      </c>
      <c r="G1096" s="2">
        <v>1736.049313459898</v>
      </c>
      <c r="H1096" s="2">
        <v>1683.9678340561011</v>
      </c>
      <c r="I1096" s="2">
        <v>1633.448799034418</v>
      </c>
      <c r="J1096" s="2">
        <v>1584.4453350633855</v>
      </c>
      <c r="K1096" s="2">
        <v>1536.9119750114839</v>
      </c>
      <c r="L1096" s="2">
        <v>1490.8046157611393</v>
      </c>
      <c r="M1096" s="2">
        <v>1446.080477288305</v>
      </c>
      <c r="N1096" s="2">
        <v>1402.6980629696559</v>
      </c>
      <c r="O1096" s="2">
        <v>1360.6171210805662</v>
      </c>
    </row>
    <row r="1097" spans="1:15" x14ac:dyDescent="0.25">
      <c r="A1097" t="s">
        <v>3333</v>
      </c>
      <c r="B1097" t="s">
        <v>3331</v>
      </c>
      <c r="C1097" s="2">
        <v>1960.9888320000005</v>
      </c>
      <c r="D1097" s="2">
        <v>1902.1591670400003</v>
      </c>
      <c r="E1097" s="2">
        <v>1845.0943920288003</v>
      </c>
      <c r="F1097" s="2">
        <v>1789.7415602679362</v>
      </c>
      <c r="G1097" s="2">
        <v>1736.049313459898</v>
      </c>
      <c r="H1097" s="2">
        <v>1683.9678340561011</v>
      </c>
      <c r="I1097" s="2">
        <v>1633.448799034418</v>
      </c>
      <c r="J1097" s="2">
        <v>1584.4453350633855</v>
      </c>
      <c r="K1097" s="2">
        <v>1536.9119750114839</v>
      </c>
      <c r="L1097" s="2">
        <v>1490.8046157611393</v>
      </c>
      <c r="M1097" s="2">
        <v>1446.080477288305</v>
      </c>
      <c r="N1097" s="2">
        <v>1402.6980629696559</v>
      </c>
      <c r="O1097" s="2">
        <v>1360.6171210805662</v>
      </c>
    </row>
    <row r="1098" spans="1:15" x14ac:dyDescent="0.25">
      <c r="A1098" t="s">
        <v>3334</v>
      </c>
      <c r="B1098" t="s">
        <v>3335</v>
      </c>
      <c r="C1098" s="2">
        <v>1959.1313060000004</v>
      </c>
      <c r="D1098" s="2">
        <v>1900.3573668200004</v>
      </c>
      <c r="E1098" s="2">
        <v>1843.3466458154003</v>
      </c>
      <c r="F1098" s="2">
        <v>1788.0462464409381</v>
      </c>
      <c r="G1098" s="2">
        <v>1734.40485904771</v>
      </c>
      <c r="H1098" s="2">
        <v>1682.3727132762788</v>
      </c>
      <c r="I1098" s="2">
        <v>1631.9015318779905</v>
      </c>
      <c r="J1098" s="2">
        <v>1582.9444859216508</v>
      </c>
      <c r="K1098" s="2">
        <v>1535.4561513440012</v>
      </c>
      <c r="L1098" s="2">
        <v>1489.3924668036811</v>
      </c>
      <c r="M1098" s="2">
        <v>1444.7106927995708</v>
      </c>
      <c r="N1098" s="2">
        <v>1401.3693720155836</v>
      </c>
      <c r="O1098" s="2">
        <v>1359.3282908551162</v>
      </c>
    </row>
    <row r="1099" spans="1:15" x14ac:dyDescent="0.25">
      <c r="A1099" t="s">
        <v>3336</v>
      </c>
      <c r="B1099" t="s">
        <v>3335</v>
      </c>
      <c r="C1099" s="2">
        <v>1959.1313060000004</v>
      </c>
      <c r="D1099" s="2">
        <v>1900.3573668200004</v>
      </c>
      <c r="E1099" s="2">
        <v>1843.3466458154003</v>
      </c>
      <c r="F1099" s="2">
        <v>1788.0462464409381</v>
      </c>
      <c r="G1099" s="2">
        <v>1734.40485904771</v>
      </c>
      <c r="H1099" s="2">
        <v>1682.3727132762788</v>
      </c>
      <c r="I1099" s="2">
        <v>1631.9015318779905</v>
      </c>
      <c r="J1099" s="2">
        <v>1582.9444859216508</v>
      </c>
      <c r="K1099" s="2">
        <v>1535.4561513440012</v>
      </c>
      <c r="L1099" s="2">
        <v>1489.3924668036811</v>
      </c>
      <c r="M1099" s="2">
        <v>1444.7106927995708</v>
      </c>
      <c r="N1099" s="2">
        <v>1401.3693720155836</v>
      </c>
      <c r="O1099" s="2">
        <v>1359.3282908551162</v>
      </c>
    </row>
    <row r="1100" spans="1:15" x14ac:dyDescent="0.25">
      <c r="A1100" t="s">
        <v>3337</v>
      </c>
      <c r="B1100" t="s">
        <v>3335</v>
      </c>
      <c r="C1100" s="2">
        <v>1959.1313060000004</v>
      </c>
      <c r="D1100" s="2">
        <v>1900.3573668200004</v>
      </c>
      <c r="E1100" s="2">
        <v>1843.3466458154003</v>
      </c>
      <c r="F1100" s="2">
        <v>1788.0462464409381</v>
      </c>
      <c r="G1100" s="2">
        <v>1734.40485904771</v>
      </c>
      <c r="H1100" s="2">
        <v>1682.3727132762788</v>
      </c>
      <c r="I1100" s="2">
        <v>1631.9015318779905</v>
      </c>
      <c r="J1100" s="2">
        <v>1582.9444859216508</v>
      </c>
      <c r="K1100" s="2">
        <v>1535.4561513440012</v>
      </c>
      <c r="L1100" s="2">
        <v>1489.3924668036811</v>
      </c>
      <c r="M1100" s="2">
        <v>1444.7106927995708</v>
      </c>
      <c r="N1100" s="2">
        <v>1401.3693720155836</v>
      </c>
      <c r="O1100" s="2">
        <v>1359.3282908551162</v>
      </c>
    </row>
    <row r="1101" spans="1:15" x14ac:dyDescent="0.25">
      <c r="A1101" t="s">
        <v>3338</v>
      </c>
      <c r="B1101" t="s">
        <v>3335</v>
      </c>
      <c r="C1101" s="2">
        <v>1959.1313060000004</v>
      </c>
      <c r="D1101" s="2">
        <v>1900.3573668200004</v>
      </c>
      <c r="E1101" s="2">
        <v>1843.3466458154003</v>
      </c>
      <c r="F1101" s="2">
        <v>1788.0462464409381</v>
      </c>
      <c r="G1101" s="2">
        <v>1734.40485904771</v>
      </c>
      <c r="H1101" s="2">
        <v>1682.3727132762788</v>
      </c>
      <c r="I1101" s="2">
        <v>1631.9015318779905</v>
      </c>
      <c r="J1101" s="2">
        <v>1582.9444859216508</v>
      </c>
      <c r="K1101" s="2">
        <v>1535.4561513440012</v>
      </c>
      <c r="L1101" s="2">
        <v>1489.3924668036811</v>
      </c>
      <c r="M1101" s="2">
        <v>1444.7106927995708</v>
      </c>
      <c r="N1101" s="2">
        <v>1401.3693720155836</v>
      </c>
      <c r="O1101" s="2">
        <v>1359.3282908551162</v>
      </c>
    </row>
    <row r="1102" spans="1:15" x14ac:dyDescent="0.25">
      <c r="A1102" t="s">
        <v>3339</v>
      </c>
      <c r="B1102" t="s">
        <v>3335</v>
      </c>
      <c r="C1102" s="2">
        <v>1959.1313060000004</v>
      </c>
      <c r="D1102" s="2">
        <v>1900.3573668200004</v>
      </c>
      <c r="E1102" s="2">
        <v>1843.3466458154003</v>
      </c>
      <c r="F1102" s="2">
        <v>1788.0462464409381</v>
      </c>
      <c r="G1102" s="2">
        <v>1734.40485904771</v>
      </c>
      <c r="H1102" s="2">
        <v>1682.3727132762788</v>
      </c>
      <c r="I1102" s="2">
        <v>1631.9015318779905</v>
      </c>
      <c r="J1102" s="2">
        <v>1582.9444859216508</v>
      </c>
      <c r="K1102" s="2">
        <v>1535.4561513440012</v>
      </c>
      <c r="L1102" s="2">
        <v>1489.3924668036811</v>
      </c>
      <c r="M1102" s="2">
        <v>1444.7106927995708</v>
      </c>
      <c r="N1102" s="2">
        <v>1401.3693720155836</v>
      </c>
      <c r="O1102" s="2">
        <v>1359.3282908551162</v>
      </c>
    </row>
    <row r="1103" spans="1:15" x14ac:dyDescent="0.25">
      <c r="A1103" t="s">
        <v>3340</v>
      </c>
      <c r="B1103" t="s">
        <v>3341</v>
      </c>
      <c r="C1103" s="2">
        <v>1954.5525120000002</v>
      </c>
      <c r="D1103" s="2">
        <v>1895.9159366400002</v>
      </c>
      <c r="E1103" s="2">
        <v>1839.0384585408001</v>
      </c>
      <c r="F1103" s="2">
        <v>1783.8673047845759</v>
      </c>
      <c r="G1103" s="2">
        <v>1730.3512856410387</v>
      </c>
      <c r="H1103" s="2">
        <v>1678.4407470718074</v>
      </c>
      <c r="I1103" s="2">
        <v>1628.0875246596531</v>
      </c>
      <c r="J1103" s="2">
        <v>1579.2448989198635</v>
      </c>
      <c r="K1103" s="2">
        <v>1531.8675519522676</v>
      </c>
      <c r="L1103" s="2">
        <v>1485.9115253936995</v>
      </c>
      <c r="M1103" s="2">
        <v>1441.3341796318884</v>
      </c>
      <c r="N1103" s="2">
        <v>1398.0941542429318</v>
      </c>
      <c r="O1103" s="2">
        <v>1356.1513296156438</v>
      </c>
    </row>
    <row r="1104" spans="1:15" x14ac:dyDescent="0.25">
      <c r="A1104" t="s">
        <v>3342</v>
      </c>
      <c r="B1104" t="s">
        <v>3343</v>
      </c>
      <c r="C1104" s="2">
        <v>1954.4948279999999</v>
      </c>
      <c r="D1104" s="2">
        <v>1895.8599831599997</v>
      </c>
      <c r="E1104" s="2">
        <v>1838.9841836651997</v>
      </c>
      <c r="F1104" s="2">
        <v>1783.8146581552437</v>
      </c>
      <c r="G1104" s="2">
        <v>1730.3002184105862</v>
      </c>
      <c r="H1104" s="2">
        <v>1678.3912118582687</v>
      </c>
      <c r="I1104" s="2">
        <v>1628.0394755025206</v>
      </c>
      <c r="J1104" s="2">
        <v>1579.1982912374449</v>
      </c>
      <c r="K1104" s="2">
        <v>1531.8223425003216</v>
      </c>
      <c r="L1104" s="2">
        <v>1485.8676722253119</v>
      </c>
      <c r="M1104" s="2">
        <v>1441.2916420585525</v>
      </c>
      <c r="N1104" s="2">
        <v>1398.052892796796</v>
      </c>
      <c r="O1104" s="2">
        <v>1356.1113060128921</v>
      </c>
    </row>
    <row r="1105" spans="1:15" x14ac:dyDescent="0.25">
      <c r="A1105" t="s">
        <v>3344</v>
      </c>
      <c r="B1105" t="s">
        <v>3345</v>
      </c>
      <c r="C1105" s="2">
        <v>1954.172</v>
      </c>
      <c r="D1105" s="2">
        <v>1895.54684</v>
      </c>
      <c r="E1105" s="2">
        <v>1838.6804347999998</v>
      </c>
      <c r="F1105" s="2">
        <v>1783.5200217559998</v>
      </c>
      <c r="G1105" s="2">
        <v>1730.0144211033198</v>
      </c>
      <c r="H1105" s="2">
        <v>1678.1139884702202</v>
      </c>
      <c r="I1105" s="2">
        <v>1627.7705688161136</v>
      </c>
      <c r="J1105" s="2">
        <v>1578.9374517516301</v>
      </c>
      <c r="K1105" s="2">
        <v>1531.5693281990812</v>
      </c>
      <c r="L1105" s="2">
        <v>1485.6222483531087</v>
      </c>
      <c r="M1105" s="2">
        <v>1441.0535809025155</v>
      </c>
      <c r="N1105" s="2">
        <v>1397.82197347544</v>
      </c>
      <c r="O1105" s="2">
        <v>1355.8873142711768</v>
      </c>
    </row>
    <row r="1106" spans="1:15" x14ac:dyDescent="0.25">
      <c r="A1106" t="s">
        <v>3346</v>
      </c>
      <c r="B1106" t="s">
        <v>3347</v>
      </c>
      <c r="C1106" s="2">
        <v>1950.828352</v>
      </c>
      <c r="D1106" s="2">
        <v>1892.30350144</v>
      </c>
      <c r="E1106" s="2">
        <v>1835.5343963968</v>
      </c>
      <c r="F1106" s="2">
        <v>1780.468364504896</v>
      </c>
      <c r="G1106" s="2">
        <v>1727.0543135697492</v>
      </c>
      <c r="H1106" s="2">
        <v>1675.2426841626566</v>
      </c>
      <c r="I1106" s="2">
        <v>1624.9854036377769</v>
      </c>
      <c r="J1106" s="2">
        <v>1576.2358415286435</v>
      </c>
      <c r="K1106" s="2">
        <v>1528.9487662827842</v>
      </c>
      <c r="L1106" s="2">
        <v>1483.0803032943006</v>
      </c>
      <c r="M1106" s="2">
        <v>1438.5878941954716</v>
      </c>
      <c r="N1106" s="2">
        <v>1395.4302573696075</v>
      </c>
      <c r="O1106" s="2">
        <v>1353.5673496485192</v>
      </c>
    </row>
    <row r="1107" spans="1:15" x14ac:dyDescent="0.25">
      <c r="A1107" t="s">
        <v>3348</v>
      </c>
      <c r="B1107" t="s">
        <v>3349</v>
      </c>
      <c r="C1107" s="2">
        <v>1939.6219700000001</v>
      </c>
      <c r="D1107" s="2">
        <v>1881.4333109000002</v>
      </c>
      <c r="E1107" s="2">
        <v>1824.9903115730001</v>
      </c>
      <c r="F1107" s="2">
        <v>1770.2406022258101</v>
      </c>
      <c r="G1107" s="2">
        <v>1717.1333841590358</v>
      </c>
      <c r="H1107" s="2">
        <v>1665.6193826342646</v>
      </c>
      <c r="I1107" s="2">
        <v>1615.6508011552366</v>
      </c>
      <c r="J1107" s="2">
        <v>1567.1812771205796</v>
      </c>
      <c r="K1107" s="2">
        <v>1520.1658388069623</v>
      </c>
      <c r="L1107" s="2">
        <v>1474.5608636427532</v>
      </c>
      <c r="M1107" s="2">
        <v>1430.3240377334705</v>
      </c>
      <c r="N1107" s="2">
        <v>1387.4143166014665</v>
      </c>
      <c r="O1107" s="2">
        <v>1345.7918871034224</v>
      </c>
    </row>
    <row r="1108" spans="1:15" x14ac:dyDescent="0.25">
      <c r="A1108" t="s">
        <v>3350</v>
      </c>
      <c r="B1108" t="s">
        <v>3351</v>
      </c>
      <c r="C1108" s="2">
        <v>1938.6681600000002</v>
      </c>
      <c r="D1108" s="2">
        <v>1880.5081152</v>
      </c>
      <c r="E1108" s="2">
        <v>1824.0928717439999</v>
      </c>
      <c r="F1108" s="2">
        <v>1769.37008559168</v>
      </c>
      <c r="G1108" s="2">
        <v>1716.2889830239296</v>
      </c>
      <c r="H1108" s="2">
        <v>1664.8003135332117</v>
      </c>
      <c r="I1108" s="2">
        <v>1614.8563041272153</v>
      </c>
      <c r="J1108" s="2">
        <v>1566.4106150033988</v>
      </c>
      <c r="K1108" s="2">
        <v>1519.4182965532968</v>
      </c>
      <c r="L1108" s="2">
        <v>1473.835747656698</v>
      </c>
      <c r="M1108" s="2">
        <v>1429.620675226997</v>
      </c>
      <c r="N1108" s="2">
        <v>1386.7320549701872</v>
      </c>
      <c r="O1108" s="2">
        <v>1345.1300933210814</v>
      </c>
    </row>
    <row r="1109" spans="1:15" x14ac:dyDescent="0.25">
      <c r="A1109" t="s">
        <v>3352</v>
      </c>
      <c r="B1109" t="s">
        <v>3353</v>
      </c>
      <c r="C1109" s="2">
        <v>1932.490912</v>
      </c>
      <c r="D1109" s="2">
        <v>1874.5161846399999</v>
      </c>
      <c r="E1109" s="2">
        <v>1818.2806991007999</v>
      </c>
      <c r="F1109" s="2">
        <v>1763.7322781277758</v>
      </c>
      <c r="G1109" s="2">
        <v>1710.8203097839425</v>
      </c>
      <c r="H1109" s="2">
        <v>1659.4957004904243</v>
      </c>
      <c r="I1109" s="2">
        <v>1609.7108294757115</v>
      </c>
      <c r="J1109" s="2">
        <v>1561.41950459144</v>
      </c>
      <c r="K1109" s="2">
        <v>1514.5769194536967</v>
      </c>
      <c r="L1109" s="2">
        <v>1469.1396118700859</v>
      </c>
      <c r="M1109" s="2">
        <v>1425.0654235139832</v>
      </c>
      <c r="N1109" s="2">
        <v>1382.3134608085636</v>
      </c>
      <c r="O1109" s="2">
        <v>1340.8440569843067</v>
      </c>
    </row>
    <row r="1110" spans="1:15" x14ac:dyDescent="0.25">
      <c r="A1110" t="s">
        <v>3354</v>
      </c>
      <c r="B1110" t="s">
        <v>3355</v>
      </c>
      <c r="C1110" s="2">
        <v>1930.8960000000002</v>
      </c>
      <c r="D1110" s="2">
        <v>1872.9691200000002</v>
      </c>
      <c r="E1110" s="2">
        <v>1816.7800464000002</v>
      </c>
      <c r="F1110" s="2">
        <v>1762.2766450080001</v>
      </c>
      <c r="G1110" s="2">
        <v>1709.40834565776</v>
      </c>
      <c r="H1110" s="2">
        <v>1658.1260952880273</v>
      </c>
      <c r="I1110" s="2">
        <v>1608.3823124293865</v>
      </c>
      <c r="J1110" s="2">
        <v>1560.1308430565048</v>
      </c>
      <c r="K1110" s="2">
        <v>1513.3269177648097</v>
      </c>
      <c r="L1110" s="2">
        <v>1467.9271102318653</v>
      </c>
      <c r="M1110" s="2">
        <v>1423.8892969249093</v>
      </c>
      <c r="N1110" s="2">
        <v>1381.172618017162</v>
      </c>
      <c r="O1110" s="2">
        <v>1339.7374394766471</v>
      </c>
    </row>
    <row r="1111" spans="1:15" x14ac:dyDescent="0.25">
      <c r="A1111" t="s">
        <v>3356</v>
      </c>
      <c r="B1111" t="s">
        <v>3357</v>
      </c>
      <c r="C1111" s="2">
        <v>1929.7544640000006</v>
      </c>
      <c r="D1111" s="2">
        <v>1871.8618300800006</v>
      </c>
      <c r="E1111" s="2">
        <v>1815.7059751776005</v>
      </c>
      <c r="F1111" s="2">
        <v>1761.2347959222725</v>
      </c>
      <c r="G1111" s="2">
        <v>1708.3977520446042</v>
      </c>
      <c r="H1111" s="2">
        <v>1657.145819483266</v>
      </c>
      <c r="I1111" s="2">
        <v>1607.4314448987679</v>
      </c>
      <c r="J1111" s="2">
        <v>1559.2085015518048</v>
      </c>
      <c r="K1111" s="2">
        <v>1512.4322465052505</v>
      </c>
      <c r="L1111" s="2">
        <v>1467.059279110093</v>
      </c>
      <c r="M1111" s="2">
        <v>1423.0475007367902</v>
      </c>
      <c r="N1111" s="2">
        <v>1380.3560757146865</v>
      </c>
      <c r="O1111" s="2">
        <v>1338.9453934432458</v>
      </c>
    </row>
    <row r="1112" spans="1:15" x14ac:dyDescent="0.25">
      <c r="A1112" t="s">
        <v>3358</v>
      </c>
      <c r="B1112" t="s">
        <v>3359</v>
      </c>
      <c r="C1112" s="2">
        <v>1927.0908800000004</v>
      </c>
      <c r="D1112" s="2">
        <v>1869.2781536000005</v>
      </c>
      <c r="E1112" s="2">
        <v>1813.1998089920005</v>
      </c>
      <c r="F1112" s="2">
        <v>1758.8038147222405</v>
      </c>
      <c r="G1112" s="2">
        <v>1706.0397002805732</v>
      </c>
      <c r="H1112" s="2">
        <v>1654.858509272156</v>
      </c>
      <c r="I1112" s="2">
        <v>1605.2127539939913</v>
      </c>
      <c r="J1112" s="2">
        <v>1557.0563713741715</v>
      </c>
      <c r="K1112" s="2">
        <v>1510.3446802329463</v>
      </c>
      <c r="L1112" s="2">
        <v>1465.0343398259579</v>
      </c>
      <c r="M1112" s="2">
        <v>1421.0833096311792</v>
      </c>
      <c r="N1112" s="2">
        <v>1378.4508103422438</v>
      </c>
      <c r="O1112" s="2">
        <v>1337.0972860319764</v>
      </c>
    </row>
    <row r="1113" spans="1:15" x14ac:dyDescent="0.25">
      <c r="A1113" t="s">
        <v>3360</v>
      </c>
      <c r="B1113" t="s">
        <v>3361</v>
      </c>
      <c r="C1113" s="2">
        <v>1925.282436</v>
      </c>
      <c r="D1113" s="2">
        <v>1867.5239629199998</v>
      </c>
      <c r="E1113" s="2">
        <v>1811.4982440323997</v>
      </c>
      <c r="F1113" s="2">
        <v>1757.1532967114276</v>
      </c>
      <c r="G1113" s="2">
        <v>1704.4386978100847</v>
      </c>
      <c r="H1113" s="2">
        <v>1653.3055368757821</v>
      </c>
      <c r="I1113" s="2">
        <v>1603.7063707695086</v>
      </c>
      <c r="J1113" s="2">
        <v>1555.5951796464233</v>
      </c>
      <c r="K1113" s="2">
        <v>1508.9273242570305</v>
      </c>
      <c r="L1113" s="2">
        <v>1463.6595045293195</v>
      </c>
      <c r="M1113" s="2">
        <v>1419.7497193934398</v>
      </c>
      <c r="N1113" s="2">
        <v>1377.1572278116366</v>
      </c>
      <c r="O1113" s="2">
        <v>1335.8425109772875</v>
      </c>
    </row>
    <row r="1114" spans="1:15" x14ac:dyDescent="0.25">
      <c r="A1114" t="s">
        <v>3362</v>
      </c>
      <c r="B1114" t="s">
        <v>3363</v>
      </c>
      <c r="C1114" s="2">
        <v>1925.2566300000003</v>
      </c>
      <c r="D1114" s="2">
        <v>1867.4989311000002</v>
      </c>
      <c r="E1114" s="2">
        <v>1811.4739631670002</v>
      </c>
      <c r="F1114" s="2">
        <v>1757.1297442719901</v>
      </c>
      <c r="G1114" s="2">
        <v>1704.4158519438304</v>
      </c>
      <c r="H1114" s="2">
        <v>1653.2833763855153</v>
      </c>
      <c r="I1114" s="2">
        <v>1603.6848750939498</v>
      </c>
      <c r="J1114" s="2">
        <v>1555.5743288411313</v>
      </c>
      <c r="K1114" s="2">
        <v>1508.9070989758973</v>
      </c>
      <c r="L1114" s="2">
        <v>1463.6398860066204</v>
      </c>
      <c r="M1114" s="2">
        <v>1419.7306894264218</v>
      </c>
      <c r="N1114" s="2">
        <v>1377.138768743629</v>
      </c>
      <c r="O1114" s="2">
        <v>1335.8246056813202</v>
      </c>
    </row>
    <row r="1115" spans="1:15" x14ac:dyDescent="0.25">
      <c r="A1115" t="s">
        <v>3364</v>
      </c>
      <c r="B1115" t="s">
        <v>3365</v>
      </c>
      <c r="C1115" s="2">
        <v>1922.968498</v>
      </c>
      <c r="D1115" s="2">
        <v>1865.2794430599999</v>
      </c>
      <c r="E1115" s="2">
        <v>1809.3210597681998</v>
      </c>
      <c r="F1115" s="2">
        <v>1755.0414279751537</v>
      </c>
      <c r="G1115" s="2">
        <v>1702.3901851358992</v>
      </c>
      <c r="H1115" s="2">
        <v>1651.3184795818222</v>
      </c>
      <c r="I1115" s="2">
        <v>1601.7789251943675</v>
      </c>
      <c r="J1115" s="2">
        <v>1553.7255574385365</v>
      </c>
      <c r="K1115" s="2">
        <v>1507.1137907153804</v>
      </c>
      <c r="L1115" s="2">
        <v>1461.9003769939191</v>
      </c>
      <c r="M1115" s="2">
        <v>1418.0433656841014</v>
      </c>
      <c r="N1115" s="2">
        <v>1375.5020647135784</v>
      </c>
      <c r="O1115" s="2">
        <v>1334.2370027721711</v>
      </c>
    </row>
    <row r="1116" spans="1:15" x14ac:dyDescent="0.25">
      <c r="A1116" t="s">
        <v>3366</v>
      </c>
      <c r="B1116" t="s">
        <v>3367</v>
      </c>
      <c r="C1116" s="2">
        <v>1920.2983360000003</v>
      </c>
      <c r="D1116" s="2">
        <v>1862.6893859200002</v>
      </c>
      <c r="E1116" s="2">
        <v>1806.8087043424002</v>
      </c>
      <c r="F1116" s="2">
        <v>1752.6044432121282</v>
      </c>
      <c r="G1116" s="2">
        <v>1700.0263099157644</v>
      </c>
      <c r="H1116" s="2">
        <v>1649.0255206182915</v>
      </c>
      <c r="I1116" s="2">
        <v>1599.5547549997427</v>
      </c>
      <c r="J1116" s="2">
        <v>1551.5681123497504</v>
      </c>
      <c r="K1116" s="2">
        <v>1505.021068979258</v>
      </c>
      <c r="L1116" s="2">
        <v>1459.8704369098803</v>
      </c>
      <c r="M1116" s="2">
        <v>1416.0743238025839</v>
      </c>
      <c r="N1116" s="2">
        <v>1373.5920940885064</v>
      </c>
      <c r="O1116" s="2">
        <v>1332.3843312658512</v>
      </c>
    </row>
    <row r="1117" spans="1:15" x14ac:dyDescent="0.25">
      <c r="A1117" t="s">
        <v>3368</v>
      </c>
      <c r="B1117" t="s">
        <v>3369</v>
      </c>
      <c r="C1117" s="2">
        <v>1920.0473600000003</v>
      </c>
      <c r="D1117" s="2">
        <v>1862.4459392000001</v>
      </c>
      <c r="E1117" s="2">
        <v>1806.5725610240002</v>
      </c>
      <c r="F1117" s="2">
        <v>1752.3753841932801</v>
      </c>
      <c r="G1117" s="2">
        <v>1699.8041226674816</v>
      </c>
      <c r="H1117" s="2">
        <v>1648.809998987457</v>
      </c>
      <c r="I1117" s="2">
        <v>1599.3456990178333</v>
      </c>
      <c r="J1117" s="2">
        <v>1551.3653280472984</v>
      </c>
      <c r="K1117" s="2">
        <v>1504.8243682058794</v>
      </c>
      <c r="L1117" s="2">
        <v>1459.6796371597029</v>
      </c>
      <c r="M1117" s="2">
        <v>1415.8892480449117</v>
      </c>
      <c r="N1117" s="2">
        <v>1373.4125706035643</v>
      </c>
      <c r="O1117" s="2">
        <v>1332.2101934854572</v>
      </c>
    </row>
    <row r="1118" spans="1:15" x14ac:dyDescent="0.25">
      <c r="A1118" t="s">
        <v>3370</v>
      </c>
      <c r="B1118" t="s">
        <v>3371</v>
      </c>
      <c r="C1118" s="2">
        <v>1917.77289</v>
      </c>
      <c r="D1118" s="2">
        <v>1860.2397033</v>
      </c>
      <c r="E1118" s="2">
        <v>1804.432512201</v>
      </c>
      <c r="F1118" s="2">
        <v>1750.29953683497</v>
      </c>
      <c r="G1118" s="2">
        <v>1697.7905507299208</v>
      </c>
      <c r="H1118" s="2">
        <v>1646.8568342080232</v>
      </c>
      <c r="I1118" s="2">
        <v>1597.4511291817826</v>
      </c>
      <c r="J1118" s="2">
        <v>1549.527595306329</v>
      </c>
      <c r="K1118" s="2">
        <v>1503.0417674471391</v>
      </c>
      <c r="L1118" s="2">
        <v>1457.9505144237248</v>
      </c>
      <c r="M1118" s="2">
        <v>1414.2119989910129</v>
      </c>
      <c r="N1118" s="2">
        <v>1371.7856390212826</v>
      </c>
      <c r="O1118" s="2">
        <v>1330.632069850644</v>
      </c>
    </row>
    <row r="1119" spans="1:15" x14ac:dyDescent="0.25">
      <c r="A1119" t="s">
        <v>3372</v>
      </c>
      <c r="B1119" t="s">
        <v>3373</v>
      </c>
      <c r="C1119" s="2">
        <v>1916.3070080000005</v>
      </c>
      <c r="D1119" s="2">
        <v>1858.8177977600003</v>
      </c>
      <c r="E1119" s="2">
        <v>1803.0532638272002</v>
      </c>
      <c r="F1119" s="2">
        <v>1748.9616659123842</v>
      </c>
      <c r="G1119" s="2">
        <v>1696.4928159350127</v>
      </c>
      <c r="H1119" s="2">
        <v>1645.5980314569622</v>
      </c>
      <c r="I1119" s="2">
        <v>1596.2300905132533</v>
      </c>
      <c r="J1119" s="2">
        <v>1548.3431877978558</v>
      </c>
      <c r="K1119" s="2">
        <v>1501.8928921639201</v>
      </c>
      <c r="L1119" s="2">
        <v>1456.8361053990025</v>
      </c>
      <c r="M1119" s="2">
        <v>1413.1310222370323</v>
      </c>
      <c r="N1119" s="2">
        <v>1370.7370915699214</v>
      </c>
      <c r="O1119" s="2">
        <v>1329.6149788228238</v>
      </c>
    </row>
    <row r="1120" spans="1:15" x14ac:dyDescent="0.25">
      <c r="A1120" t="s">
        <v>3374</v>
      </c>
      <c r="B1120" t="s">
        <v>3375</v>
      </c>
      <c r="C1120" s="2">
        <v>1916.1208000000004</v>
      </c>
      <c r="D1120" s="2">
        <v>1858.6371760000004</v>
      </c>
      <c r="E1120" s="2">
        <v>1802.8780607200003</v>
      </c>
      <c r="F1120" s="2">
        <v>1748.7917188984002</v>
      </c>
      <c r="G1120" s="2">
        <v>1696.3279673314482</v>
      </c>
      <c r="H1120" s="2">
        <v>1645.4381283115047</v>
      </c>
      <c r="I1120" s="2">
        <v>1596.0749844621596</v>
      </c>
      <c r="J1120" s="2">
        <v>1548.1927349282948</v>
      </c>
      <c r="K1120" s="2">
        <v>1501.7469528804459</v>
      </c>
      <c r="L1120" s="2">
        <v>1456.6945442940325</v>
      </c>
      <c r="M1120" s="2">
        <v>1412.9937079652116</v>
      </c>
      <c r="N1120" s="2">
        <v>1370.6038967262552</v>
      </c>
      <c r="O1120" s="2">
        <v>1329.4857798244675</v>
      </c>
    </row>
    <row r="1121" spans="1:15" x14ac:dyDescent="0.25">
      <c r="A1121" t="s">
        <v>3376</v>
      </c>
      <c r="B1121" t="s">
        <v>3377</v>
      </c>
      <c r="C1121" s="2">
        <v>1916.0479360000002</v>
      </c>
      <c r="D1121" s="2">
        <v>1858.5664979200001</v>
      </c>
      <c r="E1121" s="2">
        <v>1802.8095029824001</v>
      </c>
      <c r="F1121" s="2">
        <v>1748.725217892928</v>
      </c>
      <c r="G1121" s="2">
        <v>1696.2634613561402</v>
      </c>
      <c r="H1121" s="2">
        <v>1645.375557515456</v>
      </c>
      <c r="I1121" s="2">
        <v>1596.0142907899922</v>
      </c>
      <c r="J1121" s="2">
        <v>1548.1338620662923</v>
      </c>
      <c r="K1121" s="2">
        <v>1501.6898462043034</v>
      </c>
      <c r="L1121" s="2">
        <v>1456.6391508181744</v>
      </c>
      <c r="M1121" s="2">
        <v>1412.9399762936291</v>
      </c>
      <c r="N1121" s="2">
        <v>1370.5517770048202</v>
      </c>
      <c r="O1121" s="2">
        <v>1329.4352236946756</v>
      </c>
    </row>
    <row r="1122" spans="1:15" x14ac:dyDescent="0.25">
      <c r="A1122" t="s">
        <v>3378</v>
      </c>
      <c r="B1122" t="s">
        <v>3379</v>
      </c>
      <c r="C1122" s="2">
        <v>1910.7855360000001</v>
      </c>
      <c r="D1122" s="2">
        <v>1853.46196992</v>
      </c>
      <c r="E1122" s="2">
        <v>1797.8581108224</v>
      </c>
      <c r="F1122" s="2">
        <v>1743.9223674977279</v>
      </c>
      <c r="G1122" s="2">
        <v>1691.6046964727959</v>
      </c>
      <c r="H1122" s="2">
        <v>1640.856555578612</v>
      </c>
      <c r="I1122" s="2">
        <v>1591.6308589112537</v>
      </c>
      <c r="J1122" s="2">
        <v>1543.8819331439161</v>
      </c>
      <c r="K1122" s="2">
        <v>1497.5654751495986</v>
      </c>
      <c r="L1122" s="2">
        <v>1452.6385108951106</v>
      </c>
      <c r="M1122" s="2">
        <v>1409.0593555682572</v>
      </c>
      <c r="N1122" s="2">
        <v>1366.7875749012094</v>
      </c>
      <c r="O1122" s="2">
        <v>1325.7839476541731</v>
      </c>
    </row>
    <row r="1123" spans="1:15" x14ac:dyDescent="0.25">
      <c r="A1123" t="s">
        <v>3380</v>
      </c>
      <c r="B1123" t="s">
        <v>3379</v>
      </c>
      <c r="C1123" s="2">
        <v>1910.7855360000001</v>
      </c>
      <c r="D1123" s="2">
        <v>1853.46196992</v>
      </c>
      <c r="E1123" s="2">
        <v>1797.8581108224</v>
      </c>
      <c r="F1123" s="2">
        <v>1743.9223674977279</v>
      </c>
      <c r="G1123" s="2">
        <v>1691.6046964727959</v>
      </c>
      <c r="H1123" s="2">
        <v>1640.856555578612</v>
      </c>
      <c r="I1123" s="2">
        <v>1591.6308589112537</v>
      </c>
      <c r="J1123" s="2">
        <v>1543.8819331439161</v>
      </c>
      <c r="K1123" s="2">
        <v>1497.5654751495986</v>
      </c>
      <c r="L1123" s="2">
        <v>1452.6385108951106</v>
      </c>
      <c r="M1123" s="2">
        <v>1409.0593555682572</v>
      </c>
      <c r="N1123" s="2">
        <v>1366.7875749012094</v>
      </c>
      <c r="O1123" s="2">
        <v>1325.7839476541731</v>
      </c>
    </row>
    <row r="1124" spans="1:15" x14ac:dyDescent="0.25">
      <c r="A1124" t="s">
        <v>3381</v>
      </c>
      <c r="B1124" t="s">
        <v>3382</v>
      </c>
      <c r="C1124" s="2">
        <v>1910.2977520000006</v>
      </c>
      <c r="D1124" s="2">
        <v>1852.9888194400005</v>
      </c>
      <c r="E1124" s="2">
        <v>1797.3991548568004</v>
      </c>
      <c r="F1124" s="2">
        <v>1743.4771802110963</v>
      </c>
      <c r="G1124" s="2">
        <v>1691.1728648047633</v>
      </c>
      <c r="H1124" s="2">
        <v>1640.4376788606203</v>
      </c>
      <c r="I1124" s="2">
        <v>1591.2245484948016</v>
      </c>
      <c r="J1124" s="2">
        <v>1543.4878120399576</v>
      </c>
      <c r="K1124" s="2">
        <v>1497.1831776787587</v>
      </c>
      <c r="L1124" s="2">
        <v>1452.267682348396</v>
      </c>
      <c r="M1124" s="2">
        <v>1408.699651877944</v>
      </c>
      <c r="N1124" s="2">
        <v>1366.4386623216058</v>
      </c>
      <c r="O1124" s="2">
        <v>1325.4455024519575</v>
      </c>
    </row>
    <row r="1125" spans="1:15" x14ac:dyDescent="0.25">
      <c r="A1125" t="s">
        <v>3383</v>
      </c>
      <c r="B1125" t="s">
        <v>3384</v>
      </c>
      <c r="C1125" s="2">
        <v>1910.0730880000006</v>
      </c>
      <c r="D1125" s="2">
        <v>1852.7708953600004</v>
      </c>
      <c r="E1125" s="2">
        <v>1797.1877684992003</v>
      </c>
      <c r="F1125" s="2">
        <v>1743.2721354442242</v>
      </c>
      <c r="G1125" s="2">
        <v>1690.9739713808974</v>
      </c>
      <c r="H1125" s="2">
        <v>1640.2447522394705</v>
      </c>
      <c r="I1125" s="2">
        <v>1591.0374096722862</v>
      </c>
      <c r="J1125" s="2">
        <v>1543.3062873821175</v>
      </c>
      <c r="K1125" s="2">
        <v>1497.0070987606539</v>
      </c>
      <c r="L1125" s="2">
        <v>1452.0968857978341</v>
      </c>
      <c r="M1125" s="2">
        <v>1408.533979223899</v>
      </c>
      <c r="N1125" s="2">
        <v>1366.277959847182</v>
      </c>
      <c r="O1125" s="2">
        <v>1325.2896210517665</v>
      </c>
    </row>
    <row r="1126" spans="1:15" x14ac:dyDescent="0.25">
      <c r="A1126" t="s">
        <v>3385</v>
      </c>
      <c r="B1126" t="s">
        <v>3386</v>
      </c>
      <c r="C1126" s="2">
        <v>1903.7824960000007</v>
      </c>
      <c r="D1126" s="2">
        <v>1846.6690211200007</v>
      </c>
      <c r="E1126" s="2">
        <v>1791.2689504864006</v>
      </c>
      <c r="F1126" s="2">
        <v>1737.5308819718086</v>
      </c>
      <c r="G1126" s="2">
        <v>1685.4049555126544</v>
      </c>
      <c r="H1126" s="2">
        <v>1634.8428068472747</v>
      </c>
      <c r="I1126" s="2">
        <v>1585.7975226418564</v>
      </c>
      <c r="J1126" s="2">
        <v>1538.2235969626006</v>
      </c>
      <c r="K1126" s="2">
        <v>1492.0768890537224</v>
      </c>
      <c r="L1126" s="2">
        <v>1447.3145823821108</v>
      </c>
      <c r="M1126" s="2">
        <v>1403.8951449106473</v>
      </c>
      <c r="N1126" s="2">
        <v>1361.7782905633278</v>
      </c>
      <c r="O1126" s="2">
        <v>1320.9249418464278</v>
      </c>
    </row>
    <row r="1127" spans="1:15" x14ac:dyDescent="0.25">
      <c r="A1127" t="s">
        <v>3387</v>
      </c>
      <c r="B1127" t="s">
        <v>3388</v>
      </c>
      <c r="C1127" s="2">
        <v>1903.1752960000003</v>
      </c>
      <c r="D1127" s="2">
        <v>1846.0800371200003</v>
      </c>
      <c r="E1127" s="2">
        <v>1790.6976360064002</v>
      </c>
      <c r="F1127" s="2">
        <v>1736.9767069262082</v>
      </c>
      <c r="G1127" s="2">
        <v>1684.8674057184219</v>
      </c>
      <c r="H1127" s="2">
        <v>1634.3213835468691</v>
      </c>
      <c r="I1127" s="2">
        <v>1585.2917420404631</v>
      </c>
      <c r="J1127" s="2">
        <v>1537.7329897792492</v>
      </c>
      <c r="K1127" s="2">
        <v>1491.6010000858716</v>
      </c>
      <c r="L1127" s="2">
        <v>1446.8529700832955</v>
      </c>
      <c r="M1127" s="2">
        <v>1403.4473809807967</v>
      </c>
      <c r="N1127" s="2">
        <v>1361.3439595513728</v>
      </c>
      <c r="O1127" s="2">
        <v>1320.5036407648315</v>
      </c>
    </row>
    <row r="1128" spans="1:15" x14ac:dyDescent="0.25">
      <c r="A1128" t="s">
        <v>3389</v>
      </c>
      <c r="B1128" t="s">
        <v>3390</v>
      </c>
      <c r="C1128" s="2">
        <v>1901.3860800000004</v>
      </c>
      <c r="D1128" s="2">
        <v>1844.3444976000003</v>
      </c>
      <c r="E1128" s="2">
        <v>1789.0141626720003</v>
      </c>
      <c r="F1128" s="2">
        <v>1735.3437377918403</v>
      </c>
      <c r="G1128" s="2">
        <v>1683.283425658085</v>
      </c>
      <c r="H1128" s="2">
        <v>1632.7849228883424</v>
      </c>
      <c r="I1128" s="2">
        <v>1583.8013752016921</v>
      </c>
      <c r="J1128" s="2">
        <v>1536.2873339456412</v>
      </c>
      <c r="K1128" s="2">
        <v>1490.1987139272719</v>
      </c>
      <c r="L1128" s="2">
        <v>1445.4927525094538</v>
      </c>
      <c r="M1128" s="2">
        <v>1402.1279699341701</v>
      </c>
      <c r="N1128" s="2">
        <v>1360.0641308361451</v>
      </c>
      <c r="O1128" s="2">
        <v>1319.2622069110607</v>
      </c>
    </row>
    <row r="1129" spans="1:15" x14ac:dyDescent="0.25">
      <c r="A1129" t="s">
        <v>3391</v>
      </c>
      <c r="B1129" t="s">
        <v>3392</v>
      </c>
      <c r="C1129" s="2">
        <v>1900.4955200000004</v>
      </c>
      <c r="D1129" s="2">
        <v>1843.4806544000003</v>
      </c>
      <c r="E1129" s="2">
        <v>1788.1762347680003</v>
      </c>
      <c r="F1129" s="2">
        <v>1734.5309477249602</v>
      </c>
      <c r="G1129" s="2">
        <v>1682.4950192932115</v>
      </c>
      <c r="H1129" s="2">
        <v>1632.0201687144151</v>
      </c>
      <c r="I1129" s="2">
        <v>1583.0595636529827</v>
      </c>
      <c r="J1129" s="2">
        <v>1535.5677767433931</v>
      </c>
      <c r="K1129" s="2">
        <v>1489.5007434410913</v>
      </c>
      <c r="L1129" s="2">
        <v>1444.8157211378586</v>
      </c>
      <c r="M1129" s="2">
        <v>1401.4712495037229</v>
      </c>
      <c r="N1129" s="2">
        <v>1359.4271120186111</v>
      </c>
      <c r="O1129" s="2">
        <v>1318.6442986580528</v>
      </c>
    </row>
    <row r="1130" spans="1:15" x14ac:dyDescent="0.25">
      <c r="A1130" t="s">
        <v>3393</v>
      </c>
      <c r="B1130" t="s">
        <v>3394</v>
      </c>
      <c r="C1130" s="2">
        <v>1898.8570920000002</v>
      </c>
      <c r="D1130" s="2">
        <v>1841.8913792400001</v>
      </c>
      <c r="E1130" s="2">
        <v>1786.6346378628</v>
      </c>
      <c r="F1130" s="2">
        <v>1733.0355987269159</v>
      </c>
      <c r="G1130" s="2">
        <v>1681.0445307651082</v>
      </c>
      <c r="H1130" s="2">
        <v>1630.6131948421548</v>
      </c>
      <c r="I1130" s="2">
        <v>1581.6947989968901</v>
      </c>
      <c r="J1130" s="2">
        <v>1534.2439550269833</v>
      </c>
      <c r="K1130" s="2">
        <v>1488.2166363761737</v>
      </c>
      <c r="L1130" s="2">
        <v>1443.5701372848885</v>
      </c>
      <c r="M1130" s="2">
        <v>1400.2630331663418</v>
      </c>
      <c r="N1130" s="2">
        <v>1358.2551421713515</v>
      </c>
      <c r="O1130" s="2">
        <v>1317.5074879062108</v>
      </c>
    </row>
    <row r="1131" spans="1:15" x14ac:dyDescent="0.25">
      <c r="A1131" t="s">
        <v>3395</v>
      </c>
      <c r="B1131" t="s">
        <v>3396</v>
      </c>
      <c r="C1131" s="2">
        <v>1898.3500800000004</v>
      </c>
      <c r="D1131" s="2">
        <v>1841.3995776000004</v>
      </c>
      <c r="E1131" s="2">
        <v>1786.1575902720003</v>
      </c>
      <c r="F1131" s="2">
        <v>1732.5728625638403</v>
      </c>
      <c r="G1131" s="2">
        <v>1680.5956766869251</v>
      </c>
      <c r="H1131" s="2">
        <v>1630.1778063863173</v>
      </c>
      <c r="I1131" s="2">
        <v>1581.2724721947277</v>
      </c>
      <c r="J1131" s="2">
        <v>1533.8342980288858</v>
      </c>
      <c r="K1131" s="2">
        <v>1487.8192690880192</v>
      </c>
      <c r="L1131" s="2">
        <v>1443.1846910153786</v>
      </c>
      <c r="M1131" s="2">
        <v>1399.8891502849172</v>
      </c>
      <c r="N1131" s="2">
        <v>1357.8924757763696</v>
      </c>
      <c r="O1131" s="2">
        <v>1317.1557015030785</v>
      </c>
    </row>
    <row r="1132" spans="1:15" x14ac:dyDescent="0.25">
      <c r="A1132" t="s">
        <v>3397</v>
      </c>
      <c r="B1132" t="s">
        <v>3398</v>
      </c>
      <c r="C1132" s="2">
        <v>1897.8400320000005</v>
      </c>
      <c r="D1132" s="2">
        <v>1840.9048310400005</v>
      </c>
      <c r="E1132" s="2">
        <v>1785.6776861088006</v>
      </c>
      <c r="F1132" s="2">
        <v>1732.1073555255366</v>
      </c>
      <c r="G1132" s="2">
        <v>1680.1441348597705</v>
      </c>
      <c r="H1132" s="2">
        <v>1629.7398108139773</v>
      </c>
      <c r="I1132" s="2">
        <v>1580.847616489558</v>
      </c>
      <c r="J1132" s="2">
        <v>1533.4221879948714</v>
      </c>
      <c r="K1132" s="2">
        <v>1487.4195223550253</v>
      </c>
      <c r="L1132" s="2">
        <v>1442.7969366843745</v>
      </c>
      <c r="M1132" s="2">
        <v>1399.5130285838432</v>
      </c>
      <c r="N1132" s="2">
        <v>1357.5276377263278</v>
      </c>
      <c r="O1132" s="2">
        <v>1316.801808594538</v>
      </c>
    </row>
    <row r="1133" spans="1:15" x14ac:dyDescent="0.25">
      <c r="A1133" t="s">
        <v>3399</v>
      </c>
      <c r="B1133" t="s">
        <v>3400</v>
      </c>
      <c r="C1133" s="2">
        <v>1895.1602560000003</v>
      </c>
      <c r="D1133" s="2">
        <v>1838.3054483200003</v>
      </c>
      <c r="E1133" s="2">
        <v>1783.1562848704002</v>
      </c>
      <c r="F1133" s="2">
        <v>1729.6615963242882</v>
      </c>
      <c r="G1133" s="2">
        <v>1677.7717484345594</v>
      </c>
      <c r="H1133" s="2">
        <v>1627.4385959815227</v>
      </c>
      <c r="I1133" s="2">
        <v>1578.615438102077</v>
      </c>
      <c r="J1133" s="2">
        <v>1531.2569749590145</v>
      </c>
      <c r="K1133" s="2">
        <v>1485.3192657102441</v>
      </c>
      <c r="L1133" s="2">
        <v>1440.7596877389367</v>
      </c>
      <c r="M1133" s="2">
        <v>1397.5368971067685</v>
      </c>
      <c r="N1133" s="2">
        <v>1355.6107901935654</v>
      </c>
      <c r="O1133" s="2">
        <v>1314.9424664877583</v>
      </c>
    </row>
    <row r="1134" spans="1:15" x14ac:dyDescent="0.25">
      <c r="A1134" t="s">
        <v>3401</v>
      </c>
      <c r="B1134" t="s">
        <v>3400</v>
      </c>
      <c r="C1134" s="2">
        <v>1895.1602560000003</v>
      </c>
      <c r="D1134" s="2">
        <v>1838.3054483200003</v>
      </c>
      <c r="E1134" s="2">
        <v>1783.1562848704002</v>
      </c>
      <c r="F1134" s="2">
        <v>1729.6615963242882</v>
      </c>
      <c r="G1134" s="2">
        <v>1677.7717484345594</v>
      </c>
      <c r="H1134" s="2">
        <v>1627.4385959815227</v>
      </c>
      <c r="I1134" s="2">
        <v>1578.615438102077</v>
      </c>
      <c r="J1134" s="2">
        <v>1531.2569749590145</v>
      </c>
      <c r="K1134" s="2">
        <v>1485.3192657102441</v>
      </c>
      <c r="L1134" s="2">
        <v>1440.7596877389367</v>
      </c>
      <c r="M1134" s="2">
        <v>1397.5368971067685</v>
      </c>
      <c r="N1134" s="2">
        <v>1355.6107901935654</v>
      </c>
      <c r="O1134" s="2">
        <v>1314.9424664877583</v>
      </c>
    </row>
    <row r="1135" spans="1:15" x14ac:dyDescent="0.25">
      <c r="A1135" t="s">
        <v>3402</v>
      </c>
      <c r="B1135" t="s">
        <v>3400</v>
      </c>
      <c r="C1135" s="2">
        <v>1895.1602560000003</v>
      </c>
      <c r="D1135" s="2">
        <v>1838.3054483200003</v>
      </c>
      <c r="E1135" s="2">
        <v>1783.1562848704002</v>
      </c>
      <c r="F1135" s="2">
        <v>1729.6615963242882</v>
      </c>
      <c r="G1135" s="2">
        <v>1677.7717484345594</v>
      </c>
      <c r="H1135" s="2">
        <v>1627.4385959815227</v>
      </c>
      <c r="I1135" s="2">
        <v>1578.615438102077</v>
      </c>
      <c r="J1135" s="2">
        <v>1531.2569749590145</v>
      </c>
      <c r="K1135" s="2">
        <v>1485.3192657102441</v>
      </c>
      <c r="L1135" s="2">
        <v>1440.7596877389367</v>
      </c>
      <c r="M1135" s="2">
        <v>1397.5368971067685</v>
      </c>
      <c r="N1135" s="2">
        <v>1355.6107901935654</v>
      </c>
      <c r="O1135" s="2">
        <v>1314.9424664877583</v>
      </c>
    </row>
    <row r="1136" spans="1:15" x14ac:dyDescent="0.25">
      <c r="A1136" t="s">
        <v>1098</v>
      </c>
      <c r="B1136" t="s">
        <v>3403</v>
      </c>
      <c r="C1136" s="2">
        <v>1894.9001720000001</v>
      </c>
      <c r="D1136" s="2">
        <v>1838.0531668400001</v>
      </c>
      <c r="E1136" s="2">
        <v>1782.9115718348</v>
      </c>
      <c r="F1136" s="2">
        <v>1729.424224679756</v>
      </c>
      <c r="G1136" s="2">
        <v>1677.5414979393634</v>
      </c>
      <c r="H1136" s="2">
        <v>1627.2152530011824</v>
      </c>
      <c r="I1136" s="2">
        <v>1578.3987954111469</v>
      </c>
      <c r="J1136" s="2">
        <v>1531.0468315488124</v>
      </c>
      <c r="K1136" s="2">
        <v>1485.115426602348</v>
      </c>
      <c r="L1136" s="2">
        <v>1440.5619638042774</v>
      </c>
      <c r="M1136" s="2">
        <v>1397.3451048901491</v>
      </c>
      <c r="N1136" s="2">
        <v>1355.4247517434446</v>
      </c>
      <c r="O1136" s="2">
        <v>1314.7620091911413</v>
      </c>
    </row>
    <row r="1137" spans="1:15" x14ac:dyDescent="0.25">
      <c r="A1137" t="s">
        <v>3404</v>
      </c>
      <c r="B1137" t="s">
        <v>3405</v>
      </c>
      <c r="C1137" s="2">
        <v>1892.3023680000003</v>
      </c>
      <c r="D1137" s="2">
        <v>1835.5332969600004</v>
      </c>
      <c r="E1137" s="2">
        <v>1780.4672980512003</v>
      </c>
      <c r="F1137" s="2">
        <v>1727.0532791096641</v>
      </c>
      <c r="G1137" s="2">
        <v>1675.2416807363741</v>
      </c>
      <c r="H1137" s="2">
        <v>1624.9844303142827</v>
      </c>
      <c r="I1137" s="2">
        <v>1576.2348974048541</v>
      </c>
      <c r="J1137" s="2">
        <v>1528.9478504827084</v>
      </c>
      <c r="K1137" s="2">
        <v>1483.0794149682272</v>
      </c>
      <c r="L1137" s="2">
        <v>1438.5870325191804</v>
      </c>
      <c r="M1137" s="2">
        <v>1395.429421543605</v>
      </c>
      <c r="N1137" s="2">
        <v>1353.5665388972968</v>
      </c>
      <c r="O1137" s="2">
        <v>1312.959542730378</v>
      </c>
    </row>
    <row r="1138" spans="1:15" x14ac:dyDescent="0.25">
      <c r="A1138" t="s">
        <v>3406</v>
      </c>
      <c r="B1138" t="s">
        <v>3407</v>
      </c>
      <c r="C1138" s="2">
        <v>1885.6636480000002</v>
      </c>
      <c r="D1138" s="2">
        <v>1829.0937385600002</v>
      </c>
      <c r="E1138" s="2">
        <v>1774.2209264032001</v>
      </c>
      <c r="F1138" s="2">
        <v>1720.9942986111041</v>
      </c>
      <c r="G1138" s="2">
        <v>1669.364469652771</v>
      </c>
      <c r="H1138" s="2">
        <v>1619.2835355631878</v>
      </c>
      <c r="I1138" s="2">
        <v>1570.7050294962921</v>
      </c>
      <c r="J1138" s="2">
        <v>1523.5838786114034</v>
      </c>
      <c r="K1138" s="2">
        <v>1477.8763622530612</v>
      </c>
      <c r="L1138" s="2">
        <v>1433.5400713854692</v>
      </c>
      <c r="M1138" s="2">
        <v>1390.5338692439052</v>
      </c>
      <c r="N1138" s="2">
        <v>1348.8178531665881</v>
      </c>
      <c r="O1138" s="2">
        <v>1308.3533175715904</v>
      </c>
    </row>
    <row r="1139" spans="1:15" x14ac:dyDescent="0.25">
      <c r="A1139" t="s">
        <v>3408</v>
      </c>
      <c r="B1139" t="s">
        <v>3409</v>
      </c>
      <c r="C1139" s="2">
        <v>1880.1745600000002</v>
      </c>
      <c r="D1139" s="2">
        <v>1823.7693232000001</v>
      </c>
      <c r="E1139" s="2">
        <v>1769.0562435040001</v>
      </c>
      <c r="F1139" s="2">
        <v>1715.98455619888</v>
      </c>
      <c r="G1139" s="2">
        <v>1664.5050195129136</v>
      </c>
      <c r="H1139" s="2">
        <v>1614.5698689275262</v>
      </c>
      <c r="I1139" s="2">
        <v>1566.1327728597003</v>
      </c>
      <c r="J1139" s="2">
        <v>1519.1487896739093</v>
      </c>
      <c r="K1139" s="2">
        <v>1473.574325983692</v>
      </c>
      <c r="L1139" s="2">
        <v>1429.3670962041813</v>
      </c>
      <c r="M1139" s="2">
        <v>1386.4860833180558</v>
      </c>
      <c r="N1139" s="2">
        <v>1344.891500818514</v>
      </c>
      <c r="O1139" s="2">
        <v>1304.5447557939585</v>
      </c>
    </row>
    <row r="1140" spans="1:15" x14ac:dyDescent="0.25">
      <c r="A1140" t="s">
        <v>3410</v>
      </c>
      <c r="B1140" t="s">
        <v>3411</v>
      </c>
      <c r="C1140" s="2">
        <v>1877.4295100000002</v>
      </c>
      <c r="D1140" s="2">
        <v>1821.1066247000001</v>
      </c>
      <c r="E1140" s="2">
        <v>1766.473425959</v>
      </c>
      <c r="F1140" s="2">
        <v>1713.4792231802298</v>
      </c>
      <c r="G1140" s="2">
        <v>1662.074846484823</v>
      </c>
      <c r="H1140" s="2">
        <v>1612.2126010902782</v>
      </c>
      <c r="I1140" s="2">
        <v>1563.8462230575699</v>
      </c>
      <c r="J1140" s="2">
        <v>1516.9308363658427</v>
      </c>
      <c r="K1140" s="2">
        <v>1471.4229112748674</v>
      </c>
      <c r="L1140" s="2">
        <v>1427.2802239366213</v>
      </c>
      <c r="M1140" s="2">
        <v>1384.4618172185226</v>
      </c>
      <c r="N1140" s="2">
        <v>1342.9279627019669</v>
      </c>
      <c r="O1140" s="2">
        <v>1302.6401238209078</v>
      </c>
    </row>
    <row r="1141" spans="1:15" x14ac:dyDescent="0.25">
      <c r="A1141" t="s">
        <v>3412</v>
      </c>
      <c r="B1141" t="s">
        <v>3413</v>
      </c>
      <c r="C1141" s="2">
        <v>1874.7886960000003</v>
      </c>
      <c r="D1141" s="2">
        <v>1818.5450351200002</v>
      </c>
      <c r="E1141" s="2">
        <v>1763.9886840664001</v>
      </c>
      <c r="F1141" s="2">
        <v>1711.0690235444081</v>
      </c>
      <c r="G1141" s="2">
        <v>1659.7369528380757</v>
      </c>
      <c r="H1141" s="2">
        <v>1609.9448442529333</v>
      </c>
      <c r="I1141" s="2">
        <v>1561.6464989253452</v>
      </c>
      <c r="J1141" s="2">
        <v>1514.7971039575848</v>
      </c>
      <c r="K1141" s="2">
        <v>1469.3531908388572</v>
      </c>
      <c r="L1141" s="2">
        <v>1425.2725951136915</v>
      </c>
      <c r="M1141" s="2">
        <v>1382.5144172602807</v>
      </c>
      <c r="N1141" s="2">
        <v>1341.0389847424722</v>
      </c>
      <c r="O1141" s="2">
        <v>1300.8078152001979</v>
      </c>
    </row>
    <row r="1142" spans="1:15" x14ac:dyDescent="0.25">
      <c r="A1142" t="s">
        <v>3414</v>
      </c>
      <c r="B1142" t="s">
        <v>3415</v>
      </c>
      <c r="C1142" s="2">
        <v>1869.6659520000005</v>
      </c>
      <c r="D1142" s="2">
        <v>1813.5759734400006</v>
      </c>
      <c r="E1142" s="2">
        <v>1759.1686942368005</v>
      </c>
      <c r="F1142" s="2">
        <v>1706.3936334096966</v>
      </c>
      <c r="G1142" s="2">
        <v>1655.2018244074056</v>
      </c>
      <c r="H1142" s="2">
        <v>1605.5457696751835</v>
      </c>
      <c r="I1142" s="2">
        <v>1557.3793965849279</v>
      </c>
      <c r="J1142" s="2">
        <v>1510.65801468738</v>
      </c>
      <c r="K1142" s="2">
        <v>1465.3382742467586</v>
      </c>
      <c r="L1142" s="2">
        <v>1421.3781260193557</v>
      </c>
      <c r="M1142" s="2">
        <v>1378.736782238775</v>
      </c>
      <c r="N1142" s="2">
        <v>1337.3746787716118</v>
      </c>
      <c r="O1142" s="2">
        <v>1297.2534384084634</v>
      </c>
    </row>
    <row r="1143" spans="1:15" x14ac:dyDescent="0.25">
      <c r="A1143" t="s">
        <v>3416</v>
      </c>
      <c r="B1143" t="s">
        <v>3417</v>
      </c>
      <c r="C1143" s="2">
        <v>1866.4680320000004</v>
      </c>
      <c r="D1143" s="2">
        <v>1810.4739910400003</v>
      </c>
      <c r="E1143" s="2">
        <v>1756.1597713088004</v>
      </c>
      <c r="F1143" s="2">
        <v>1703.4749781695364</v>
      </c>
      <c r="G1143" s="2">
        <v>1652.3707288244502</v>
      </c>
      <c r="H1143" s="2">
        <v>1602.7996069597166</v>
      </c>
      <c r="I1143" s="2">
        <v>1554.7156187509249</v>
      </c>
      <c r="J1143" s="2">
        <v>1508.0741501883972</v>
      </c>
      <c r="K1143" s="2">
        <v>1462.8319256827454</v>
      </c>
      <c r="L1143" s="2">
        <v>1418.9469679122631</v>
      </c>
      <c r="M1143" s="2">
        <v>1376.3785588748951</v>
      </c>
      <c r="N1143" s="2">
        <v>1335.0872021086482</v>
      </c>
      <c r="O1143" s="2">
        <v>1295.0345860453888</v>
      </c>
    </row>
    <row r="1144" spans="1:15" x14ac:dyDescent="0.25">
      <c r="A1144" t="s">
        <v>3418</v>
      </c>
      <c r="B1144" t="s">
        <v>3419</v>
      </c>
      <c r="C1144" s="2">
        <v>1864.2092480000003</v>
      </c>
      <c r="D1144" s="2">
        <v>1808.2829705600002</v>
      </c>
      <c r="E1144" s="2">
        <v>1754.0344814432001</v>
      </c>
      <c r="F1144" s="2">
        <v>1701.413446999904</v>
      </c>
      <c r="G1144" s="2">
        <v>1650.3710435899068</v>
      </c>
      <c r="H1144" s="2">
        <v>1600.8599122822095</v>
      </c>
      <c r="I1144" s="2">
        <v>1552.8341149137432</v>
      </c>
      <c r="J1144" s="2">
        <v>1506.2490914663308</v>
      </c>
      <c r="K1144" s="2">
        <v>1461.0616187223409</v>
      </c>
      <c r="L1144" s="2">
        <v>1417.2297701606706</v>
      </c>
      <c r="M1144" s="2">
        <v>1374.7128770558504</v>
      </c>
      <c r="N1144" s="2">
        <v>1333.4714907441748</v>
      </c>
      <c r="O1144" s="2">
        <v>1293.4673460218496</v>
      </c>
    </row>
    <row r="1145" spans="1:15" x14ac:dyDescent="0.25">
      <c r="A1145" t="s">
        <v>3420</v>
      </c>
      <c r="B1145" t="s">
        <v>3421</v>
      </c>
      <c r="C1145" s="2">
        <v>1863.8611200000003</v>
      </c>
      <c r="D1145" s="2">
        <v>1807.9452864000002</v>
      </c>
      <c r="E1145" s="2">
        <v>1753.706927808</v>
      </c>
      <c r="F1145" s="2">
        <v>1701.09571997376</v>
      </c>
      <c r="G1145" s="2">
        <v>1650.0628483745472</v>
      </c>
      <c r="H1145" s="2">
        <v>1600.5609629233109</v>
      </c>
      <c r="I1145" s="2">
        <v>1552.5441340356115</v>
      </c>
      <c r="J1145" s="2">
        <v>1505.9678100145431</v>
      </c>
      <c r="K1145" s="2">
        <v>1460.7887757141068</v>
      </c>
      <c r="L1145" s="2">
        <v>1416.9651124426834</v>
      </c>
      <c r="M1145" s="2">
        <v>1374.4561590694029</v>
      </c>
      <c r="N1145" s="2">
        <v>1333.2224742973208</v>
      </c>
      <c r="O1145" s="2">
        <v>1293.2258000684012</v>
      </c>
    </row>
    <row r="1146" spans="1:15" x14ac:dyDescent="0.25">
      <c r="A1146" t="s">
        <v>3422</v>
      </c>
      <c r="B1146" t="s">
        <v>3423</v>
      </c>
      <c r="C1146" s="2">
        <v>1858.5582400000005</v>
      </c>
      <c r="D1146" s="2">
        <v>1802.8014928000005</v>
      </c>
      <c r="E1146" s="2">
        <v>1748.7174480160004</v>
      </c>
      <c r="F1146" s="2">
        <v>1696.2559245755203</v>
      </c>
      <c r="G1146" s="2">
        <v>1645.3682468382547</v>
      </c>
      <c r="H1146" s="2">
        <v>1596.007199433107</v>
      </c>
      <c r="I1146" s="2">
        <v>1548.1269834501138</v>
      </c>
      <c r="J1146" s="2">
        <v>1501.6831739466104</v>
      </c>
      <c r="K1146" s="2">
        <v>1456.6326787282121</v>
      </c>
      <c r="L1146" s="2">
        <v>1412.9336983663657</v>
      </c>
      <c r="M1146" s="2">
        <v>1370.5456874153747</v>
      </c>
      <c r="N1146" s="2">
        <v>1329.4293167929134</v>
      </c>
      <c r="O1146" s="2">
        <v>1289.5464372891258</v>
      </c>
    </row>
    <row r="1147" spans="1:15" x14ac:dyDescent="0.25">
      <c r="A1147" t="s">
        <v>3424</v>
      </c>
      <c r="B1147" t="s">
        <v>3425</v>
      </c>
      <c r="C1147" s="2">
        <v>1858.444896</v>
      </c>
      <c r="D1147" s="2">
        <v>1802.69154912</v>
      </c>
      <c r="E1147" s="2">
        <v>1748.6108026463999</v>
      </c>
      <c r="F1147" s="2">
        <v>1696.1524785670078</v>
      </c>
      <c r="G1147" s="2">
        <v>1645.2679042099976</v>
      </c>
      <c r="H1147" s="2">
        <v>1595.9098670836977</v>
      </c>
      <c r="I1147" s="2">
        <v>1548.0325710711868</v>
      </c>
      <c r="J1147" s="2">
        <v>1501.5915939390511</v>
      </c>
      <c r="K1147" s="2">
        <v>1456.5438461208796</v>
      </c>
      <c r="L1147" s="2">
        <v>1412.8475307372532</v>
      </c>
      <c r="M1147" s="2">
        <v>1370.4621048151355</v>
      </c>
      <c r="N1147" s="2">
        <v>1329.3482416706813</v>
      </c>
      <c r="O1147" s="2">
        <v>1289.4677944205609</v>
      </c>
    </row>
    <row r="1148" spans="1:15" x14ac:dyDescent="0.25">
      <c r="A1148" t="s">
        <v>3426</v>
      </c>
      <c r="B1148" t="s">
        <v>3425</v>
      </c>
      <c r="C1148" s="2">
        <v>1858.444896</v>
      </c>
      <c r="D1148" s="2">
        <v>1802.69154912</v>
      </c>
      <c r="E1148" s="2">
        <v>1748.6108026463999</v>
      </c>
      <c r="F1148" s="2">
        <v>1696.1524785670078</v>
      </c>
      <c r="G1148" s="2">
        <v>1645.2679042099976</v>
      </c>
      <c r="H1148" s="2">
        <v>1595.9098670836977</v>
      </c>
      <c r="I1148" s="2">
        <v>1548.0325710711868</v>
      </c>
      <c r="J1148" s="2">
        <v>1501.5915939390511</v>
      </c>
      <c r="K1148" s="2">
        <v>1456.5438461208796</v>
      </c>
      <c r="L1148" s="2">
        <v>1412.8475307372532</v>
      </c>
      <c r="M1148" s="2">
        <v>1370.4621048151355</v>
      </c>
      <c r="N1148" s="2">
        <v>1329.3482416706813</v>
      </c>
      <c r="O1148" s="2">
        <v>1289.4677944205609</v>
      </c>
    </row>
    <row r="1149" spans="1:15" x14ac:dyDescent="0.25">
      <c r="A1149" t="s">
        <v>3427</v>
      </c>
      <c r="B1149" t="s">
        <v>3428</v>
      </c>
      <c r="C1149" s="2">
        <v>1850.7617920000002</v>
      </c>
      <c r="D1149" s="2">
        <v>1795.2389382400002</v>
      </c>
      <c r="E1149" s="2">
        <v>1741.3817700928</v>
      </c>
      <c r="F1149" s="2">
        <v>1689.1403169900159</v>
      </c>
      <c r="G1149" s="2">
        <v>1638.4661074803153</v>
      </c>
      <c r="H1149" s="2">
        <v>1589.3121242559057</v>
      </c>
      <c r="I1149" s="2">
        <v>1541.6327605282286</v>
      </c>
      <c r="J1149" s="2">
        <v>1495.3837777123817</v>
      </c>
      <c r="K1149" s="2">
        <v>1450.5222643810102</v>
      </c>
      <c r="L1149" s="2">
        <v>1407.00659644958</v>
      </c>
      <c r="M1149" s="2">
        <v>1364.7963985560925</v>
      </c>
      <c r="N1149" s="2">
        <v>1323.8525065994097</v>
      </c>
      <c r="O1149" s="2">
        <v>1284.1369314014273</v>
      </c>
    </row>
    <row r="1150" spans="1:15" x14ac:dyDescent="0.25">
      <c r="A1150" t="s">
        <v>3429</v>
      </c>
      <c r="B1150" t="s">
        <v>3430</v>
      </c>
      <c r="C1150" s="2">
        <v>1849.8084880000001</v>
      </c>
      <c r="D1150" s="2">
        <v>1794.3142333600001</v>
      </c>
      <c r="E1150" s="2">
        <v>1740.4848063592001</v>
      </c>
      <c r="F1150" s="2">
        <v>1688.2702621684241</v>
      </c>
      <c r="G1150" s="2">
        <v>1637.6221543033714</v>
      </c>
      <c r="H1150" s="2">
        <v>1588.4934896742702</v>
      </c>
      <c r="I1150" s="2">
        <v>1540.8386849840422</v>
      </c>
      <c r="J1150" s="2">
        <v>1494.613524434521</v>
      </c>
      <c r="K1150" s="2">
        <v>1449.7751187014853</v>
      </c>
      <c r="L1150" s="2">
        <v>1406.2818651404407</v>
      </c>
      <c r="M1150" s="2">
        <v>1364.0934091862275</v>
      </c>
      <c r="N1150" s="2">
        <v>1323.1706069106406</v>
      </c>
      <c r="O1150" s="2">
        <v>1283.4754887033214</v>
      </c>
    </row>
    <row r="1151" spans="1:15" x14ac:dyDescent="0.25">
      <c r="A1151" t="s">
        <v>3431</v>
      </c>
      <c r="B1151" t="s">
        <v>3432</v>
      </c>
      <c r="C1151" s="2">
        <v>1848.4301440000002</v>
      </c>
      <c r="D1151" s="2">
        <v>1792.9772396800001</v>
      </c>
      <c r="E1151" s="2">
        <v>1739.1879224896002</v>
      </c>
      <c r="F1151" s="2">
        <v>1687.0122848149122</v>
      </c>
      <c r="G1151" s="2">
        <v>1636.4019162704647</v>
      </c>
      <c r="H1151" s="2">
        <v>1587.3098587823506</v>
      </c>
      <c r="I1151" s="2">
        <v>1539.6905630188801</v>
      </c>
      <c r="J1151" s="2">
        <v>1493.4998461283137</v>
      </c>
      <c r="K1151" s="2">
        <v>1448.6948507444642</v>
      </c>
      <c r="L1151" s="2">
        <v>1405.2340052221302</v>
      </c>
      <c r="M1151" s="2">
        <v>1363.0769850654663</v>
      </c>
      <c r="N1151" s="2">
        <v>1322.1846755135023</v>
      </c>
      <c r="O1151" s="2">
        <v>1282.5191352480972</v>
      </c>
    </row>
    <row r="1152" spans="1:15" x14ac:dyDescent="0.25">
      <c r="A1152" t="s">
        <v>3433</v>
      </c>
      <c r="B1152" t="s">
        <v>3434</v>
      </c>
      <c r="C1152" s="2">
        <v>1843.6373120000001</v>
      </c>
      <c r="D1152" s="2">
        <v>1788.32819264</v>
      </c>
      <c r="E1152" s="2">
        <v>1734.6783468608</v>
      </c>
      <c r="F1152" s="2">
        <v>1682.637996454976</v>
      </c>
      <c r="G1152" s="2">
        <v>1632.1588565613267</v>
      </c>
      <c r="H1152" s="2">
        <v>1583.194090864487</v>
      </c>
      <c r="I1152" s="2">
        <v>1535.6982681385523</v>
      </c>
      <c r="J1152" s="2">
        <v>1489.6273200943956</v>
      </c>
      <c r="K1152" s="2">
        <v>1444.9385004915637</v>
      </c>
      <c r="L1152" s="2">
        <v>1401.5903454768168</v>
      </c>
      <c r="M1152" s="2">
        <v>1359.5426351125122</v>
      </c>
      <c r="N1152" s="2">
        <v>1318.7563560591368</v>
      </c>
      <c r="O1152" s="2">
        <v>1279.1936653773628</v>
      </c>
    </row>
    <row r="1153" spans="1:15" x14ac:dyDescent="0.25">
      <c r="A1153" t="s">
        <v>3435</v>
      </c>
      <c r="B1153" t="s">
        <v>3436</v>
      </c>
      <c r="C1153" s="2">
        <v>1843.0903260000002</v>
      </c>
      <c r="D1153" s="2">
        <v>1787.7976162200002</v>
      </c>
      <c r="E1153" s="2">
        <v>1734.1636877334001</v>
      </c>
      <c r="F1153" s="2">
        <v>1682.1387771013981</v>
      </c>
      <c r="G1153" s="2">
        <v>1631.6746137883561</v>
      </c>
      <c r="H1153" s="2">
        <v>1582.7243753747052</v>
      </c>
      <c r="I1153" s="2">
        <v>1535.2426441134639</v>
      </c>
      <c r="J1153" s="2">
        <v>1489.18536479006</v>
      </c>
      <c r="K1153" s="2">
        <v>1444.5098038463582</v>
      </c>
      <c r="L1153" s="2">
        <v>1401.1745097309674</v>
      </c>
      <c r="M1153" s="2">
        <v>1359.1392744390384</v>
      </c>
      <c r="N1153" s="2">
        <v>1318.3650962058673</v>
      </c>
      <c r="O1153" s="2">
        <v>1278.8141433196913</v>
      </c>
    </row>
    <row r="1154" spans="1:15" x14ac:dyDescent="0.25">
      <c r="A1154" t="s">
        <v>3437</v>
      </c>
      <c r="B1154" t="s">
        <v>3438</v>
      </c>
      <c r="C1154" s="2">
        <v>1839.1197440000001</v>
      </c>
      <c r="D1154" s="2">
        <v>1783.94615168</v>
      </c>
      <c r="E1154" s="2">
        <v>1730.4277671295999</v>
      </c>
      <c r="F1154" s="2">
        <v>1678.5149341157119</v>
      </c>
      <c r="G1154" s="2">
        <v>1628.1594860922405</v>
      </c>
      <c r="H1154" s="2">
        <v>1579.3147015094733</v>
      </c>
      <c r="I1154" s="2">
        <v>1531.935260464189</v>
      </c>
      <c r="J1154" s="2">
        <v>1485.9772026502633</v>
      </c>
      <c r="K1154" s="2">
        <v>1441.3978865707554</v>
      </c>
      <c r="L1154" s="2">
        <v>1398.1559499736327</v>
      </c>
      <c r="M1154" s="2">
        <v>1356.2112714744237</v>
      </c>
      <c r="N1154" s="2">
        <v>1315.5249333301911</v>
      </c>
      <c r="O1154" s="2">
        <v>1276.0591853302853</v>
      </c>
    </row>
    <row r="1155" spans="1:15" x14ac:dyDescent="0.25">
      <c r="A1155" t="s">
        <v>3439</v>
      </c>
      <c r="B1155" t="s">
        <v>3440</v>
      </c>
      <c r="C1155" s="2">
        <v>1838.8323359999999</v>
      </c>
      <c r="D1155" s="2">
        <v>1783.6673659199998</v>
      </c>
      <c r="E1155" s="2">
        <v>1730.1573449423997</v>
      </c>
      <c r="F1155" s="2">
        <v>1678.2526245941276</v>
      </c>
      <c r="G1155" s="2">
        <v>1627.9050458563038</v>
      </c>
      <c r="H1155" s="2">
        <v>1579.0678944806145</v>
      </c>
      <c r="I1155" s="2">
        <v>1531.6958576461961</v>
      </c>
      <c r="J1155" s="2">
        <v>1485.7449819168103</v>
      </c>
      <c r="K1155" s="2">
        <v>1441.172632459306</v>
      </c>
      <c r="L1155" s="2">
        <v>1397.9374534855267</v>
      </c>
      <c r="M1155" s="2">
        <v>1355.9993298809609</v>
      </c>
      <c r="N1155" s="2">
        <v>1315.319349984532</v>
      </c>
      <c r="O1155" s="2">
        <v>1275.8597694849959</v>
      </c>
    </row>
    <row r="1156" spans="1:15" x14ac:dyDescent="0.25">
      <c r="A1156" t="s">
        <v>3441</v>
      </c>
      <c r="B1156" t="s">
        <v>3442</v>
      </c>
      <c r="C1156" s="2">
        <v>1837.2409660000001</v>
      </c>
      <c r="D1156" s="2">
        <v>1782.1237370199999</v>
      </c>
      <c r="E1156" s="2">
        <v>1728.6600249093999</v>
      </c>
      <c r="F1156" s="2">
        <v>1676.800224162118</v>
      </c>
      <c r="G1156" s="2">
        <v>1626.4962174372545</v>
      </c>
      <c r="H1156" s="2">
        <v>1577.7013309141369</v>
      </c>
      <c r="I1156" s="2">
        <v>1530.3702909867127</v>
      </c>
      <c r="J1156" s="2">
        <v>1484.4591822571113</v>
      </c>
      <c r="K1156" s="2">
        <v>1439.9254067893978</v>
      </c>
      <c r="L1156" s="2">
        <v>1396.7276445857158</v>
      </c>
      <c r="M1156" s="2">
        <v>1354.8258152481442</v>
      </c>
      <c r="N1156" s="2">
        <v>1314.1810407906999</v>
      </c>
      <c r="O1156" s="2">
        <v>1274.7556095669788</v>
      </c>
    </row>
    <row r="1157" spans="1:15" x14ac:dyDescent="0.25">
      <c r="A1157" t="s">
        <v>3443</v>
      </c>
      <c r="B1157" t="s">
        <v>3444</v>
      </c>
      <c r="C1157" s="2">
        <v>1831.9937460000001</v>
      </c>
      <c r="D1157" s="2">
        <v>1777.03393362</v>
      </c>
      <c r="E1157" s="2">
        <v>1723.7229156113999</v>
      </c>
      <c r="F1157" s="2">
        <v>1672.0112281430579</v>
      </c>
      <c r="G1157" s="2">
        <v>1621.8508912987661</v>
      </c>
      <c r="H1157" s="2">
        <v>1573.195364559803</v>
      </c>
      <c r="I1157" s="2">
        <v>1525.9995036230089</v>
      </c>
      <c r="J1157" s="2">
        <v>1480.2195185143187</v>
      </c>
      <c r="K1157" s="2">
        <v>1435.8129329588892</v>
      </c>
      <c r="L1157" s="2">
        <v>1392.7385449701226</v>
      </c>
      <c r="M1157" s="2">
        <v>1350.956388621019</v>
      </c>
      <c r="N1157" s="2">
        <v>1310.4276969623884</v>
      </c>
      <c r="O1157" s="2">
        <v>1271.1148660535166</v>
      </c>
    </row>
    <row r="1158" spans="1:15" x14ac:dyDescent="0.25">
      <c r="A1158" t="s">
        <v>3445</v>
      </c>
      <c r="B1158" t="s">
        <v>3446</v>
      </c>
      <c r="C1158" s="2">
        <v>1831.0399360000001</v>
      </c>
      <c r="D1158" s="2">
        <v>1776.1087379200001</v>
      </c>
      <c r="E1158" s="2">
        <v>1722.8254757824</v>
      </c>
      <c r="F1158" s="2">
        <v>1671.140711508928</v>
      </c>
      <c r="G1158" s="2">
        <v>1621.0064901636601</v>
      </c>
      <c r="H1158" s="2">
        <v>1572.3762954587503</v>
      </c>
      <c r="I1158" s="2">
        <v>1525.2050065949877</v>
      </c>
      <c r="J1158" s="2">
        <v>1479.4488563971381</v>
      </c>
      <c r="K1158" s="2">
        <v>1435.065390705224</v>
      </c>
      <c r="L1158" s="2">
        <v>1392.0134289840673</v>
      </c>
      <c r="M1158" s="2">
        <v>1350.2530261145453</v>
      </c>
      <c r="N1158" s="2">
        <v>1309.7454353311089</v>
      </c>
      <c r="O1158" s="2">
        <v>1270.4530722711756</v>
      </c>
    </row>
    <row r="1159" spans="1:15" x14ac:dyDescent="0.25">
      <c r="A1159" t="s">
        <v>3447</v>
      </c>
      <c r="B1159" t="s">
        <v>3448</v>
      </c>
      <c r="C1159" s="2">
        <v>1830.9913600000002</v>
      </c>
      <c r="D1159" s="2">
        <v>1776.0616192000002</v>
      </c>
      <c r="E1159" s="2">
        <v>1722.7797706240001</v>
      </c>
      <c r="F1159" s="2">
        <v>1671.0963775052801</v>
      </c>
      <c r="G1159" s="2">
        <v>1620.9634861801217</v>
      </c>
      <c r="H1159" s="2">
        <v>1572.334581594718</v>
      </c>
      <c r="I1159" s="2">
        <v>1525.1645441468763</v>
      </c>
      <c r="J1159" s="2">
        <v>1479.40960782247</v>
      </c>
      <c r="K1159" s="2">
        <v>1435.0273195877958</v>
      </c>
      <c r="L1159" s="2">
        <v>1391.9765000001619</v>
      </c>
      <c r="M1159" s="2">
        <v>1350.217205000157</v>
      </c>
      <c r="N1159" s="2">
        <v>1309.7106888501523</v>
      </c>
      <c r="O1159" s="2">
        <v>1270.4193681846477</v>
      </c>
    </row>
    <row r="1160" spans="1:15" x14ac:dyDescent="0.25">
      <c r="A1160" t="s">
        <v>1096</v>
      </c>
      <c r="B1160" t="s">
        <v>3449</v>
      </c>
      <c r="C1160" s="2">
        <v>1820.1401900000001</v>
      </c>
      <c r="D1160" s="2">
        <v>1765.5359843000001</v>
      </c>
      <c r="E1160" s="2">
        <v>1712.569904771</v>
      </c>
      <c r="F1160" s="2">
        <v>1661.19280762787</v>
      </c>
      <c r="G1160" s="2">
        <v>1611.3570233990338</v>
      </c>
      <c r="H1160" s="2">
        <v>1563.0163126970626</v>
      </c>
      <c r="I1160" s="2">
        <v>1516.1258233161507</v>
      </c>
      <c r="J1160" s="2">
        <v>1470.6420486166662</v>
      </c>
      <c r="K1160" s="2">
        <v>1426.5227871581662</v>
      </c>
      <c r="L1160" s="2">
        <v>1383.7271035434212</v>
      </c>
      <c r="M1160" s="2">
        <v>1342.2152904371185</v>
      </c>
      <c r="N1160" s="2">
        <v>1301.948831724005</v>
      </c>
      <c r="O1160" s="2">
        <v>1262.8903667722848</v>
      </c>
    </row>
    <row r="1161" spans="1:15" x14ac:dyDescent="0.25">
      <c r="A1161" t="s">
        <v>3450</v>
      </c>
      <c r="B1161" t="s">
        <v>3451</v>
      </c>
      <c r="C1161" s="2">
        <v>1819.7945920000004</v>
      </c>
      <c r="D1161" s="2">
        <v>1765.2007542400004</v>
      </c>
      <c r="E1161" s="2">
        <v>1712.2447316128003</v>
      </c>
      <c r="F1161" s="2">
        <v>1660.8773896644161</v>
      </c>
      <c r="G1161" s="2">
        <v>1611.0510679744837</v>
      </c>
      <c r="H1161" s="2">
        <v>1562.719535935249</v>
      </c>
      <c r="I1161" s="2">
        <v>1515.8379498571915</v>
      </c>
      <c r="J1161" s="2">
        <v>1470.3628113614757</v>
      </c>
      <c r="K1161" s="2">
        <v>1426.2519270206315</v>
      </c>
      <c r="L1161" s="2">
        <v>1383.4643692100124</v>
      </c>
      <c r="M1161" s="2">
        <v>1341.9604381337119</v>
      </c>
      <c r="N1161" s="2">
        <v>1301.7016249897006</v>
      </c>
      <c r="O1161" s="2">
        <v>1262.6505762400095</v>
      </c>
    </row>
    <row r="1162" spans="1:15" x14ac:dyDescent="0.25">
      <c r="A1162" t="s">
        <v>3452</v>
      </c>
      <c r="B1162" t="s">
        <v>3453</v>
      </c>
      <c r="C1162" s="2">
        <v>1819.7945920000004</v>
      </c>
      <c r="D1162" s="2">
        <v>1765.2007542400004</v>
      </c>
      <c r="E1162" s="2">
        <v>1712.2447316128003</v>
      </c>
      <c r="F1162" s="2">
        <v>1660.8773896644161</v>
      </c>
      <c r="G1162" s="2">
        <v>1611.0510679744837</v>
      </c>
      <c r="H1162" s="2">
        <v>1562.719535935249</v>
      </c>
      <c r="I1162" s="2">
        <v>1515.8379498571915</v>
      </c>
      <c r="J1162" s="2">
        <v>1470.3628113614757</v>
      </c>
      <c r="K1162" s="2">
        <v>1426.2519270206315</v>
      </c>
      <c r="L1162" s="2">
        <v>1383.4643692100124</v>
      </c>
      <c r="M1162" s="2">
        <v>1341.9604381337119</v>
      </c>
      <c r="N1162" s="2">
        <v>1301.7016249897006</v>
      </c>
      <c r="O1162" s="2">
        <v>1262.6505762400095</v>
      </c>
    </row>
    <row r="1163" spans="1:15" x14ac:dyDescent="0.25">
      <c r="A1163" t="s">
        <v>3454</v>
      </c>
      <c r="B1163" t="s">
        <v>3455</v>
      </c>
      <c r="C1163" s="2">
        <v>1819.7945920000004</v>
      </c>
      <c r="D1163" s="2">
        <v>1765.2007542400004</v>
      </c>
      <c r="E1163" s="2">
        <v>1712.2447316128003</v>
      </c>
      <c r="F1163" s="2">
        <v>1660.8773896644161</v>
      </c>
      <c r="G1163" s="2">
        <v>1611.0510679744837</v>
      </c>
      <c r="H1163" s="2">
        <v>1562.719535935249</v>
      </c>
      <c r="I1163" s="2">
        <v>1515.8379498571915</v>
      </c>
      <c r="J1163" s="2">
        <v>1470.3628113614757</v>
      </c>
      <c r="K1163" s="2">
        <v>1426.2519270206315</v>
      </c>
      <c r="L1163" s="2">
        <v>1383.4643692100124</v>
      </c>
      <c r="M1163" s="2">
        <v>1341.9604381337119</v>
      </c>
      <c r="N1163" s="2">
        <v>1301.7016249897006</v>
      </c>
      <c r="O1163" s="2">
        <v>1262.6505762400095</v>
      </c>
    </row>
    <row r="1164" spans="1:15" x14ac:dyDescent="0.25">
      <c r="A1164" t="s">
        <v>3456</v>
      </c>
      <c r="B1164" t="s">
        <v>3457</v>
      </c>
      <c r="C1164" s="2">
        <v>1819.7945920000004</v>
      </c>
      <c r="D1164" s="2">
        <v>1765.2007542400004</v>
      </c>
      <c r="E1164" s="2">
        <v>1712.2447316128003</v>
      </c>
      <c r="F1164" s="2">
        <v>1660.8773896644161</v>
      </c>
      <c r="G1164" s="2">
        <v>1611.0510679744837</v>
      </c>
      <c r="H1164" s="2">
        <v>1562.719535935249</v>
      </c>
      <c r="I1164" s="2">
        <v>1515.8379498571915</v>
      </c>
      <c r="J1164" s="2">
        <v>1470.3628113614757</v>
      </c>
      <c r="K1164" s="2">
        <v>1426.2519270206315</v>
      </c>
      <c r="L1164" s="2">
        <v>1383.4643692100124</v>
      </c>
      <c r="M1164" s="2">
        <v>1341.9604381337119</v>
      </c>
      <c r="N1164" s="2">
        <v>1301.7016249897006</v>
      </c>
      <c r="O1164" s="2">
        <v>1262.6505762400095</v>
      </c>
    </row>
    <row r="1165" spans="1:15" x14ac:dyDescent="0.25">
      <c r="A1165" t="s">
        <v>3458</v>
      </c>
      <c r="B1165" t="s">
        <v>3457</v>
      </c>
      <c r="C1165" s="2">
        <v>1819.7945920000004</v>
      </c>
      <c r="D1165" s="2">
        <v>1765.2007542400004</v>
      </c>
      <c r="E1165" s="2">
        <v>1712.2447316128003</v>
      </c>
      <c r="F1165" s="2">
        <v>1660.8773896644161</v>
      </c>
      <c r="G1165" s="2">
        <v>1611.0510679744837</v>
      </c>
      <c r="H1165" s="2">
        <v>1562.719535935249</v>
      </c>
      <c r="I1165" s="2">
        <v>1515.8379498571915</v>
      </c>
      <c r="J1165" s="2">
        <v>1470.3628113614757</v>
      </c>
      <c r="K1165" s="2">
        <v>1426.2519270206315</v>
      </c>
      <c r="L1165" s="2">
        <v>1383.4643692100124</v>
      </c>
      <c r="M1165" s="2">
        <v>1341.9604381337119</v>
      </c>
      <c r="N1165" s="2">
        <v>1301.7016249897006</v>
      </c>
      <c r="O1165" s="2">
        <v>1262.6505762400095</v>
      </c>
    </row>
    <row r="1166" spans="1:15" x14ac:dyDescent="0.25">
      <c r="A1166" t="s">
        <v>3459</v>
      </c>
      <c r="B1166" t="s">
        <v>3460</v>
      </c>
      <c r="C1166" s="2">
        <v>1817.2929280000001</v>
      </c>
      <c r="D1166" s="2">
        <v>1762.7741401600001</v>
      </c>
      <c r="E1166" s="2">
        <v>1709.8909159552002</v>
      </c>
      <c r="F1166" s="2">
        <v>1658.5941884765441</v>
      </c>
      <c r="G1166" s="2">
        <v>1608.8363628222478</v>
      </c>
      <c r="H1166" s="2">
        <v>1560.5712719375804</v>
      </c>
      <c r="I1166" s="2">
        <v>1513.754133779453</v>
      </c>
      <c r="J1166" s="2">
        <v>1468.3415097660693</v>
      </c>
      <c r="K1166" s="2">
        <v>1424.2912644730873</v>
      </c>
      <c r="L1166" s="2">
        <v>1381.5625265388946</v>
      </c>
      <c r="M1166" s="2">
        <v>1340.1156507427277</v>
      </c>
      <c r="N1166" s="2">
        <v>1299.9121812204457</v>
      </c>
      <c r="O1166" s="2">
        <v>1260.9148157838324</v>
      </c>
    </row>
    <row r="1167" spans="1:15" x14ac:dyDescent="0.25">
      <c r="A1167" t="s">
        <v>3461</v>
      </c>
      <c r="B1167" t="s">
        <v>3392</v>
      </c>
      <c r="C1167" s="2">
        <v>1815.2932160000003</v>
      </c>
      <c r="D1167" s="2">
        <v>1760.8344195200002</v>
      </c>
      <c r="E1167" s="2">
        <v>1708.0093869344003</v>
      </c>
      <c r="F1167" s="2">
        <v>1656.7691053263682</v>
      </c>
      <c r="G1167" s="2">
        <v>1607.0660321665771</v>
      </c>
      <c r="H1167" s="2">
        <v>1558.8540512015798</v>
      </c>
      <c r="I1167" s="2">
        <v>1512.0884296655322</v>
      </c>
      <c r="J1167" s="2">
        <v>1466.7257767755661</v>
      </c>
      <c r="K1167" s="2">
        <v>1422.724003472299</v>
      </c>
      <c r="L1167" s="2">
        <v>1380.04228336813</v>
      </c>
      <c r="M1167" s="2">
        <v>1338.6410148670861</v>
      </c>
      <c r="N1167" s="2">
        <v>1298.4817844210736</v>
      </c>
      <c r="O1167" s="2">
        <v>1259.5273308884414</v>
      </c>
    </row>
    <row r="1168" spans="1:15" x14ac:dyDescent="0.25">
      <c r="A1168" t="s">
        <v>3462</v>
      </c>
      <c r="B1168" t="s">
        <v>3463</v>
      </c>
      <c r="C1168" s="2">
        <v>1814.7037260000004</v>
      </c>
      <c r="D1168" s="2">
        <v>1760.2626142200004</v>
      </c>
      <c r="E1168" s="2">
        <v>1707.4547357934002</v>
      </c>
      <c r="F1168" s="2">
        <v>1656.2310937195982</v>
      </c>
      <c r="G1168" s="2">
        <v>1606.5441609080103</v>
      </c>
      <c r="H1168" s="2">
        <v>1558.3478360807699</v>
      </c>
      <c r="I1168" s="2">
        <v>1511.5974009983468</v>
      </c>
      <c r="J1168" s="2">
        <v>1466.2494789683963</v>
      </c>
      <c r="K1168" s="2">
        <v>1422.2619945993442</v>
      </c>
      <c r="L1168" s="2">
        <v>1379.5941347613639</v>
      </c>
      <c r="M1168" s="2">
        <v>1338.2063107185229</v>
      </c>
      <c r="N1168" s="2">
        <v>1298.0601213969671</v>
      </c>
      <c r="O1168" s="2">
        <v>1259.1183177550581</v>
      </c>
    </row>
    <row r="1169" spans="1:15" x14ac:dyDescent="0.25">
      <c r="A1169" t="s">
        <v>3464</v>
      </c>
      <c r="B1169" t="s">
        <v>3463</v>
      </c>
      <c r="C1169" s="2">
        <v>1814.7037260000004</v>
      </c>
      <c r="D1169" s="2">
        <v>1760.2626142200004</v>
      </c>
      <c r="E1169" s="2">
        <v>1707.4547357934002</v>
      </c>
      <c r="F1169" s="2">
        <v>1656.2310937195982</v>
      </c>
      <c r="G1169" s="2">
        <v>1606.5441609080103</v>
      </c>
      <c r="H1169" s="2">
        <v>1558.3478360807699</v>
      </c>
      <c r="I1169" s="2">
        <v>1511.5974009983468</v>
      </c>
      <c r="J1169" s="2">
        <v>1466.2494789683963</v>
      </c>
      <c r="K1169" s="2">
        <v>1422.2619945993442</v>
      </c>
      <c r="L1169" s="2">
        <v>1379.5941347613639</v>
      </c>
      <c r="M1169" s="2">
        <v>1338.2063107185229</v>
      </c>
      <c r="N1169" s="2">
        <v>1298.0601213969671</v>
      </c>
      <c r="O1169" s="2">
        <v>1259.1183177550581</v>
      </c>
    </row>
    <row r="1170" spans="1:15" x14ac:dyDescent="0.25">
      <c r="A1170" t="s">
        <v>3465</v>
      </c>
      <c r="B1170" t="s">
        <v>3466</v>
      </c>
      <c r="C1170" s="2">
        <v>1814.7037260000004</v>
      </c>
      <c r="D1170" s="2">
        <v>1760.2626142200004</v>
      </c>
      <c r="E1170" s="2">
        <v>1707.4547357934002</v>
      </c>
      <c r="F1170" s="2">
        <v>1656.2310937195982</v>
      </c>
      <c r="G1170" s="2">
        <v>1606.5441609080103</v>
      </c>
      <c r="H1170" s="2">
        <v>1558.3478360807699</v>
      </c>
      <c r="I1170" s="2">
        <v>1511.5974009983468</v>
      </c>
      <c r="J1170" s="2">
        <v>1466.2494789683963</v>
      </c>
      <c r="K1170" s="2">
        <v>1422.2619945993442</v>
      </c>
      <c r="L1170" s="2">
        <v>1379.5941347613639</v>
      </c>
      <c r="M1170" s="2">
        <v>1338.2063107185229</v>
      </c>
      <c r="N1170" s="2">
        <v>1298.0601213969671</v>
      </c>
      <c r="O1170" s="2">
        <v>1259.1183177550581</v>
      </c>
    </row>
    <row r="1171" spans="1:15" x14ac:dyDescent="0.25">
      <c r="A1171" t="s">
        <v>3467</v>
      </c>
      <c r="B1171" t="s">
        <v>3468</v>
      </c>
      <c r="C1171" s="2">
        <v>1813.4959040000001</v>
      </c>
      <c r="D1171" s="2">
        <v>1759.0910268800001</v>
      </c>
      <c r="E1171" s="2">
        <v>1706.3182960736001</v>
      </c>
      <c r="F1171" s="2">
        <v>1655.128747191392</v>
      </c>
      <c r="G1171" s="2">
        <v>1605.4748847756503</v>
      </c>
      <c r="H1171" s="2">
        <v>1557.3106382323806</v>
      </c>
      <c r="I1171" s="2">
        <v>1510.5913190854092</v>
      </c>
      <c r="J1171" s="2">
        <v>1465.2735795128469</v>
      </c>
      <c r="K1171" s="2">
        <v>1421.3153721274614</v>
      </c>
      <c r="L1171" s="2">
        <v>1378.6759109636375</v>
      </c>
      <c r="M1171" s="2">
        <v>1337.3156336347283</v>
      </c>
      <c r="N1171" s="2">
        <v>1297.1961646256864</v>
      </c>
      <c r="O1171" s="2">
        <v>1258.2802796869157</v>
      </c>
    </row>
    <row r="1172" spans="1:15" x14ac:dyDescent="0.25">
      <c r="A1172" t="s">
        <v>3469</v>
      </c>
      <c r="B1172" t="s">
        <v>3470</v>
      </c>
      <c r="C1172" s="2">
        <v>1812.1438720000006</v>
      </c>
      <c r="D1172" s="2">
        <v>1757.7795558400005</v>
      </c>
      <c r="E1172" s="2">
        <v>1705.0461691648004</v>
      </c>
      <c r="F1172" s="2">
        <v>1653.8947840898563</v>
      </c>
      <c r="G1172" s="2">
        <v>1604.2779405671606</v>
      </c>
      <c r="H1172" s="2">
        <v>1556.1496023501456</v>
      </c>
      <c r="I1172" s="2">
        <v>1509.4651142796413</v>
      </c>
      <c r="J1172" s="2">
        <v>1464.1811608512521</v>
      </c>
      <c r="K1172" s="2">
        <v>1420.2557260257145</v>
      </c>
      <c r="L1172" s="2">
        <v>1377.6480542449431</v>
      </c>
      <c r="M1172" s="2">
        <v>1336.3186126175947</v>
      </c>
      <c r="N1172" s="2">
        <v>1296.2290542390667</v>
      </c>
      <c r="O1172" s="2">
        <v>1257.3421826118947</v>
      </c>
    </row>
    <row r="1173" spans="1:15" x14ac:dyDescent="0.25">
      <c r="A1173" t="s">
        <v>3471</v>
      </c>
      <c r="B1173" t="s">
        <v>3472</v>
      </c>
      <c r="C1173" s="2">
        <v>1808.1444480000002</v>
      </c>
      <c r="D1173" s="2">
        <v>1753.9001145600002</v>
      </c>
      <c r="E1173" s="2">
        <v>1701.2831111232001</v>
      </c>
      <c r="F1173" s="2">
        <v>1650.244617789504</v>
      </c>
      <c r="G1173" s="2">
        <v>1600.7372792558187</v>
      </c>
      <c r="H1173" s="2">
        <v>1552.7151608781442</v>
      </c>
      <c r="I1173" s="2">
        <v>1506.1337060517999</v>
      </c>
      <c r="J1173" s="2">
        <v>1460.9496948702458</v>
      </c>
      <c r="K1173" s="2">
        <v>1417.1212040241385</v>
      </c>
      <c r="L1173" s="2">
        <v>1374.6075679034143</v>
      </c>
      <c r="M1173" s="2">
        <v>1333.3693408663119</v>
      </c>
      <c r="N1173" s="2">
        <v>1293.3682606403224</v>
      </c>
      <c r="O1173" s="2">
        <v>1254.5672128211127</v>
      </c>
    </row>
    <row r="1174" spans="1:15" x14ac:dyDescent="0.25">
      <c r="A1174" t="s">
        <v>3473</v>
      </c>
      <c r="B1174" t="s">
        <v>3474</v>
      </c>
      <c r="C1174" s="2">
        <v>1807.6829760000001</v>
      </c>
      <c r="D1174" s="2">
        <v>1753.45248672</v>
      </c>
      <c r="E1174" s="2">
        <v>1700.8489121184</v>
      </c>
      <c r="F1174" s="2">
        <v>1649.823444754848</v>
      </c>
      <c r="G1174" s="2">
        <v>1600.3287414122026</v>
      </c>
      <c r="H1174" s="2">
        <v>1552.3188791698365</v>
      </c>
      <c r="I1174" s="2">
        <v>1505.7493127947414</v>
      </c>
      <c r="J1174" s="2">
        <v>1460.5768334108991</v>
      </c>
      <c r="K1174" s="2">
        <v>1416.7595284085721</v>
      </c>
      <c r="L1174" s="2">
        <v>1374.256742556315</v>
      </c>
      <c r="M1174" s="2">
        <v>1333.0290402796254</v>
      </c>
      <c r="N1174" s="2">
        <v>1293.0381690712366</v>
      </c>
      <c r="O1174" s="2">
        <v>1254.2470239990994</v>
      </c>
    </row>
    <row r="1175" spans="1:15" x14ac:dyDescent="0.25">
      <c r="A1175" t="s">
        <v>3475</v>
      </c>
      <c r="B1175" t="s">
        <v>3476</v>
      </c>
      <c r="C1175" s="2">
        <v>1807.0307420000001</v>
      </c>
      <c r="D1175" s="2">
        <v>1752.8198197400002</v>
      </c>
      <c r="E1175" s="2">
        <v>1700.2352251478001</v>
      </c>
      <c r="F1175" s="2">
        <v>1649.2281683933661</v>
      </c>
      <c r="G1175" s="2">
        <v>1599.751323341565</v>
      </c>
      <c r="H1175" s="2">
        <v>1551.7587836413181</v>
      </c>
      <c r="I1175" s="2">
        <v>1505.2060201320785</v>
      </c>
      <c r="J1175" s="2">
        <v>1460.0498395281161</v>
      </c>
      <c r="K1175" s="2">
        <v>1416.2483443422725</v>
      </c>
      <c r="L1175" s="2">
        <v>1373.7608940120042</v>
      </c>
      <c r="M1175" s="2">
        <v>1332.5480671916441</v>
      </c>
      <c r="N1175" s="2">
        <v>1292.5716251758947</v>
      </c>
      <c r="O1175" s="2">
        <v>1253.7944764206179</v>
      </c>
    </row>
    <row r="1176" spans="1:15" x14ac:dyDescent="0.25">
      <c r="A1176" t="s">
        <v>3477</v>
      </c>
      <c r="B1176" t="s">
        <v>3478</v>
      </c>
      <c r="C1176" s="2">
        <v>1804.01144</v>
      </c>
      <c r="D1176" s="2">
        <v>1749.8910968</v>
      </c>
      <c r="E1176" s="2">
        <v>1697.394363896</v>
      </c>
      <c r="F1176" s="2">
        <v>1646.4725329791199</v>
      </c>
      <c r="G1176" s="2">
        <v>1597.0783569897462</v>
      </c>
      <c r="H1176" s="2">
        <v>1549.1660062800538</v>
      </c>
      <c r="I1176" s="2">
        <v>1502.6910260916522</v>
      </c>
      <c r="J1176" s="2">
        <v>1457.6102953089026</v>
      </c>
      <c r="K1176" s="2">
        <v>1413.8819864496354</v>
      </c>
      <c r="L1176" s="2">
        <v>1371.4655268561462</v>
      </c>
      <c r="M1176" s="2">
        <v>1330.3215610504617</v>
      </c>
      <c r="N1176" s="2">
        <v>1290.4119142189479</v>
      </c>
      <c r="O1176" s="2">
        <v>1251.6995567923796</v>
      </c>
    </row>
    <row r="1177" spans="1:15" x14ac:dyDescent="0.25">
      <c r="A1177" t="s">
        <v>3479</v>
      </c>
      <c r="B1177" t="s">
        <v>3480</v>
      </c>
      <c r="C1177" s="2">
        <v>1799.7706540000001</v>
      </c>
      <c r="D1177" s="2">
        <v>1745.7775343800001</v>
      </c>
      <c r="E1177" s="2">
        <v>1693.4042083486002</v>
      </c>
      <c r="F1177" s="2">
        <v>1642.6020820981421</v>
      </c>
      <c r="G1177" s="2">
        <v>1593.3240196351978</v>
      </c>
      <c r="H1177" s="2">
        <v>1545.5242990461418</v>
      </c>
      <c r="I1177" s="2">
        <v>1499.1585700747576</v>
      </c>
      <c r="J1177" s="2">
        <v>1454.1838129725147</v>
      </c>
      <c r="K1177" s="2">
        <v>1410.5582985833391</v>
      </c>
      <c r="L1177" s="2">
        <v>1368.2415496258388</v>
      </c>
      <c r="M1177" s="2">
        <v>1327.1943031370636</v>
      </c>
      <c r="N1177" s="2">
        <v>1287.3784740429517</v>
      </c>
      <c r="O1177" s="2">
        <v>1248.7571198216631</v>
      </c>
    </row>
    <row r="1178" spans="1:15" x14ac:dyDescent="0.25">
      <c r="A1178" t="s">
        <v>3481</v>
      </c>
      <c r="B1178" t="s">
        <v>3482</v>
      </c>
      <c r="C1178" s="2">
        <v>1799.6436480000002</v>
      </c>
      <c r="D1178" s="2">
        <v>1745.6543385600003</v>
      </c>
      <c r="E1178" s="2">
        <v>1693.2847084032003</v>
      </c>
      <c r="F1178" s="2">
        <v>1642.4861671511042</v>
      </c>
      <c r="G1178" s="2">
        <v>1593.211582136571</v>
      </c>
      <c r="H1178" s="2">
        <v>1545.4152346724738</v>
      </c>
      <c r="I1178" s="2">
        <v>1499.0527776322997</v>
      </c>
      <c r="J1178" s="2">
        <v>1454.0811943033307</v>
      </c>
      <c r="K1178" s="2">
        <v>1410.4587584742308</v>
      </c>
      <c r="L1178" s="2">
        <v>1368.1449957200039</v>
      </c>
      <c r="M1178" s="2">
        <v>1327.1006458484037</v>
      </c>
      <c r="N1178" s="2">
        <v>1287.2876264729516</v>
      </c>
      <c r="O1178" s="2">
        <v>1248.6689976787629</v>
      </c>
    </row>
    <row r="1179" spans="1:15" x14ac:dyDescent="0.25">
      <c r="A1179" t="s">
        <v>3483</v>
      </c>
      <c r="B1179" t="s">
        <v>3484</v>
      </c>
      <c r="C1179" s="2">
        <v>1797.9839680000002</v>
      </c>
      <c r="D1179" s="2">
        <v>1744.0444489600002</v>
      </c>
      <c r="E1179" s="2">
        <v>1691.7231154912001</v>
      </c>
      <c r="F1179" s="2">
        <v>1640.9714220264641</v>
      </c>
      <c r="G1179" s="2">
        <v>1591.7422793656701</v>
      </c>
      <c r="H1179" s="2">
        <v>1543.9900109846999</v>
      </c>
      <c r="I1179" s="2">
        <v>1497.6703106551588</v>
      </c>
      <c r="J1179" s="2">
        <v>1452.740201335504</v>
      </c>
      <c r="K1179" s="2">
        <v>1409.1579952954389</v>
      </c>
      <c r="L1179" s="2">
        <v>1366.8832554365756</v>
      </c>
      <c r="M1179" s="2">
        <v>1325.8767577734784</v>
      </c>
      <c r="N1179" s="2">
        <v>1286.100455040274</v>
      </c>
      <c r="O1179" s="2">
        <v>1247.5174413890659</v>
      </c>
    </row>
    <row r="1180" spans="1:15" x14ac:dyDescent="0.25">
      <c r="A1180" t="s">
        <v>3485</v>
      </c>
      <c r="B1180" t="s">
        <v>3486</v>
      </c>
      <c r="C1180" s="2">
        <v>1796.8667200000002</v>
      </c>
      <c r="D1180" s="2">
        <v>1742.9607184000001</v>
      </c>
      <c r="E1180" s="2">
        <v>1690.6718968480002</v>
      </c>
      <c r="F1180" s="2">
        <v>1639.9517399425602</v>
      </c>
      <c r="G1180" s="2">
        <v>1590.7531877442832</v>
      </c>
      <c r="H1180" s="2">
        <v>1543.0305921119545</v>
      </c>
      <c r="I1180" s="2">
        <v>1496.7396743485958</v>
      </c>
      <c r="J1180" s="2">
        <v>1451.8374841181378</v>
      </c>
      <c r="K1180" s="2">
        <v>1408.2823595945936</v>
      </c>
      <c r="L1180" s="2">
        <v>1366.0338888067558</v>
      </c>
      <c r="M1180" s="2">
        <v>1325.052872142553</v>
      </c>
      <c r="N1180" s="2">
        <v>1285.3012859782764</v>
      </c>
      <c r="O1180" s="2">
        <v>1246.7422473989282</v>
      </c>
    </row>
    <row r="1181" spans="1:15" x14ac:dyDescent="0.25">
      <c r="A1181" t="s">
        <v>3487</v>
      </c>
      <c r="B1181" t="s">
        <v>3488</v>
      </c>
      <c r="C1181" s="2">
        <v>1792.7539520000003</v>
      </c>
      <c r="D1181" s="2">
        <v>1738.9713334400003</v>
      </c>
      <c r="E1181" s="2">
        <v>1686.8021934368003</v>
      </c>
      <c r="F1181" s="2">
        <v>1636.1981276336962</v>
      </c>
      <c r="G1181" s="2">
        <v>1587.1121838046854</v>
      </c>
      <c r="H1181" s="2">
        <v>1539.4988182905447</v>
      </c>
      <c r="I1181" s="2">
        <v>1493.3138537418283</v>
      </c>
      <c r="J1181" s="2">
        <v>1448.5144381295734</v>
      </c>
      <c r="K1181" s="2">
        <v>1405.0590049856862</v>
      </c>
      <c r="L1181" s="2">
        <v>1362.9072348361155</v>
      </c>
      <c r="M1181" s="2">
        <v>1322.0200177910322</v>
      </c>
      <c r="N1181" s="2">
        <v>1282.3594172573012</v>
      </c>
      <c r="O1181" s="2">
        <v>1243.8886347395821</v>
      </c>
    </row>
    <row r="1182" spans="1:15" x14ac:dyDescent="0.25">
      <c r="A1182" t="s">
        <v>3489</v>
      </c>
      <c r="B1182" t="s">
        <v>3490</v>
      </c>
      <c r="C1182" s="2">
        <v>1792.5677439999999</v>
      </c>
      <c r="D1182" s="2">
        <v>1738.79071168</v>
      </c>
      <c r="E1182" s="2">
        <v>1686.6269903295999</v>
      </c>
      <c r="F1182" s="2">
        <v>1636.028180619712</v>
      </c>
      <c r="G1182" s="2">
        <v>1586.9473352011205</v>
      </c>
      <c r="H1182" s="2">
        <v>1539.3389151450867</v>
      </c>
      <c r="I1182" s="2">
        <v>1493.1587476907341</v>
      </c>
      <c r="J1182" s="2">
        <v>1448.363985260012</v>
      </c>
      <c r="K1182" s="2">
        <v>1404.9130657022115</v>
      </c>
      <c r="L1182" s="2">
        <v>1362.7656737311452</v>
      </c>
      <c r="M1182" s="2">
        <v>1321.8827035192107</v>
      </c>
      <c r="N1182" s="2">
        <v>1282.2262224136343</v>
      </c>
      <c r="O1182" s="2">
        <v>1243.7594357412252</v>
      </c>
    </row>
    <row r="1183" spans="1:15" x14ac:dyDescent="0.25">
      <c r="A1183" t="s">
        <v>3491</v>
      </c>
      <c r="B1183" t="s">
        <v>3492</v>
      </c>
      <c r="C1183" s="2">
        <v>1791.8633920000002</v>
      </c>
      <c r="D1183" s="2">
        <v>1738.1074902400001</v>
      </c>
      <c r="E1183" s="2">
        <v>1685.9642655328</v>
      </c>
      <c r="F1183" s="2">
        <v>1635.3853375668159</v>
      </c>
      <c r="G1183" s="2">
        <v>1586.3237774398115</v>
      </c>
      <c r="H1183" s="2">
        <v>1538.734064116617</v>
      </c>
      <c r="I1183" s="2">
        <v>1492.5720421931185</v>
      </c>
      <c r="J1183" s="2">
        <v>1447.7948809273248</v>
      </c>
      <c r="K1183" s="2">
        <v>1404.361034499505</v>
      </c>
      <c r="L1183" s="2">
        <v>1362.2302034645197</v>
      </c>
      <c r="M1183" s="2">
        <v>1321.3632973605841</v>
      </c>
      <c r="N1183" s="2">
        <v>1281.7223984397665</v>
      </c>
      <c r="O1183" s="2">
        <v>1243.2707264865735</v>
      </c>
    </row>
    <row r="1184" spans="1:15" x14ac:dyDescent="0.25">
      <c r="A1184" t="s">
        <v>1149</v>
      </c>
      <c r="B1184" t="s">
        <v>3493</v>
      </c>
      <c r="C1184" s="2">
        <v>1790.2396380000002</v>
      </c>
      <c r="D1184" s="2">
        <v>1736.5324488600002</v>
      </c>
      <c r="E1184" s="2">
        <v>1684.4364753942002</v>
      </c>
      <c r="F1184" s="2">
        <v>1633.9033811323741</v>
      </c>
      <c r="G1184" s="2">
        <v>1584.8862796984029</v>
      </c>
      <c r="H1184" s="2">
        <v>1537.3396913074507</v>
      </c>
      <c r="I1184" s="2">
        <v>1491.2195005682272</v>
      </c>
      <c r="J1184" s="2">
        <v>1446.4829155511804</v>
      </c>
      <c r="K1184" s="2">
        <v>1403.0884280846451</v>
      </c>
      <c r="L1184" s="2">
        <v>1360.9957752421058</v>
      </c>
      <c r="M1184" s="2">
        <v>1320.1659019848425</v>
      </c>
      <c r="N1184" s="2">
        <v>1280.5609249252973</v>
      </c>
      <c r="O1184" s="2">
        <v>1242.1440971775382</v>
      </c>
    </row>
    <row r="1185" spans="1:15" x14ac:dyDescent="0.25">
      <c r="A1185" t="s">
        <v>3494</v>
      </c>
      <c r="B1185" t="s">
        <v>3495</v>
      </c>
      <c r="C1185" s="2">
        <v>1790.0336960000004</v>
      </c>
      <c r="D1185" s="2">
        <v>1736.3326851200004</v>
      </c>
      <c r="E1185" s="2">
        <v>1684.2427045664003</v>
      </c>
      <c r="F1185" s="2">
        <v>1633.7154234294082</v>
      </c>
      <c r="G1185" s="2">
        <v>1584.703960726526</v>
      </c>
      <c r="H1185" s="2">
        <v>1537.1628419047302</v>
      </c>
      <c r="I1185" s="2">
        <v>1491.0479566475883</v>
      </c>
      <c r="J1185" s="2">
        <v>1446.3165179481607</v>
      </c>
      <c r="K1185" s="2">
        <v>1402.9270224097158</v>
      </c>
      <c r="L1185" s="2">
        <v>1360.8392117374244</v>
      </c>
      <c r="M1185" s="2">
        <v>1320.0140353853017</v>
      </c>
      <c r="N1185" s="2">
        <v>1280.4136143237426</v>
      </c>
      <c r="O1185" s="2">
        <v>1242.0012058940304</v>
      </c>
    </row>
    <row r="1186" spans="1:15" x14ac:dyDescent="0.25">
      <c r="A1186" t="s">
        <v>3496</v>
      </c>
      <c r="B1186" t="s">
        <v>3497</v>
      </c>
      <c r="C1186" s="2">
        <v>1789.3106220000002</v>
      </c>
      <c r="D1186" s="2">
        <v>1735.6313033400002</v>
      </c>
      <c r="E1186" s="2">
        <v>1683.5623642398002</v>
      </c>
      <c r="F1186" s="2">
        <v>1633.0554933126061</v>
      </c>
      <c r="G1186" s="2">
        <v>1584.0638285132279</v>
      </c>
      <c r="H1186" s="2">
        <v>1536.5419136578309</v>
      </c>
      <c r="I1186" s="2">
        <v>1490.4456562480959</v>
      </c>
      <c r="J1186" s="2">
        <v>1445.7322865606529</v>
      </c>
      <c r="K1186" s="2">
        <v>1402.3603179638333</v>
      </c>
      <c r="L1186" s="2">
        <v>1360.2895084249183</v>
      </c>
      <c r="M1186" s="2">
        <v>1319.4808231721706</v>
      </c>
      <c r="N1186" s="2">
        <v>1279.8963984770055</v>
      </c>
      <c r="O1186" s="2">
        <v>1241.4995065226954</v>
      </c>
    </row>
    <row r="1187" spans="1:15" x14ac:dyDescent="0.25">
      <c r="A1187" t="s">
        <v>3498</v>
      </c>
      <c r="B1187" t="s">
        <v>3499</v>
      </c>
      <c r="C1187" s="2">
        <v>1788.2697800000003</v>
      </c>
      <c r="D1187" s="2">
        <v>1734.6216866000002</v>
      </c>
      <c r="E1187" s="2">
        <v>1682.5830360020002</v>
      </c>
      <c r="F1187" s="2">
        <v>1632.1055449219402</v>
      </c>
      <c r="G1187" s="2">
        <v>1583.142378574282</v>
      </c>
      <c r="H1187" s="2">
        <v>1535.6481072170536</v>
      </c>
      <c r="I1187" s="2">
        <v>1489.5786640005419</v>
      </c>
      <c r="J1187" s="2">
        <v>1444.8913040805257</v>
      </c>
      <c r="K1187" s="2">
        <v>1401.54456495811</v>
      </c>
      <c r="L1187" s="2">
        <v>1359.4982280093666</v>
      </c>
      <c r="M1187" s="2">
        <v>1318.7132811690856</v>
      </c>
      <c r="N1187" s="2">
        <v>1279.151882734013</v>
      </c>
      <c r="O1187" s="2">
        <v>1240.7773262519927</v>
      </c>
    </row>
    <row r="1188" spans="1:15" x14ac:dyDescent="0.25">
      <c r="A1188" t="s">
        <v>3500</v>
      </c>
      <c r="B1188" t="s">
        <v>3501</v>
      </c>
      <c r="C1188" s="2">
        <v>1783.7431040000001</v>
      </c>
      <c r="D1188" s="2">
        <v>1730.23081088</v>
      </c>
      <c r="E1188" s="2">
        <v>1678.3238865536</v>
      </c>
      <c r="F1188" s="2">
        <v>1627.974169956992</v>
      </c>
      <c r="G1188" s="2">
        <v>1579.1349448582821</v>
      </c>
      <c r="H1188" s="2">
        <v>1531.7608965125337</v>
      </c>
      <c r="I1188" s="2">
        <v>1485.8080696171576</v>
      </c>
      <c r="J1188" s="2">
        <v>1441.2338275286429</v>
      </c>
      <c r="K1188" s="2">
        <v>1397.9968127027835</v>
      </c>
      <c r="L1188" s="2">
        <v>1356.0569083216999</v>
      </c>
      <c r="M1188" s="2">
        <v>1315.3752010720489</v>
      </c>
      <c r="N1188" s="2">
        <v>1275.9139450398873</v>
      </c>
      <c r="O1188" s="2">
        <v>1237.6365266886905</v>
      </c>
    </row>
    <row r="1189" spans="1:15" x14ac:dyDescent="0.25">
      <c r="A1189" t="s">
        <v>3502</v>
      </c>
      <c r="B1189" t="s">
        <v>3503</v>
      </c>
      <c r="C1189" s="2">
        <v>1782.2858240000003</v>
      </c>
      <c r="D1189" s="2">
        <v>1728.8172492800002</v>
      </c>
      <c r="E1189" s="2">
        <v>1676.9527318016001</v>
      </c>
      <c r="F1189" s="2">
        <v>1626.6441498475519</v>
      </c>
      <c r="G1189" s="2">
        <v>1577.8448253521253</v>
      </c>
      <c r="H1189" s="2">
        <v>1530.5094805915614</v>
      </c>
      <c r="I1189" s="2">
        <v>1484.5941961738145</v>
      </c>
      <c r="J1189" s="2">
        <v>1440.0563702886</v>
      </c>
      <c r="K1189" s="2">
        <v>1396.854679179942</v>
      </c>
      <c r="L1189" s="2">
        <v>1354.9490388045438</v>
      </c>
      <c r="M1189" s="2">
        <v>1314.3005676404075</v>
      </c>
      <c r="N1189" s="2">
        <v>1274.8715506111953</v>
      </c>
      <c r="O1189" s="2">
        <v>1236.6254040928593</v>
      </c>
    </row>
    <row r="1190" spans="1:15" x14ac:dyDescent="0.25">
      <c r="A1190" t="s">
        <v>3504</v>
      </c>
      <c r="B1190" t="s">
        <v>3505</v>
      </c>
      <c r="C1190" s="2">
        <v>1780.8118460000003</v>
      </c>
      <c r="D1190" s="2">
        <v>1727.3874906200003</v>
      </c>
      <c r="E1190" s="2">
        <v>1675.5658659014002</v>
      </c>
      <c r="F1190" s="2">
        <v>1625.2988899243583</v>
      </c>
      <c r="G1190" s="2">
        <v>1576.5399232266275</v>
      </c>
      <c r="H1190" s="2">
        <v>1529.2437255298287</v>
      </c>
      <c r="I1190" s="2">
        <v>1483.3664137639337</v>
      </c>
      <c r="J1190" s="2">
        <v>1438.8654213510156</v>
      </c>
      <c r="K1190" s="2">
        <v>1395.699458710485</v>
      </c>
      <c r="L1190" s="2">
        <v>1353.8284749491704</v>
      </c>
      <c r="M1190" s="2">
        <v>1313.2136207006952</v>
      </c>
      <c r="N1190" s="2">
        <v>1273.8172120796744</v>
      </c>
      <c r="O1190" s="2">
        <v>1235.6026957172842</v>
      </c>
    </row>
    <row r="1191" spans="1:15" x14ac:dyDescent="0.25">
      <c r="A1191" t="s">
        <v>3506</v>
      </c>
      <c r="B1191" t="s">
        <v>3507</v>
      </c>
      <c r="C1191" s="2">
        <v>1775.0318080000004</v>
      </c>
      <c r="D1191" s="2">
        <v>1721.7808537600004</v>
      </c>
      <c r="E1191" s="2">
        <v>1670.1274281472004</v>
      </c>
      <c r="F1191" s="2">
        <v>1620.0236053027843</v>
      </c>
      <c r="G1191" s="2">
        <v>1571.4228971437008</v>
      </c>
      <c r="H1191" s="2">
        <v>1524.2802102293897</v>
      </c>
      <c r="I1191" s="2">
        <v>1478.551803922508</v>
      </c>
      <c r="J1191" s="2">
        <v>1434.1952498048327</v>
      </c>
      <c r="K1191" s="2">
        <v>1391.1693923106877</v>
      </c>
      <c r="L1191" s="2">
        <v>1349.434310541367</v>
      </c>
      <c r="M1191" s="2">
        <v>1308.951281225126</v>
      </c>
      <c r="N1191" s="2">
        <v>1269.6827427883723</v>
      </c>
      <c r="O1191" s="2">
        <v>1231.592260504721</v>
      </c>
    </row>
    <row r="1192" spans="1:15" x14ac:dyDescent="0.25">
      <c r="A1192" t="s">
        <v>3508</v>
      </c>
      <c r="B1192" t="s">
        <v>3492</v>
      </c>
      <c r="C1192" s="2">
        <v>1772.4410880000003</v>
      </c>
      <c r="D1192" s="2">
        <v>1719.2678553600001</v>
      </c>
      <c r="E1192" s="2">
        <v>1667.6898196992001</v>
      </c>
      <c r="F1192" s="2">
        <v>1617.6591251082241</v>
      </c>
      <c r="G1192" s="2">
        <v>1569.1293513549774</v>
      </c>
      <c r="H1192" s="2">
        <v>1522.0554708143281</v>
      </c>
      <c r="I1192" s="2">
        <v>1476.3938066898982</v>
      </c>
      <c r="J1192" s="2">
        <v>1432.1019924892012</v>
      </c>
      <c r="K1192" s="2">
        <v>1389.138932714525</v>
      </c>
      <c r="L1192" s="2">
        <v>1347.4647647330892</v>
      </c>
      <c r="M1192" s="2">
        <v>1307.0408217910965</v>
      </c>
      <c r="N1192" s="2">
        <v>1267.8295971373636</v>
      </c>
      <c r="O1192" s="2">
        <v>1229.7947092232428</v>
      </c>
    </row>
    <row r="1193" spans="1:15" x14ac:dyDescent="0.25">
      <c r="A1193" t="s">
        <v>3509</v>
      </c>
      <c r="B1193" t="s">
        <v>3510</v>
      </c>
      <c r="C1193" s="2">
        <v>1772.4248960000002</v>
      </c>
      <c r="D1193" s="2">
        <v>1719.2521491200002</v>
      </c>
      <c r="E1193" s="2">
        <v>1667.6745846464003</v>
      </c>
      <c r="F1193" s="2">
        <v>1617.6443471070081</v>
      </c>
      <c r="G1193" s="2">
        <v>1569.1150166937978</v>
      </c>
      <c r="H1193" s="2">
        <v>1522.0415661929837</v>
      </c>
      <c r="I1193" s="2">
        <v>1476.3803192071941</v>
      </c>
      <c r="J1193" s="2">
        <v>1432.0889096309784</v>
      </c>
      <c r="K1193" s="2">
        <v>1389.126242342049</v>
      </c>
      <c r="L1193" s="2">
        <v>1347.4524550717874</v>
      </c>
      <c r="M1193" s="2">
        <v>1307.0288814196338</v>
      </c>
      <c r="N1193" s="2">
        <v>1267.8180149770446</v>
      </c>
      <c r="O1193" s="2">
        <v>1229.7834745277332</v>
      </c>
    </row>
    <row r="1194" spans="1:15" x14ac:dyDescent="0.25">
      <c r="A1194" t="s">
        <v>3511</v>
      </c>
      <c r="B1194" t="s">
        <v>3512</v>
      </c>
      <c r="C1194" s="2">
        <v>1770.7814080000003</v>
      </c>
      <c r="D1194" s="2">
        <v>1717.6579657600003</v>
      </c>
      <c r="E1194" s="2">
        <v>1666.1282267872002</v>
      </c>
      <c r="F1194" s="2">
        <v>1616.1443799835843</v>
      </c>
      <c r="G1194" s="2">
        <v>1567.6600485840768</v>
      </c>
      <c r="H1194" s="2">
        <v>1520.6302471265544</v>
      </c>
      <c r="I1194" s="2">
        <v>1475.0113397127577</v>
      </c>
      <c r="J1194" s="2">
        <v>1430.760999521375</v>
      </c>
      <c r="K1194" s="2">
        <v>1387.8381695357336</v>
      </c>
      <c r="L1194" s="2">
        <v>1346.2030244496616</v>
      </c>
      <c r="M1194" s="2">
        <v>1305.8169337161717</v>
      </c>
      <c r="N1194" s="2">
        <v>1266.6424257046865</v>
      </c>
      <c r="O1194" s="2">
        <v>1228.6431529335459</v>
      </c>
    </row>
    <row r="1195" spans="1:15" x14ac:dyDescent="0.25">
      <c r="A1195" t="s">
        <v>3513</v>
      </c>
      <c r="B1195" t="s">
        <v>3514</v>
      </c>
      <c r="C1195" s="2">
        <v>1764.1411700000001</v>
      </c>
      <c r="D1195" s="2">
        <v>1711.2169349000001</v>
      </c>
      <c r="E1195" s="2">
        <v>1659.880426853</v>
      </c>
      <c r="F1195" s="2">
        <v>1610.0840140474099</v>
      </c>
      <c r="G1195" s="2">
        <v>1561.7814936259877</v>
      </c>
      <c r="H1195" s="2">
        <v>1514.928048817208</v>
      </c>
      <c r="I1195" s="2">
        <v>1469.4802073526917</v>
      </c>
      <c r="J1195" s="2">
        <v>1425.3958011321108</v>
      </c>
      <c r="K1195" s="2">
        <v>1382.6339270981475</v>
      </c>
      <c r="L1195" s="2">
        <v>1341.1549092852031</v>
      </c>
      <c r="M1195" s="2">
        <v>1300.9202620066469</v>
      </c>
      <c r="N1195" s="2">
        <v>1261.8926541464475</v>
      </c>
      <c r="O1195" s="2">
        <v>1224.035874522054</v>
      </c>
    </row>
    <row r="1196" spans="1:15" x14ac:dyDescent="0.25">
      <c r="A1196" t="s">
        <v>1120</v>
      </c>
      <c r="B1196" t="s">
        <v>3515</v>
      </c>
      <c r="C1196" s="2">
        <v>1760.3390860000002</v>
      </c>
      <c r="D1196" s="2">
        <v>1707.5289134200002</v>
      </c>
      <c r="E1196" s="2">
        <v>1656.3030460174002</v>
      </c>
      <c r="F1196" s="2">
        <v>1606.6139546368781</v>
      </c>
      <c r="G1196" s="2">
        <v>1558.4155359977717</v>
      </c>
      <c r="H1196" s="2">
        <v>1511.6630699178386</v>
      </c>
      <c r="I1196" s="2">
        <v>1466.3131778203033</v>
      </c>
      <c r="J1196" s="2">
        <v>1422.3237824856942</v>
      </c>
      <c r="K1196" s="2">
        <v>1379.6540690111233</v>
      </c>
      <c r="L1196" s="2">
        <v>1338.2644469407896</v>
      </c>
      <c r="M1196" s="2">
        <v>1298.1165135325659</v>
      </c>
      <c r="N1196" s="2">
        <v>1259.1730181265889</v>
      </c>
      <c r="O1196" s="2">
        <v>1221.3978275827913</v>
      </c>
    </row>
    <row r="1197" spans="1:15" x14ac:dyDescent="0.25">
      <c r="A1197" t="s">
        <v>3516</v>
      </c>
      <c r="B1197" t="s">
        <v>3517</v>
      </c>
      <c r="C1197" s="2">
        <v>1754.3141440000002</v>
      </c>
      <c r="D1197" s="2">
        <v>1701.6847196800002</v>
      </c>
      <c r="E1197" s="2">
        <v>1650.6341780896</v>
      </c>
      <c r="F1197" s="2">
        <v>1601.1151527469119</v>
      </c>
      <c r="G1197" s="2">
        <v>1553.0816981645046</v>
      </c>
      <c r="H1197" s="2">
        <v>1506.4892472195695</v>
      </c>
      <c r="I1197" s="2">
        <v>1461.2945698029823</v>
      </c>
      <c r="J1197" s="2">
        <v>1417.4557327088928</v>
      </c>
      <c r="K1197" s="2">
        <v>1374.9320607276261</v>
      </c>
      <c r="L1197" s="2">
        <v>1333.6840989057973</v>
      </c>
      <c r="M1197" s="2">
        <v>1293.6735759386233</v>
      </c>
      <c r="N1197" s="2">
        <v>1254.8633686604646</v>
      </c>
      <c r="O1197" s="2">
        <v>1217.2174676006507</v>
      </c>
    </row>
    <row r="1198" spans="1:15" x14ac:dyDescent="0.25">
      <c r="A1198" t="s">
        <v>3518</v>
      </c>
      <c r="B1198" t="s">
        <v>3519</v>
      </c>
      <c r="C1198" s="2">
        <v>1747.0763200000001</v>
      </c>
      <c r="D1198" s="2">
        <v>1694.6640304</v>
      </c>
      <c r="E1198" s="2">
        <v>1643.824109488</v>
      </c>
      <c r="F1198" s="2">
        <v>1594.50938620336</v>
      </c>
      <c r="G1198" s="2">
        <v>1546.6741046172592</v>
      </c>
      <c r="H1198" s="2">
        <v>1500.2738814787415</v>
      </c>
      <c r="I1198" s="2">
        <v>1455.2656650343793</v>
      </c>
      <c r="J1198" s="2">
        <v>1411.6076950833478</v>
      </c>
      <c r="K1198" s="2">
        <v>1369.2594642308475</v>
      </c>
      <c r="L1198" s="2">
        <v>1328.1816803039221</v>
      </c>
      <c r="M1198" s="2">
        <v>1288.3362298948043</v>
      </c>
      <c r="N1198" s="2">
        <v>1249.6861429979601</v>
      </c>
      <c r="O1198" s="2">
        <v>1212.1955587080213</v>
      </c>
    </row>
    <row r="1199" spans="1:15" x14ac:dyDescent="0.25">
      <c r="A1199" t="s">
        <v>3520</v>
      </c>
      <c r="B1199" t="s">
        <v>3521</v>
      </c>
      <c r="C1199" s="2">
        <v>1737.8468800000005</v>
      </c>
      <c r="D1199" s="2">
        <v>1685.7114736000005</v>
      </c>
      <c r="E1199" s="2">
        <v>1635.1401293920005</v>
      </c>
      <c r="F1199" s="2">
        <v>1586.0859255102405</v>
      </c>
      <c r="G1199" s="2">
        <v>1538.5033477449333</v>
      </c>
      <c r="H1199" s="2">
        <v>1492.3482473125853</v>
      </c>
      <c r="I1199" s="2">
        <v>1447.5777998932076</v>
      </c>
      <c r="J1199" s="2">
        <v>1404.1504658964113</v>
      </c>
      <c r="K1199" s="2">
        <v>1362.025951919519</v>
      </c>
      <c r="L1199" s="2">
        <v>1321.1651733619333</v>
      </c>
      <c r="M1199" s="2">
        <v>1281.5302181610753</v>
      </c>
      <c r="N1199" s="2">
        <v>1243.084311616243</v>
      </c>
      <c r="O1199" s="2">
        <v>1205.7917822677557</v>
      </c>
    </row>
    <row r="1200" spans="1:15" x14ac:dyDescent="0.25">
      <c r="A1200" t="s">
        <v>3522</v>
      </c>
      <c r="B1200" t="s">
        <v>3523</v>
      </c>
      <c r="C1200" s="2">
        <v>1728.6417280000003</v>
      </c>
      <c r="D1200" s="2">
        <v>1676.7824761600002</v>
      </c>
      <c r="E1200" s="2">
        <v>1626.4790018752001</v>
      </c>
      <c r="F1200" s="2">
        <v>1577.6846318189441</v>
      </c>
      <c r="G1200" s="2">
        <v>1530.3540928643758</v>
      </c>
      <c r="H1200" s="2">
        <v>1484.4434700784445</v>
      </c>
      <c r="I1200" s="2">
        <v>1439.9101659760911</v>
      </c>
      <c r="J1200" s="2">
        <v>1396.7128609968083</v>
      </c>
      <c r="K1200" s="2">
        <v>1354.8114751669041</v>
      </c>
      <c r="L1200" s="2">
        <v>1314.1671309118969</v>
      </c>
      <c r="M1200" s="2">
        <v>1274.74211698454</v>
      </c>
      <c r="N1200" s="2">
        <v>1236.4998534750036</v>
      </c>
      <c r="O1200" s="2">
        <v>1199.4048578707534</v>
      </c>
    </row>
    <row r="1201" spans="1:15" x14ac:dyDescent="0.25">
      <c r="A1201" t="s">
        <v>3524</v>
      </c>
      <c r="B1201" t="s">
        <v>3525</v>
      </c>
      <c r="C1201" s="2">
        <v>1728.3664640000004</v>
      </c>
      <c r="D1201" s="2">
        <v>1676.5154700800003</v>
      </c>
      <c r="E1201" s="2">
        <v>1626.2200059776003</v>
      </c>
      <c r="F1201" s="2">
        <v>1577.4334057982721</v>
      </c>
      <c r="G1201" s="2">
        <v>1530.1104036243239</v>
      </c>
      <c r="H1201" s="2">
        <v>1484.2070915155941</v>
      </c>
      <c r="I1201" s="2">
        <v>1439.6808787701264</v>
      </c>
      <c r="J1201" s="2">
        <v>1396.4904524070225</v>
      </c>
      <c r="K1201" s="2">
        <v>1354.5957388348118</v>
      </c>
      <c r="L1201" s="2">
        <v>1313.9578666697673</v>
      </c>
      <c r="M1201" s="2">
        <v>1274.5391306696743</v>
      </c>
      <c r="N1201" s="2">
        <v>1236.3029567495839</v>
      </c>
      <c r="O1201" s="2">
        <v>1199.2138680470964</v>
      </c>
    </row>
    <row r="1202" spans="1:15" x14ac:dyDescent="0.25">
      <c r="A1202" t="s">
        <v>3526</v>
      </c>
      <c r="B1202" t="s">
        <v>3527</v>
      </c>
      <c r="C1202" s="2">
        <v>1728.1235840000004</v>
      </c>
      <c r="D1202" s="2">
        <v>1676.2798764800004</v>
      </c>
      <c r="E1202" s="2">
        <v>1625.9914801856005</v>
      </c>
      <c r="F1202" s="2">
        <v>1577.2117357800325</v>
      </c>
      <c r="G1202" s="2">
        <v>1529.8953837066315</v>
      </c>
      <c r="H1202" s="2">
        <v>1483.9985221954325</v>
      </c>
      <c r="I1202" s="2">
        <v>1439.4785665295694</v>
      </c>
      <c r="J1202" s="2">
        <v>1396.2942095336823</v>
      </c>
      <c r="K1202" s="2">
        <v>1354.4053832476718</v>
      </c>
      <c r="L1202" s="2">
        <v>1313.7732217502416</v>
      </c>
      <c r="M1202" s="2">
        <v>1274.3600250977343</v>
      </c>
      <c r="N1202" s="2">
        <v>1236.1292243448022</v>
      </c>
      <c r="O1202" s="2">
        <v>1199.045347614458</v>
      </c>
    </row>
    <row r="1203" spans="1:15" x14ac:dyDescent="0.25">
      <c r="A1203" t="s">
        <v>3528</v>
      </c>
      <c r="B1203" t="s">
        <v>3529</v>
      </c>
      <c r="C1203" s="2">
        <v>1723.8650880000005</v>
      </c>
      <c r="D1203" s="2">
        <v>1672.1491353600004</v>
      </c>
      <c r="E1203" s="2">
        <v>1621.9846612992003</v>
      </c>
      <c r="F1203" s="2">
        <v>1573.3251214602242</v>
      </c>
      <c r="G1203" s="2">
        <v>1526.1253678164173</v>
      </c>
      <c r="H1203" s="2">
        <v>1480.3416067819248</v>
      </c>
      <c r="I1203" s="2">
        <v>1435.9313585784671</v>
      </c>
      <c r="J1203" s="2">
        <v>1392.853417821113</v>
      </c>
      <c r="K1203" s="2">
        <v>1351.0678152864796</v>
      </c>
      <c r="L1203" s="2">
        <v>1310.5357808278852</v>
      </c>
      <c r="M1203" s="2">
        <v>1271.2197074030487</v>
      </c>
      <c r="N1203" s="2">
        <v>1233.0831161809572</v>
      </c>
      <c r="O1203" s="2">
        <v>1196.0906226955285</v>
      </c>
    </row>
    <row r="1204" spans="1:15" x14ac:dyDescent="0.25">
      <c r="A1204" t="s">
        <v>3530</v>
      </c>
      <c r="B1204" t="s">
        <v>3531</v>
      </c>
      <c r="C1204" s="2">
        <v>1722.0343800000003</v>
      </c>
      <c r="D1204" s="2">
        <v>1670.3733486000003</v>
      </c>
      <c r="E1204" s="2">
        <v>1620.2621481420003</v>
      </c>
      <c r="F1204" s="2">
        <v>1571.6542836977403</v>
      </c>
      <c r="G1204" s="2">
        <v>1524.5046551868081</v>
      </c>
      <c r="H1204" s="2">
        <v>1478.7695155312038</v>
      </c>
      <c r="I1204" s="2">
        <v>1434.4064300652676</v>
      </c>
      <c r="J1204" s="2">
        <v>1391.3742371633095</v>
      </c>
      <c r="K1204" s="2">
        <v>1349.6330100484101</v>
      </c>
      <c r="L1204" s="2">
        <v>1309.1440197469578</v>
      </c>
      <c r="M1204" s="2">
        <v>1269.8696991545492</v>
      </c>
      <c r="N1204" s="2">
        <v>1231.7736081799126</v>
      </c>
      <c r="O1204" s="2">
        <v>1194.8203999345151</v>
      </c>
    </row>
    <row r="1205" spans="1:15" x14ac:dyDescent="0.25">
      <c r="A1205" t="s">
        <v>3532</v>
      </c>
      <c r="B1205" t="s">
        <v>3533</v>
      </c>
      <c r="C1205" s="2">
        <v>1719.5499200000002</v>
      </c>
      <c r="D1205" s="2">
        <v>1667.9634224000001</v>
      </c>
      <c r="E1205" s="2">
        <v>1617.9245197280002</v>
      </c>
      <c r="F1205" s="2">
        <v>1569.38678413616</v>
      </c>
      <c r="G1205" s="2">
        <v>1522.3051806120752</v>
      </c>
      <c r="H1205" s="2">
        <v>1476.6360251937128</v>
      </c>
      <c r="I1205" s="2">
        <v>1432.3369444379014</v>
      </c>
      <c r="J1205" s="2">
        <v>1389.3668361047644</v>
      </c>
      <c r="K1205" s="2">
        <v>1347.6858310216214</v>
      </c>
      <c r="L1205" s="2">
        <v>1307.2552560909728</v>
      </c>
      <c r="M1205" s="2">
        <v>1268.0375984082436</v>
      </c>
      <c r="N1205" s="2">
        <v>1229.9964704559964</v>
      </c>
      <c r="O1205" s="2">
        <v>1193.0965763423164</v>
      </c>
    </row>
    <row r="1206" spans="1:15" x14ac:dyDescent="0.25">
      <c r="A1206" t="s">
        <v>3534</v>
      </c>
      <c r="B1206" t="s">
        <v>3535</v>
      </c>
      <c r="C1206" s="2">
        <v>1717.5011260000003</v>
      </c>
      <c r="D1206" s="2">
        <v>1665.9760922200003</v>
      </c>
      <c r="E1206" s="2">
        <v>1615.9968094534001</v>
      </c>
      <c r="F1206" s="2">
        <v>1567.5169051697981</v>
      </c>
      <c r="G1206" s="2">
        <v>1520.4913980147041</v>
      </c>
      <c r="H1206" s="2">
        <v>1474.8766560742629</v>
      </c>
      <c r="I1206" s="2">
        <v>1430.6303563920349</v>
      </c>
      <c r="J1206" s="2">
        <v>1387.7114457002738</v>
      </c>
      <c r="K1206" s="2">
        <v>1346.0801023292656</v>
      </c>
      <c r="L1206" s="2">
        <v>1305.6976992593877</v>
      </c>
      <c r="M1206" s="2">
        <v>1266.5267682816061</v>
      </c>
      <c r="N1206" s="2">
        <v>1228.530965233158</v>
      </c>
      <c r="O1206" s="2">
        <v>1191.6750362761632</v>
      </c>
    </row>
    <row r="1207" spans="1:15" x14ac:dyDescent="0.25">
      <c r="A1207" t="s">
        <v>3536</v>
      </c>
      <c r="B1207" t="s">
        <v>3537</v>
      </c>
      <c r="C1207" s="2">
        <v>1715.8905280000001</v>
      </c>
      <c r="D1207" s="2">
        <v>1664.4138121600001</v>
      </c>
      <c r="E1207" s="2">
        <v>1614.4813977952001</v>
      </c>
      <c r="F1207" s="2">
        <v>1566.046955861344</v>
      </c>
      <c r="G1207" s="2">
        <v>1519.0655471855036</v>
      </c>
      <c r="H1207" s="2">
        <v>1473.4935807699385</v>
      </c>
      <c r="I1207" s="2">
        <v>1429.2887733468403</v>
      </c>
      <c r="J1207" s="2">
        <v>1386.410110146435</v>
      </c>
      <c r="K1207" s="2">
        <v>1344.817806842042</v>
      </c>
      <c r="L1207" s="2">
        <v>1304.4732726367808</v>
      </c>
      <c r="M1207" s="2">
        <v>1265.3390744576775</v>
      </c>
      <c r="N1207" s="2">
        <v>1227.3789022239471</v>
      </c>
      <c r="O1207" s="2">
        <v>1190.5575351572286</v>
      </c>
    </row>
    <row r="1208" spans="1:15" x14ac:dyDescent="0.25">
      <c r="A1208" t="s">
        <v>1152</v>
      </c>
      <c r="B1208" t="s">
        <v>1159</v>
      </c>
      <c r="C1208" s="2">
        <v>1715.3592280000003</v>
      </c>
      <c r="D1208" s="2">
        <v>1663.8984511600001</v>
      </c>
      <c r="E1208" s="2">
        <v>1613.9814976252001</v>
      </c>
      <c r="F1208" s="2">
        <v>1565.562052696444</v>
      </c>
      <c r="G1208" s="2">
        <v>1518.5951911155505</v>
      </c>
      <c r="H1208" s="2">
        <v>1473.0373353820839</v>
      </c>
      <c r="I1208" s="2">
        <v>1428.8462153206215</v>
      </c>
      <c r="J1208" s="2">
        <v>1385.9808288610027</v>
      </c>
      <c r="K1208" s="2">
        <v>1344.4014039951726</v>
      </c>
      <c r="L1208" s="2">
        <v>1304.0693618753173</v>
      </c>
      <c r="M1208" s="2">
        <v>1264.9472810190578</v>
      </c>
      <c r="N1208" s="2">
        <v>1226.998862588486</v>
      </c>
      <c r="O1208" s="2">
        <v>1190.1888967108314</v>
      </c>
    </row>
    <row r="1209" spans="1:15" x14ac:dyDescent="0.25">
      <c r="A1209" t="s">
        <v>3538</v>
      </c>
      <c r="B1209" t="s">
        <v>3539</v>
      </c>
      <c r="C1209" s="2">
        <v>1714.8785280000002</v>
      </c>
      <c r="D1209" s="2">
        <v>1663.4321721600002</v>
      </c>
      <c r="E1209" s="2">
        <v>1613.5292069952002</v>
      </c>
      <c r="F1209" s="2">
        <v>1565.123330785344</v>
      </c>
      <c r="G1209" s="2">
        <v>1518.1696308617836</v>
      </c>
      <c r="H1209" s="2">
        <v>1472.62454193593</v>
      </c>
      <c r="I1209" s="2">
        <v>1428.4458056778521</v>
      </c>
      <c r="J1209" s="2">
        <v>1385.5924315075165</v>
      </c>
      <c r="K1209" s="2">
        <v>1344.0246585622911</v>
      </c>
      <c r="L1209" s="2">
        <v>1303.7039188054223</v>
      </c>
      <c r="M1209" s="2">
        <v>1264.5928012412596</v>
      </c>
      <c r="N1209" s="2">
        <v>1226.6550172040218</v>
      </c>
      <c r="O1209" s="2">
        <v>1189.8553666879011</v>
      </c>
    </row>
    <row r="1210" spans="1:15" x14ac:dyDescent="0.25">
      <c r="A1210" t="s">
        <v>3540</v>
      </c>
      <c r="B1210" t="s">
        <v>3541</v>
      </c>
      <c r="C1210" s="2">
        <v>1712.0990700000002</v>
      </c>
      <c r="D1210" s="2">
        <v>1660.7360979000002</v>
      </c>
      <c r="E1210" s="2">
        <v>1610.9140149630002</v>
      </c>
      <c r="F1210" s="2">
        <v>1562.5865945141102</v>
      </c>
      <c r="G1210" s="2">
        <v>1515.7089966786868</v>
      </c>
      <c r="H1210" s="2">
        <v>1470.2377267783263</v>
      </c>
      <c r="I1210" s="2">
        <v>1426.1305949749765</v>
      </c>
      <c r="J1210" s="2">
        <v>1383.3466771257272</v>
      </c>
      <c r="K1210" s="2">
        <v>1341.8462768119552</v>
      </c>
      <c r="L1210" s="2">
        <v>1301.5908885075964</v>
      </c>
      <c r="M1210" s="2">
        <v>1262.5431618523685</v>
      </c>
      <c r="N1210" s="2">
        <v>1224.6668669967974</v>
      </c>
      <c r="O1210" s="2">
        <v>1187.9268609868934</v>
      </c>
    </row>
    <row r="1211" spans="1:15" x14ac:dyDescent="0.25">
      <c r="A1211" t="s">
        <v>3542</v>
      </c>
      <c r="B1211" t="s">
        <v>3543</v>
      </c>
      <c r="C1211" s="2">
        <v>1710.7495680000002</v>
      </c>
      <c r="D1211" s="2">
        <v>1659.4270809600002</v>
      </c>
      <c r="E1211" s="2">
        <v>1609.6442685312002</v>
      </c>
      <c r="F1211" s="2">
        <v>1561.3549404752641</v>
      </c>
      <c r="G1211" s="2">
        <v>1514.5142922610062</v>
      </c>
      <c r="H1211" s="2">
        <v>1469.078863493176</v>
      </c>
      <c r="I1211" s="2">
        <v>1425.0064975883806</v>
      </c>
      <c r="J1211" s="2">
        <v>1382.2563026607293</v>
      </c>
      <c r="K1211" s="2">
        <v>1340.7886135809074</v>
      </c>
      <c r="L1211" s="2">
        <v>1300.56495517348</v>
      </c>
      <c r="M1211" s="2">
        <v>1261.5480065182755</v>
      </c>
      <c r="N1211" s="2">
        <v>1223.7015663227273</v>
      </c>
      <c r="O1211" s="2">
        <v>1186.9905193330455</v>
      </c>
    </row>
    <row r="1212" spans="1:15" x14ac:dyDescent="0.25">
      <c r="A1212" t="s">
        <v>3544</v>
      </c>
      <c r="B1212" t="s">
        <v>3545</v>
      </c>
      <c r="C1212" s="2">
        <v>1709.3246720000004</v>
      </c>
      <c r="D1212" s="2">
        <v>1658.0449318400003</v>
      </c>
      <c r="E1212" s="2">
        <v>1608.3035838848002</v>
      </c>
      <c r="F1212" s="2">
        <v>1560.0544763682562</v>
      </c>
      <c r="G1212" s="2">
        <v>1513.2528420772085</v>
      </c>
      <c r="H1212" s="2">
        <v>1467.8552568148921</v>
      </c>
      <c r="I1212" s="2">
        <v>1423.8195991104453</v>
      </c>
      <c r="J1212" s="2">
        <v>1381.1050111371319</v>
      </c>
      <c r="K1212" s="2">
        <v>1339.6718608030178</v>
      </c>
      <c r="L1212" s="2">
        <v>1299.4817049789272</v>
      </c>
      <c r="M1212" s="2">
        <v>1260.4972538295592</v>
      </c>
      <c r="N1212" s="2">
        <v>1222.6823362146724</v>
      </c>
      <c r="O1212" s="2">
        <v>1186.0018661282322</v>
      </c>
    </row>
    <row r="1213" spans="1:15" x14ac:dyDescent="0.25">
      <c r="A1213" t="s">
        <v>3546</v>
      </c>
      <c r="B1213" t="s">
        <v>3547</v>
      </c>
      <c r="C1213" s="2">
        <v>1709.2680000000003</v>
      </c>
      <c r="D1213" s="2">
        <v>1657.9899600000001</v>
      </c>
      <c r="E1213" s="2">
        <v>1608.2502612000001</v>
      </c>
      <c r="F1213" s="2">
        <v>1560.002753364</v>
      </c>
      <c r="G1213" s="2">
        <v>1513.2026707630801</v>
      </c>
      <c r="H1213" s="2">
        <v>1467.8065906401876</v>
      </c>
      <c r="I1213" s="2">
        <v>1423.7723929209819</v>
      </c>
      <c r="J1213" s="2">
        <v>1381.0592211333524</v>
      </c>
      <c r="K1213" s="2">
        <v>1339.6274444993517</v>
      </c>
      <c r="L1213" s="2">
        <v>1299.4386211643712</v>
      </c>
      <c r="M1213" s="2">
        <v>1260.45546252944</v>
      </c>
      <c r="N1213" s="2">
        <v>1222.6417986535566</v>
      </c>
      <c r="O1213" s="2">
        <v>1185.9625446939499</v>
      </c>
    </row>
    <row r="1214" spans="1:15" x14ac:dyDescent="0.25">
      <c r="A1214" t="s">
        <v>3548</v>
      </c>
      <c r="B1214" t="s">
        <v>3549</v>
      </c>
      <c r="C1214" s="2">
        <v>1708.5312640000002</v>
      </c>
      <c r="D1214" s="2">
        <v>1657.2753260800002</v>
      </c>
      <c r="E1214" s="2">
        <v>1607.5570662976002</v>
      </c>
      <c r="F1214" s="2">
        <v>1559.3303543086722</v>
      </c>
      <c r="G1214" s="2">
        <v>1512.550443679412</v>
      </c>
      <c r="H1214" s="2">
        <v>1467.1739303690294</v>
      </c>
      <c r="I1214" s="2">
        <v>1423.1587124579585</v>
      </c>
      <c r="J1214" s="2">
        <v>1380.4639510842196</v>
      </c>
      <c r="K1214" s="2">
        <v>1339.050032551693</v>
      </c>
      <c r="L1214" s="2">
        <v>1298.8785315751422</v>
      </c>
      <c r="M1214" s="2">
        <v>1259.912175627888</v>
      </c>
      <c r="N1214" s="2">
        <v>1222.1148103590513</v>
      </c>
      <c r="O1214" s="2">
        <v>1185.4513660482796</v>
      </c>
    </row>
    <row r="1215" spans="1:15" x14ac:dyDescent="0.25">
      <c r="A1215" t="s">
        <v>3550</v>
      </c>
      <c r="B1215" t="s">
        <v>3551</v>
      </c>
      <c r="C1215" s="2">
        <v>1708.385536</v>
      </c>
      <c r="D1215" s="2">
        <v>1657.13396992</v>
      </c>
      <c r="E1215" s="2">
        <v>1607.4199508223999</v>
      </c>
      <c r="F1215" s="2">
        <v>1559.1973522977278</v>
      </c>
      <c r="G1215" s="2">
        <v>1512.4214317287958</v>
      </c>
      <c r="H1215" s="2">
        <v>1467.0487887769318</v>
      </c>
      <c r="I1215" s="2">
        <v>1423.0373251136239</v>
      </c>
      <c r="J1215" s="2">
        <v>1380.3462053602152</v>
      </c>
      <c r="K1215" s="2">
        <v>1338.9358191994088</v>
      </c>
      <c r="L1215" s="2">
        <v>1298.7677446234266</v>
      </c>
      <c r="M1215" s="2">
        <v>1259.8047122847238</v>
      </c>
      <c r="N1215" s="2">
        <v>1222.0105709161821</v>
      </c>
      <c r="O1215" s="2">
        <v>1185.3502537886966</v>
      </c>
    </row>
    <row r="1216" spans="1:15" x14ac:dyDescent="0.25">
      <c r="A1216" t="s">
        <v>3552</v>
      </c>
      <c r="B1216" t="s">
        <v>3553</v>
      </c>
      <c r="C1216" s="2">
        <v>1707.0496960000005</v>
      </c>
      <c r="D1216" s="2">
        <v>1655.8382051200003</v>
      </c>
      <c r="E1216" s="2">
        <v>1606.1630589664003</v>
      </c>
      <c r="F1216" s="2">
        <v>1557.9781671974083</v>
      </c>
      <c r="G1216" s="2">
        <v>1511.2388221814861</v>
      </c>
      <c r="H1216" s="2">
        <v>1465.9016575160415</v>
      </c>
      <c r="I1216" s="2">
        <v>1421.9246077905602</v>
      </c>
      <c r="J1216" s="2">
        <v>1379.2668695568434</v>
      </c>
      <c r="K1216" s="2">
        <v>1337.8888634701382</v>
      </c>
      <c r="L1216" s="2">
        <v>1297.7521975660341</v>
      </c>
      <c r="M1216" s="2">
        <v>1258.8196316390529</v>
      </c>
      <c r="N1216" s="2">
        <v>1221.0550426898812</v>
      </c>
      <c r="O1216" s="2">
        <v>1184.4233914091849</v>
      </c>
    </row>
    <row r="1217" spans="1:15" x14ac:dyDescent="0.25">
      <c r="A1217" t="s">
        <v>3554</v>
      </c>
      <c r="B1217" t="s">
        <v>3555</v>
      </c>
      <c r="C1217" s="2">
        <v>1705.7300480000004</v>
      </c>
      <c r="D1217" s="2">
        <v>1654.5581465600003</v>
      </c>
      <c r="E1217" s="2">
        <v>1604.9214021632004</v>
      </c>
      <c r="F1217" s="2">
        <v>1556.7737600983044</v>
      </c>
      <c r="G1217" s="2">
        <v>1510.0705472953553</v>
      </c>
      <c r="H1217" s="2">
        <v>1464.7684308764944</v>
      </c>
      <c r="I1217" s="2">
        <v>1420.8253779501995</v>
      </c>
      <c r="J1217" s="2">
        <v>1378.2006166116935</v>
      </c>
      <c r="K1217" s="2">
        <v>1336.8545981133427</v>
      </c>
      <c r="L1217" s="2">
        <v>1296.7489601699424</v>
      </c>
      <c r="M1217" s="2">
        <v>1257.846491364844</v>
      </c>
      <c r="N1217" s="2">
        <v>1220.1110966238987</v>
      </c>
      <c r="O1217" s="2">
        <v>1183.5077637251816</v>
      </c>
    </row>
    <row r="1218" spans="1:15" x14ac:dyDescent="0.25">
      <c r="A1218" t="s">
        <v>3556</v>
      </c>
      <c r="B1218" t="s">
        <v>3557</v>
      </c>
      <c r="C1218" s="2">
        <v>1702.7831040000001</v>
      </c>
      <c r="D1218" s="2">
        <v>1651.6996108800001</v>
      </c>
      <c r="E1218" s="2">
        <v>1602.1486225536</v>
      </c>
      <c r="F1218" s="2">
        <v>1554.0841638769921</v>
      </c>
      <c r="G1218" s="2">
        <v>1507.4616389606822</v>
      </c>
      <c r="H1218" s="2">
        <v>1462.2377897918616</v>
      </c>
      <c r="I1218" s="2">
        <v>1418.3706560981057</v>
      </c>
      <c r="J1218" s="2">
        <v>1375.8195364151625</v>
      </c>
      <c r="K1218" s="2">
        <v>1334.5449503227076</v>
      </c>
      <c r="L1218" s="2">
        <v>1294.5086018130262</v>
      </c>
      <c r="M1218" s="2">
        <v>1255.6733437586354</v>
      </c>
      <c r="N1218" s="2">
        <v>1218.0031434458763</v>
      </c>
      <c r="O1218" s="2">
        <v>1181.4630491425</v>
      </c>
    </row>
    <row r="1219" spans="1:15" x14ac:dyDescent="0.25">
      <c r="A1219" t="s">
        <v>3558</v>
      </c>
      <c r="B1219" t="s">
        <v>3559</v>
      </c>
      <c r="C1219" s="2">
        <v>1702.7264320000004</v>
      </c>
      <c r="D1219" s="2">
        <v>1651.6446390400004</v>
      </c>
      <c r="E1219" s="2">
        <v>1602.0952998688003</v>
      </c>
      <c r="F1219" s="2">
        <v>1554.0324408727363</v>
      </c>
      <c r="G1219" s="2">
        <v>1507.4114676465542</v>
      </c>
      <c r="H1219" s="2">
        <v>1462.1891236171575</v>
      </c>
      <c r="I1219" s="2">
        <v>1418.3234499086427</v>
      </c>
      <c r="J1219" s="2">
        <v>1375.7737464113834</v>
      </c>
      <c r="K1219" s="2">
        <v>1334.5005340190419</v>
      </c>
      <c r="L1219" s="2">
        <v>1294.4655179984707</v>
      </c>
      <c r="M1219" s="2">
        <v>1255.6315524585166</v>
      </c>
      <c r="N1219" s="2">
        <v>1217.9626058847612</v>
      </c>
      <c r="O1219" s="2">
        <v>1181.4237277082184</v>
      </c>
    </row>
    <row r="1220" spans="1:15" x14ac:dyDescent="0.25">
      <c r="A1220" t="s">
        <v>3560</v>
      </c>
      <c r="B1220" t="s">
        <v>3561</v>
      </c>
      <c r="C1220" s="2">
        <v>1701.7144320000002</v>
      </c>
      <c r="D1220" s="2">
        <v>1650.6629990400002</v>
      </c>
      <c r="E1220" s="2">
        <v>1601.1431090688002</v>
      </c>
      <c r="F1220" s="2">
        <v>1553.1088157967361</v>
      </c>
      <c r="G1220" s="2">
        <v>1506.515551322834</v>
      </c>
      <c r="H1220" s="2">
        <v>1461.320084783149</v>
      </c>
      <c r="I1220" s="2">
        <v>1417.4804822396545</v>
      </c>
      <c r="J1220" s="2">
        <v>1374.9560677724648</v>
      </c>
      <c r="K1220" s="2">
        <v>1333.7073857392909</v>
      </c>
      <c r="L1220" s="2">
        <v>1293.6961641671121</v>
      </c>
      <c r="M1220" s="2">
        <v>1254.8852792420987</v>
      </c>
      <c r="N1220" s="2">
        <v>1217.2387208648356</v>
      </c>
      <c r="O1220" s="2">
        <v>1180.7215592388904</v>
      </c>
    </row>
    <row r="1221" spans="1:15" x14ac:dyDescent="0.25">
      <c r="A1221" t="s">
        <v>3562</v>
      </c>
      <c r="B1221" t="s">
        <v>3563</v>
      </c>
      <c r="C1221" s="2">
        <v>1698.8646400000005</v>
      </c>
      <c r="D1221" s="2">
        <v>1647.8987008000004</v>
      </c>
      <c r="E1221" s="2">
        <v>1598.4617397760003</v>
      </c>
      <c r="F1221" s="2">
        <v>1550.5078875827203</v>
      </c>
      <c r="G1221" s="2">
        <v>1503.9926509552386</v>
      </c>
      <c r="H1221" s="2">
        <v>1458.8728714265815</v>
      </c>
      <c r="I1221" s="2">
        <v>1415.1066852837839</v>
      </c>
      <c r="J1221" s="2">
        <v>1372.6534847252703</v>
      </c>
      <c r="K1221" s="2">
        <v>1331.4738801835122</v>
      </c>
      <c r="L1221" s="2">
        <v>1291.5296637780068</v>
      </c>
      <c r="M1221" s="2">
        <v>1252.7837738646665</v>
      </c>
      <c r="N1221" s="2">
        <v>1215.2002606487265</v>
      </c>
      <c r="O1221" s="2">
        <v>1178.7442528292647</v>
      </c>
    </row>
    <row r="1222" spans="1:15" x14ac:dyDescent="0.25">
      <c r="A1222" t="s">
        <v>3564</v>
      </c>
      <c r="B1222" t="s">
        <v>3565</v>
      </c>
      <c r="C1222" s="2">
        <v>1697.5288000000003</v>
      </c>
      <c r="D1222" s="2">
        <v>1646.6029360000002</v>
      </c>
      <c r="E1222" s="2">
        <v>1597.2048479200002</v>
      </c>
      <c r="F1222" s="2">
        <v>1549.2887024824001</v>
      </c>
      <c r="G1222" s="2">
        <v>1502.8100414079281</v>
      </c>
      <c r="H1222" s="2">
        <v>1457.7257401656902</v>
      </c>
      <c r="I1222" s="2">
        <v>1413.9939679607196</v>
      </c>
      <c r="J1222" s="2">
        <v>1371.5741489218981</v>
      </c>
      <c r="K1222" s="2">
        <v>1330.4269244542411</v>
      </c>
      <c r="L1222" s="2">
        <v>1290.5141167206139</v>
      </c>
      <c r="M1222" s="2">
        <v>1251.7986932189954</v>
      </c>
      <c r="N1222" s="2">
        <v>1214.2447324224254</v>
      </c>
      <c r="O1222" s="2">
        <v>1177.8173904497526</v>
      </c>
    </row>
    <row r="1223" spans="1:15" x14ac:dyDescent="0.25">
      <c r="A1223" t="s">
        <v>3566</v>
      </c>
      <c r="B1223" t="s">
        <v>3567</v>
      </c>
      <c r="C1223" s="2">
        <v>1696.2172480000004</v>
      </c>
      <c r="D1223" s="2">
        <v>1645.3307305600003</v>
      </c>
      <c r="E1223" s="2">
        <v>1595.9708086432004</v>
      </c>
      <c r="F1223" s="2">
        <v>1548.0916843839043</v>
      </c>
      <c r="G1223" s="2">
        <v>1501.648933852387</v>
      </c>
      <c r="H1223" s="2">
        <v>1456.5994658368154</v>
      </c>
      <c r="I1223" s="2">
        <v>1412.9014818617109</v>
      </c>
      <c r="J1223" s="2">
        <v>1370.5144374058596</v>
      </c>
      <c r="K1223" s="2">
        <v>1329.3990042836838</v>
      </c>
      <c r="L1223" s="2">
        <v>1289.5170341551732</v>
      </c>
      <c r="M1223" s="2">
        <v>1250.831523130518</v>
      </c>
      <c r="N1223" s="2">
        <v>1213.3065774366025</v>
      </c>
      <c r="O1223" s="2">
        <v>1176.9073801135044</v>
      </c>
    </row>
    <row r="1224" spans="1:15" x14ac:dyDescent="0.25">
      <c r="A1224" t="s">
        <v>3568</v>
      </c>
      <c r="B1224" t="s">
        <v>3569</v>
      </c>
      <c r="C1224" s="2">
        <v>1695.2538240000001</v>
      </c>
      <c r="D1224" s="2">
        <v>1644.39620928</v>
      </c>
      <c r="E1224" s="2">
        <v>1595.0643230015999</v>
      </c>
      <c r="F1224" s="2">
        <v>1547.2123933115518</v>
      </c>
      <c r="G1224" s="2">
        <v>1500.7960215122052</v>
      </c>
      <c r="H1224" s="2">
        <v>1455.772140866839</v>
      </c>
      <c r="I1224" s="2">
        <v>1412.0989766408338</v>
      </c>
      <c r="J1224" s="2">
        <v>1369.7360073416087</v>
      </c>
      <c r="K1224" s="2">
        <v>1328.6439271213603</v>
      </c>
      <c r="L1224" s="2">
        <v>1288.7846093077194</v>
      </c>
      <c r="M1224" s="2">
        <v>1250.1210710284877</v>
      </c>
      <c r="N1224" s="2">
        <v>1212.6174388976331</v>
      </c>
      <c r="O1224" s="2">
        <v>1176.2389157307041</v>
      </c>
    </row>
    <row r="1225" spans="1:15" x14ac:dyDescent="0.25">
      <c r="A1225" t="s">
        <v>3570</v>
      </c>
      <c r="B1225" t="s">
        <v>3571</v>
      </c>
      <c r="C1225" s="2">
        <v>1693.9908480000006</v>
      </c>
      <c r="D1225" s="2">
        <v>1643.1711225600006</v>
      </c>
      <c r="E1225" s="2">
        <v>1593.8759888832005</v>
      </c>
      <c r="F1225" s="2">
        <v>1546.0597092167045</v>
      </c>
      <c r="G1225" s="2">
        <v>1499.6779179402033</v>
      </c>
      <c r="H1225" s="2">
        <v>1454.6875804019971</v>
      </c>
      <c r="I1225" s="2">
        <v>1411.0469529899372</v>
      </c>
      <c r="J1225" s="2">
        <v>1368.715544400239</v>
      </c>
      <c r="K1225" s="2">
        <v>1327.6540780682317</v>
      </c>
      <c r="L1225" s="2">
        <v>1287.8244557261846</v>
      </c>
      <c r="M1225" s="2">
        <v>1249.189722054399</v>
      </c>
      <c r="N1225" s="2">
        <v>1211.714030392767</v>
      </c>
      <c r="O1225" s="2">
        <v>1175.362609480984</v>
      </c>
    </row>
    <row r="1226" spans="1:15" x14ac:dyDescent="0.25">
      <c r="A1226" t="s">
        <v>3572</v>
      </c>
      <c r="B1226" t="s">
        <v>3573</v>
      </c>
      <c r="C1226" s="2">
        <v>1692.3635520000003</v>
      </c>
      <c r="D1226" s="2">
        <v>1641.5926454400003</v>
      </c>
      <c r="E1226" s="2">
        <v>1592.3448660768001</v>
      </c>
      <c r="F1226" s="2">
        <v>1544.5745200944962</v>
      </c>
      <c r="G1226" s="2">
        <v>1498.2372844916613</v>
      </c>
      <c r="H1226" s="2">
        <v>1453.2901659569113</v>
      </c>
      <c r="I1226" s="2">
        <v>1409.6914609782038</v>
      </c>
      <c r="J1226" s="2">
        <v>1367.4007171488577</v>
      </c>
      <c r="K1226" s="2">
        <v>1326.378695634392</v>
      </c>
      <c r="L1226" s="2">
        <v>1286.5873347653601</v>
      </c>
      <c r="M1226" s="2">
        <v>1247.9897147223992</v>
      </c>
      <c r="N1226" s="2">
        <v>1210.5500232807271</v>
      </c>
      <c r="O1226" s="2">
        <v>1174.2335225823053</v>
      </c>
    </row>
    <row r="1227" spans="1:15" x14ac:dyDescent="0.25">
      <c r="A1227" t="s">
        <v>3574</v>
      </c>
      <c r="B1227" t="s">
        <v>3575</v>
      </c>
      <c r="C1227" s="2">
        <v>1691.3353600000003</v>
      </c>
      <c r="D1227" s="2">
        <v>1640.5952992000002</v>
      </c>
      <c r="E1227" s="2">
        <v>1591.3774402240001</v>
      </c>
      <c r="F1227" s="2">
        <v>1543.63611701728</v>
      </c>
      <c r="G1227" s="2">
        <v>1497.3270335067616</v>
      </c>
      <c r="H1227" s="2">
        <v>1452.4072225015586</v>
      </c>
      <c r="I1227" s="2">
        <v>1408.8350058265119</v>
      </c>
      <c r="J1227" s="2">
        <v>1366.5699556517166</v>
      </c>
      <c r="K1227" s="2">
        <v>1325.5728569821649</v>
      </c>
      <c r="L1227" s="2">
        <v>1285.8056712727</v>
      </c>
      <c r="M1227" s="2">
        <v>1247.231501134519</v>
      </c>
      <c r="N1227" s="2">
        <v>1209.8145561004835</v>
      </c>
      <c r="O1227" s="2">
        <v>1173.520119417469</v>
      </c>
    </row>
    <row r="1228" spans="1:15" x14ac:dyDescent="0.25">
      <c r="A1228" t="s">
        <v>3576</v>
      </c>
      <c r="B1228" t="s">
        <v>3577</v>
      </c>
      <c r="C1228" s="2">
        <v>1687.3278400000004</v>
      </c>
      <c r="D1228" s="2">
        <v>1636.7080048000003</v>
      </c>
      <c r="E1228" s="2">
        <v>1587.6067646560002</v>
      </c>
      <c r="F1228" s="2">
        <v>1539.9785617163202</v>
      </c>
      <c r="G1228" s="2">
        <v>1493.7792048648305</v>
      </c>
      <c r="H1228" s="2">
        <v>1448.9658287188856</v>
      </c>
      <c r="I1228" s="2">
        <v>1405.4968538573191</v>
      </c>
      <c r="J1228" s="2">
        <v>1363.3319482415995</v>
      </c>
      <c r="K1228" s="2">
        <v>1322.4319897943515</v>
      </c>
      <c r="L1228" s="2">
        <v>1282.7590301005209</v>
      </c>
      <c r="M1228" s="2">
        <v>1244.2762591975052</v>
      </c>
      <c r="N1228" s="2">
        <v>1206.94797142158</v>
      </c>
      <c r="O1228" s="2">
        <v>1170.7395322789325</v>
      </c>
    </row>
    <row r="1229" spans="1:15" x14ac:dyDescent="0.25">
      <c r="A1229" t="s">
        <v>3578</v>
      </c>
      <c r="B1229" t="s">
        <v>3579</v>
      </c>
      <c r="C1229" s="2">
        <v>1687.3278400000004</v>
      </c>
      <c r="D1229" s="2">
        <v>1636.7080048000003</v>
      </c>
      <c r="E1229" s="2">
        <v>1587.6067646560002</v>
      </c>
      <c r="F1229" s="2">
        <v>1539.9785617163202</v>
      </c>
      <c r="G1229" s="2">
        <v>1493.7792048648305</v>
      </c>
      <c r="H1229" s="2">
        <v>1448.9658287188856</v>
      </c>
      <c r="I1229" s="2">
        <v>1405.4968538573191</v>
      </c>
      <c r="J1229" s="2">
        <v>1363.3319482415995</v>
      </c>
      <c r="K1229" s="2">
        <v>1322.4319897943515</v>
      </c>
      <c r="L1229" s="2">
        <v>1282.7590301005209</v>
      </c>
      <c r="M1229" s="2">
        <v>1244.2762591975052</v>
      </c>
      <c r="N1229" s="2">
        <v>1206.94797142158</v>
      </c>
      <c r="O1229" s="2">
        <v>1170.7395322789325</v>
      </c>
    </row>
    <row r="1230" spans="1:15" x14ac:dyDescent="0.25">
      <c r="A1230" t="s">
        <v>3580</v>
      </c>
      <c r="B1230" t="s">
        <v>3581</v>
      </c>
      <c r="C1230" s="2">
        <v>1687.3278400000004</v>
      </c>
      <c r="D1230" s="2">
        <v>1636.7080048000003</v>
      </c>
      <c r="E1230" s="2">
        <v>1587.6067646560002</v>
      </c>
      <c r="F1230" s="2">
        <v>1539.9785617163202</v>
      </c>
      <c r="G1230" s="2">
        <v>1493.7792048648305</v>
      </c>
      <c r="H1230" s="2">
        <v>1448.9658287188856</v>
      </c>
      <c r="I1230" s="2">
        <v>1405.4968538573191</v>
      </c>
      <c r="J1230" s="2">
        <v>1363.3319482415995</v>
      </c>
      <c r="K1230" s="2">
        <v>1322.4319897943515</v>
      </c>
      <c r="L1230" s="2">
        <v>1282.7590301005209</v>
      </c>
      <c r="M1230" s="2">
        <v>1244.2762591975052</v>
      </c>
      <c r="N1230" s="2">
        <v>1206.94797142158</v>
      </c>
      <c r="O1230" s="2">
        <v>1170.7395322789325</v>
      </c>
    </row>
    <row r="1231" spans="1:15" x14ac:dyDescent="0.25">
      <c r="A1231" t="s">
        <v>3582</v>
      </c>
      <c r="B1231" t="s">
        <v>3583</v>
      </c>
      <c r="C1231" s="2">
        <v>1687.3278400000004</v>
      </c>
      <c r="D1231" s="2">
        <v>1636.7080048000003</v>
      </c>
      <c r="E1231" s="2">
        <v>1587.6067646560002</v>
      </c>
      <c r="F1231" s="2">
        <v>1539.9785617163202</v>
      </c>
      <c r="G1231" s="2">
        <v>1493.7792048648305</v>
      </c>
      <c r="H1231" s="2">
        <v>1448.9658287188856</v>
      </c>
      <c r="I1231" s="2">
        <v>1405.4968538573191</v>
      </c>
      <c r="J1231" s="2">
        <v>1363.3319482415995</v>
      </c>
      <c r="K1231" s="2">
        <v>1322.4319897943515</v>
      </c>
      <c r="L1231" s="2">
        <v>1282.7590301005209</v>
      </c>
      <c r="M1231" s="2">
        <v>1244.2762591975052</v>
      </c>
      <c r="N1231" s="2">
        <v>1206.94797142158</v>
      </c>
      <c r="O1231" s="2">
        <v>1170.7395322789325</v>
      </c>
    </row>
    <row r="1232" spans="1:15" x14ac:dyDescent="0.25">
      <c r="A1232" t="s">
        <v>3584</v>
      </c>
      <c r="B1232" t="s">
        <v>3585</v>
      </c>
      <c r="C1232" s="2">
        <v>1684.3889920000004</v>
      </c>
      <c r="D1232" s="2">
        <v>1633.8573222400003</v>
      </c>
      <c r="E1232" s="2">
        <v>1584.8416025728002</v>
      </c>
      <c r="F1232" s="2">
        <v>1537.2963544956162</v>
      </c>
      <c r="G1232" s="2">
        <v>1491.1774638607478</v>
      </c>
      <c r="H1232" s="2">
        <v>1446.4421399449254</v>
      </c>
      <c r="I1232" s="2">
        <v>1403.0488757465776</v>
      </c>
      <c r="J1232" s="2">
        <v>1360.9574094741802</v>
      </c>
      <c r="K1232" s="2">
        <v>1320.1286871899547</v>
      </c>
      <c r="L1232" s="2">
        <v>1280.5248265742559</v>
      </c>
      <c r="M1232" s="2">
        <v>1242.1090817770282</v>
      </c>
      <c r="N1232" s="2">
        <v>1204.8458093237173</v>
      </c>
      <c r="O1232" s="2">
        <v>1168.7004350440056</v>
      </c>
    </row>
    <row r="1233" spans="1:15" x14ac:dyDescent="0.25">
      <c r="A1233" t="s">
        <v>3586</v>
      </c>
      <c r="B1233" t="s">
        <v>3587</v>
      </c>
      <c r="C1233" s="2">
        <v>1683.7413120000001</v>
      </c>
      <c r="D1233" s="2">
        <v>1633.2290726400001</v>
      </c>
      <c r="E1233" s="2">
        <v>1584.2322004608002</v>
      </c>
      <c r="F1233" s="2">
        <v>1536.7052344469762</v>
      </c>
      <c r="G1233" s="2">
        <v>1490.6040774135668</v>
      </c>
      <c r="H1233" s="2">
        <v>1445.8859550911598</v>
      </c>
      <c r="I1233" s="2">
        <v>1402.5093764384249</v>
      </c>
      <c r="J1233" s="2">
        <v>1360.4340951452721</v>
      </c>
      <c r="K1233" s="2">
        <v>1319.6210722909138</v>
      </c>
      <c r="L1233" s="2">
        <v>1280.0324401221865</v>
      </c>
      <c r="M1233" s="2">
        <v>1241.6314669185208</v>
      </c>
      <c r="N1233" s="2">
        <v>1204.3825229109652</v>
      </c>
      <c r="O1233" s="2">
        <v>1168.2510472236363</v>
      </c>
    </row>
    <row r="1234" spans="1:15" x14ac:dyDescent="0.25">
      <c r="A1234" t="s">
        <v>3588</v>
      </c>
      <c r="B1234" t="s">
        <v>3589</v>
      </c>
      <c r="C1234" s="2">
        <v>1675.4914880000003</v>
      </c>
      <c r="D1234" s="2">
        <v>1625.2267433600002</v>
      </c>
      <c r="E1234" s="2">
        <v>1576.4699410592002</v>
      </c>
      <c r="F1234" s="2">
        <v>1529.175842827424</v>
      </c>
      <c r="G1234" s="2">
        <v>1483.3005675426014</v>
      </c>
      <c r="H1234" s="2">
        <v>1438.8015505163232</v>
      </c>
      <c r="I1234" s="2">
        <v>1395.6375040008336</v>
      </c>
      <c r="J1234" s="2">
        <v>1353.7683788808085</v>
      </c>
      <c r="K1234" s="2">
        <v>1313.1553275143842</v>
      </c>
      <c r="L1234" s="2">
        <v>1273.7606676889527</v>
      </c>
      <c r="M1234" s="2">
        <v>1235.5478476582841</v>
      </c>
      <c r="N1234" s="2">
        <v>1198.4814122285356</v>
      </c>
      <c r="O1234" s="2">
        <v>1162.5269698616796</v>
      </c>
    </row>
    <row r="1235" spans="1:15" x14ac:dyDescent="0.25">
      <c r="A1235" t="s">
        <v>3590</v>
      </c>
      <c r="B1235" t="s">
        <v>3591</v>
      </c>
      <c r="C1235" s="2">
        <v>1673.8641920000002</v>
      </c>
      <c r="D1235" s="2">
        <v>1623.6482662400001</v>
      </c>
      <c r="E1235" s="2">
        <v>1574.9388182528</v>
      </c>
      <c r="F1235" s="2">
        <v>1527.6906537052159</v>
      </c>
      <c r="G1235" s="2">
        <v>1481.8599340940593</v>
      </c>
      <c r="H1235" s="2">
        <v>1437.4041360712374</v>
      </c>
      <c r="I1235" s="2">
        <v>1394.2820119891003</v>
      </c>
      <c r="J1235" s="2">
        <v>1352.4535516294272</v>
      </c>
      <c r="K1235" s="2">
        <v>1311.8799450805443</v>
      </c>
      <c r="L1235" s="2">
        <v>1272.5235467281279</v>
      </c>
      <c r="M1235" s="2">
        <v>1234.3478403262841</v>
      </c>
      <c r="N1235" s="2">
        <v>1197.3174051164956</v>
      </c>
      <c r="O1235" s="2">
        <v>1161.3978829630007</v>
      </c>
    </row>
    <row r="1236" spans="1:15" x14ac:dyDescent="0.25">
      <c r="A1236" t="s">
        <v>3592</v>
      </c>
      <c r="B1236" t="s">
        <v>3593</v>
      </c>
      <c r="C1236" s="2">
        <v>1672.2207039999998</v>
      </c>
      <c r="D1236" s="2">
        <v>1622.0540828799999</v>
      </c>
      <c r="E1236" s="2">
        <v>1573.3924603935998</v>
      </c>
      <c r="F1236" s="2">
        <v>1526.1906865817919</v>
      </c>
      <c r="G1236" s="2">
        <v>1480.4049659843381</v>
      </c>
      <c r="H1236" s="2">
        <v>1435.9928170048079</v>
      </c>
      <c r="I1236" s="2">
        <v>1392.9130324946636</v>
      </c>
      <c r="J1236" s="2">
        <v>1351.1256415198236</v>
      </c>
      <c r="K1236" s="2">
        <v>1310.5918722742288</v>
      </c>
      <c r="L1236" s="2">
        <v>1271.2741161060019</v>
      </c>
      <c r="M1236" s="2">
        <v>1233.1358926228218</v>
      </c>
      <c r="N1236" s="2">
        <v>1196.141815844137</v>
      </c>
      <c r="O1236" s="2">
        <v>1160.257561368813</v>
      </c>
    </row>
    <row r="1237" spans="1:15" x14ac:dyDescent="0.25">
      <c r="A1237" t="s">
        <v>3594</v>
      </c>
      <c r="B1237" t="s">
        <v>3523</v>
      </c>
      <c r="C1237" s="2">
        <v>1664.8533440000001</v>
      </c>
      <c r="D1237" s="2">
        <v>1614.9077436800001</v>
      </c>
      <c r="E1237" s="2">
        <v>1566.4605113696</v>
      </c>
      <c r="F1237" s="2">
        <v>1519.4666960285119</v>
      </c>
      <c r="G1237" s="2">
        <v>1473.8826951476565</v>
      </c>
      <c r="H1237" s="2">
        <v>1429.6662142932266</v>
      </c>
      <c r="I1237" s="2">
        <v>1386.7762278644298</v>
      </c>
      <c r="J1237" s="2">
        <v>1345.1729410284968</v>
      </c>
      <c r="K1237" s="2">
        <v>1304.8177527976418</v>
      </c>
      <c r="L1237" s="2">
        <v>1265.6732202137125</v>
      </c>
      <c r="M1237" s="2">
        <v>1227.703023607301</v>
      </c>
      <c r="N1237" s="2">
        <v>1190.8719328990819</v>
      </c>
      <c r="O1237" s="2">
        <v>1155.1457749121093</v>
      </c>
    </row>
    <row r="1238" spans="1:15" x14ac:dyDescent="0.25">
      <c r="A1238" t="s">
        <v>3595</v>
      </c>
      <c r="B1238" t="s">
        <v>3596</v>
      </c>
      <c r="C1238" s="2">
        <v>1662.8212480000004</v>
      </c>
      <c r="D1238" s="2">
        <v>1612.9366105600004</v>
      </c>
      <c r="E1238" s="2">
        <v>1564.5485122432003</v>
      </c>
      <c r="F1238" s="2">
        <v>1517.6120568759043</v>
      </c>
      <c r="G1238" s="2">
        <v>1472.0836951696272</v>
      </c>
      <c r="H1238" s="2">
        <v>1427.9211843145383</v>
      </c>
      <c r="I1238" s="2">
        <v>1385.083548785102</v>
      </c>
      <c r="J1238" s="2">
        <v>1343.531042321549</v>
      </c>
      <c r="K1238" s="2">
        <v>1303.2251110519026</v>
      </c>
      <c r="L1238" s="2">
        <v>1264.1283577203455</v>
      </c>
      <c r="M1238" s="2">
        <v>1226.2045069887351</v>
      </c>
      <c r="N1238" s="2">
        <v>1189.4183717790731</v>
      </c>
      <c r="O1238" s="2">
        <v>1153.7358206257009</v>
      </c>
    </row>
    <row r="1239" spans="1:15" x14ac:dyDescent="0.25">
      <c r="A1239" t="s">
        <v>3597</v>
      </c>
      <c r="B1239" t="s">
        <v>3598</v>
      </c>
      <c r="C1239" s="2">
        <v>1662.0845120000001</v>
      </c>
      <c r="D1239" s="2">
        <v>1612.2219766400001</v>
      </c>
      <c r="E1239" s="2">
        <v>1563.8553173408</v>
      </c>
      <c r="F1239" s="2">
        <v>1516.9396578205758</v>
      </c>
      <c r="G1239" s="2">
        <v>1471.4314680859584</v>
      </c>
      <c r="H1239" s="2">
        <v>1427.2885240433795</v>
      </c>
      <c r="I1239" s="2">
        <v>1384.4698683220781</v>
      </c>
      <c r="J1239" s="2">
        <v>1342.9357722724158</v>
      </c>
      <c r="K1239" s="2">
        <v>1302.6476991042432</v>
      </c>
      <c r="L1239" s="2">
        <v>1263.5682681311159</v>
      </c>
      <c r="M1239" s="2">
        <v>1225.6612200871825</v>
      </c>
      <c r="N1239" s="2">
        <v>1188.8913834845671</v>
      </c>
      <c r="O1239" s="2">
        <v>1153.2246419800301</v>
      </c>
    </row>
    <row r="1240" spans="1:15" x14ac:dyDescent="0.25">
      <c r="A1240" t="s">
        <v>3599</v>
      </c>
      <c r="B1240" t="s">
        <v>3600</v>
      </c>
      <c r="C1240" s="2">
        <v>1658.9999360000002</v>
      </c>
      <c r="D1240" s="2">
        <v>1609.2299379200001</v>
      </c>
      <c r="E1240" s="2">
        <v>1560.9530397824001</v>
      </c>
      <c r="F1240" s="2">
        <v>1514.1244485889281</v>
      </c>
      <c r="G1240" s="2">
        <v>1468.7007151312603</v>
      </c>
      <c r="H1240" s="2">
        <v>1424.6396936773224</v>
      </c>
      <c r="I1240" s="2">
        <v>1381.9005028670026</v>
      </c>
      <c r="J1240" s="2">
        <v>1340.4434877809924</v>
      </c>
      <c r="K1240" s="2">
        <v>1300.2301831475627</v>
      </c>
      <c r="L1240" s="2">
        <v>1261.2232776531357</v>
      </c>
      <c r="M1240" s="2">
        <v>1223.3865793235416</v>
      </c>
      <c r="N1240" s="2">
        <v>1186.6849819438353</v>
      </c>
      <c r="O1240" s="2">
        <v>1151.0844324855202</v>
      </c>
    </row>
    <row r="1241" spans="1:15" x14ac:dyDescent="0.25">
      <c r="A1241" t="s">
        <v>3601</v>
      </c>
      <c r="B1241" t="s">
        <v>3602</v>
      </c>
      <c r="C1241" s="2">
        <v>1655.300064</v>
      </c>
      <c r="D1241" s="2">
        <v>1605.64106208</v>
      </c>
      <c r="E1241" s="2">
        <v>1557.4718302176</v>
      </c>
      <c r="F1241" s="2">
        <v>1510.747675311072</v>
      </c>
      <c r="G1241" s="2">
        <v>1465.4252450517399</v>
      </c>
      <c r="H1241" s="2">
        <v>1421.4624877001877</v>
      </c>
      <c r="I1241" s="2">
        <v>1378.818613069182</v>
      </c>
      <c r="J1241" s="2">
        <v>1337.4540546771066</v>
      </c>
      <c r="K1241" s="2">
        <v>1297.3304330367932</v>
      </c>
      <c r="L1241" s="2">
        <v>1258.4105200456895</v>
      </c>
      <c r="M1241" s="2">
        <v>1220.6582044443187</v>
      </c>
      <c r="N1241" s="2">
        <v>1184.0384583109892</v>
      </c>
      <c r="O1241" s="2">
        <v>1148.5173045616596</v>
      </c>
    </row>
    <row r="1242" spans="1:15" x14ac:dyDescent="0.25">
      <c r="A1242" t="s">
        <v>3603</v>
      </c>
      <c r="B1242" t="s">
        <v>3604</v>
      </c>
      <c r="C1242" s="2">
        <v>1648.3941760000002</v>
      </c>
      <c r="D1242" s="2">
        <v>1598.9423507200001</v>
      </c>
      <c r="E1242" s="2">
        <v>1550.9740801984001</v>
      </c>
      <c r="F1242" s="2">
        <v>1504.4448577924481</v>
      </c>
      <c r="G1242" s="2">
        <v>1459.3115120586747</v>
      </c>
      <c r="H1242" s="2">
        <v>1415.5321666969144</v>
      </c>
      <c r="I1242" s="2">
        <v>1373.0662016960068</v>
      </c>
      <c r="J1242" s="2">
        <v>1331.8742156451267</v>
      </c>
      <c r="K1242" s="2">
        <v>1291.9179891757728</v>
      </c>
      <c r="L1242" s="2">
        <v>1253.1604495004997</v>
      </c>
      <c r="M1242" s="2">
        <v>1215.5656360154846</v>
      </c>
      <c r="N1242" s="2">
        <v>1179.09866693502</v>
      </c>
      <c r="O1242" s="2">
        <v>1143.7257069269695</v>
      </c>
    </row>
    <row r="1243" spans="1:15" x14ac:dyDescent="0.25">
      <c r="A1243" t="s">
        <v>1102</v>
      </c>
      <c r="B1243" t="s">
        <v>3605</v>
      </c>
      <c r="C1243" s="2">
        <v>1647.2571940000003</v>
      </c>
      <c r="D1243" s="2">
        <v>1597.8394781800002</v>
      </c>
      <c r="E1243" s="2">
        <v>1549.9042938346001</v>
      </c>
      <c r="F1243" s="2">
        <v>1503.4071650195622</v>
      </c>
      <c r="G1243" s="2">
        <v>1458.3049500689754</v>
      </c>
      <c r="H1243" s="2">
        <v>1414.555801566906</v>
      </c>
      <c r="I1243" s="2">
        <v>1372.1191275198987</v>
      </c>
      <c r="J1243" s="2">
        <v>1330.9555536943017</v>
      </c>
      <c r="K1243" s="2">
        <v>1291.0268870834725</v>
      </c>
      <c r="L1243" s="2">
        <v>1252.2960804709683</v>
      </c>
      <c r="M1243" s="2">
        <v>1214.7271980568391</v>
      </c>
      <c r="N1243" s="2">
        <v>1178.2853821151339</v>
      </c>
      <c r="O1243" s="2">
        <v>1142.9368206516799</v>
      </c>
    </row>
    <row r="1244" spans="1:15" x14ac:dyDescent="0.25">
      <c r="A1244" t="s">
        <v>3606</v>
      </c>
      <c r="B1244" t="s">
        <v>3607</v>
      </c>
      <c r="C1244" s="2">
        <v>1646.6292480000004</v>
      </c>
      <c r="D1244" s="2">
        <v>1597.2303705600004</v>
      </c>
      <c r="E1244" s="2">
        <v>1549.3134594432004</v>
      </c>
      <c r="F1244" s="2">
        <v>1502.8340556599044</v>
      </c>
      <c r="G1244" s="2">
        <v>1457.7490339901071</v>
      </c>
      <c r="H1244" s="2">
        <v>1414.0165629704038</v>
      </c>
      <c r="I1244" s="2">
        <v>1371.5960660812916</v>
      </c>
      <c r="J1244" s="2">
        <v>1330.4481840988528</v>
      </c>
      <c r="K1244" s="2">
        <v>1290.5347385758871</v>
      </c>
      <c r="L1244" s="2">
        <v>1251.8186964186104</v>
      </c>
      <c r="M1244" s="2">
        <v>1214.2641355260521</v>
      </c>
      <c r="N1244" s="2">
        <v>1177.8362114602705</v>
      </c>
      <c r="O1244" s="2">
        <v>1142.5011251164624</v>
      </c>
    </row>
    <row r="1245" spans="1:15" x14ac:dyDescent="0.25">
      <c r="A1245" t="s">
        <v>3608</v>
      </c>
      <c r="B1245" t="s">
        <v>3609</v>
      </c>
      <c r="C1245" s="2">
        <v>1645.5453960000002</v>
      </c>
      <c r="D1245" s="2">
        <v>1596.1790341200001</v>
      </c>
      <c r="E1245" s="2">
        <v>1548.2936630964</v>
      </c>
      <c r="F1245" s="2">
        <v>1501.8448532035079</v>
      </c>
      <c r="G1245" s="2">
        <v>1456.7895076074026</v>
      </c>
      <c r="H1245" s="2">
        <v>1413.0858223791804</v>
      </c>
      <c r="I1245" s="2">
        <v>1370.6932477078049</v>
      </c>
      <c r="J1245" s="2">
        <v>1329.5724502765706</v>
      </c>
      <c r="K1245" s="2">
        <v>1289.6852767682735</v>
      </c>
      <c r="L1245" s="2">
        <v>1250.9947184652253</v>
      </c>
      <c r="M1245" s="2">
        <v>1213.4648769112684</v>
      </c>
      <c r="N1245" s="2">
        <v>1177.0609306039303</v>
      </c>
      <c r="O1245" s="2">
        <v>1141.7491026858124</v>
      </c>
    </row>
    <row r="1246" spans="1:15" x14ac:dyDescent="0.25">
      <c r="A1246" t="s">
        <v>3610</v>
      </c>
      <c r="B1246" t="s">
        <v>3611</v>
      </c>
      <c r="C1246" s="2">
        <v>1641.4559040000004</v>
      </c>
      <c r="D1246" s="2">
        <v>1592.2122268800003</v>
      </c>
      <c r="E1246" s="2">
        <v>1544.4458600736002</v>
      </c>
      <c r="F1246" s="2">
        <v>1498.1124842713921</v>
      </c>
      <c r="G1246" s="2">
        <v>1453.1691097432504</v>
      </c>
      <c r="H1246" s="2">
        <v>1409.5740364509529</v>
      </c>
      <c r="I1246" s="2">
        <v>1367.2868153574243</v>
      </c>
      <c r="J1246" s="2">
        <v>1326.2682108967015</v>
      </c>
      <c r="K1246" s="2">
        <v>1286.4801645698003</v>
      </c>
      <c r="L1246" s="2">
        <v>1247.8857596327064</v>
      </c>
      <c r="M1246" s="2">
        <v>1210.4491868437251</v>
      </c>
      <c r="N1246" s="2">
        <v>1174.1357112384133</v>
      </c>
      <c r="O1246" s="2">
        <v>1138.9116399012607</v>
      </c>
    </row>
    <row r="1247" spans="1:15" x14ac:dyDescent="0.25">
      <c r="A1247" t="s">
        <v>3612</v>
      </c>
      <c r="B1247" t="s">
        <v>3613</v>
      </c>
      <c r="C1247" s="2">
        <v>1636.9606000000001</v>
      </c>
      <c r="D1247" s="2">
        <v>1587.851782</v>
      </c>
      <c r="E1247" s="2">
        <v>1540.21622854</v>
      </c>
      <c r="F1247" s="2">
        <v>1494.0097416838</v>
      </c>
      <c r="G1247" s="2">
        <v>1449.189449433286</v>
      </c>
      <c r="H1247" s="2">
        <v>1405.7137659502873</v>
      </c>
      <c r="I1247" s="2">
        <v>1363.5423529717787</v>
      </c>
      <c r="J1247" s="2">
        <v>1322.6360823826253</v>
      </c>
      <c r="K1247" s="2">
        <v>1282.9569999111466</v>
      </c>
      <c r="L1247" s="2">
        <v>1244.4682899138122</v>
      </c>
      <c r="M1247" s="2">
        <v>1207.1342412163979</v>
      </c>
      <c r="N1247" s="2">
        <v>1170.9202139799058</v>
      </c>
      <c r="O1247" s="2">
        <v>1135.7926075605087</v>
      </c>
    </row>
    <row r="1248" spans="1:15" x14ac:dyDescent="0.25">
      <c r="A1248" t="s">
        <v>3614</v>
      </c>
      <c r="B1248" t="s">
        <v>3615</v>
      </c>
      <c r="C1248" s="2">
        <v>1636.7926080000002</v>
      </c>
      <c r="D1248" s="2">
        <v>1587.6888297600001</v>
      </c>
      <c r="E1248" s="2">
        <v>1540.0581648672</v>
      </c>
      <c r="F1248" s="2">
        <v>1493.8564199211839</v>
      </c>
      <c r="G1248" s="2">
        <v>1449.0407273235485</v>
      </c>
      <c r="H1248" s="2">
        <v>1405.569505503842</v>
      </c>
      <c r="I1248" s="2">
        <v>1363.4024203387266</v>
      </c>
      <c r="J1248" s="2">
        <v>1322.5003477285647</v>
      </c>
      <c r="K1248" s="2">
        <v>1282.8253372967079</v>
      </c>
      <c r="L1248" s="2">
        <v>1244.3405771778066</v>
      </c>
      <c r="M1248" s="2">
        <v>1207.0103598624723</v>
      </c>
      <c r="N1248" s="2">
        <v>1170.8000490665981</v>
      </c>
      <c r="O1248" s="2">
        <v>1135.6760475946003</v>
      </c>
    </row>
    <row r="1249" spans="1:15" x14ac:dyDescent="0.25">
      <c r="A1249" t="s">
        <v>3616</v>
      </c>
      <c r="B1249" t="s">
        <v>3617</v>
      </c>
      <c r="C1249" s="2">
        <v>1636.6853360000002</v>
      </c>
      <c r="D1249" s="2">
        <v>1587.5847759200001</v>
      </c>
      <c r="E1249" s="2">
        <v>1539.9572326424</v>
      </c>
      <c r="F1249" s="2">
        <v>1493.7585156631278</v>
      </c>
      <c r="G1249" s="2">
        <v>1448.945760193234</v>
      </c>
      <c r="H1249" s="2">
        <v>1405.4773873874369</v>
      </c>
      <c r="I1249" s="2">
        <v>1363.3130657658137</v>
      </c>
      <c r="J1249" s="2">
        <v>1322.4136737928393</v>
      </c>
      <c r="K1249" s="2">
        <v>1282.741263579054</v>
      </c>
      <c r="L1249" s="2">
        <v>1244.2590256716824</v>
      </c>
      <c r="M1249" s="2">
        <v>1206.9312549015319</v>
      </c>
      <c r="N1249" s="2">
        <v>1170.7233172544859</v>
      </c>
      <c r="O1249" s="2">
        <v>1135.6016177368513</v>
      </c>
    </row>
    <row r="1250" spans="1:15" x14ac:dyDescent="0.25">
      <c r="A1250" t="s">
        <v>3618</v>
      </c>
      <c r="B1250" t="s">
        <v>3619</v>
      </c>
      <c r="C1250" s="2">
        <v>1634.0075840000002</v>
      </c>
      <c r="D1250" s="2">
        <v>1584.98735648</v>
      </c>
      <c r="E1250" s="2">
        <v>1537.4377357855999</v>
      </c>
      <c r="F1250" s="2">
        <v>1491.3146037120318</v>
      </c>
      <c r="G1250" s="2">
        <v>1446.5751656006707</v>
      </c>
      <c r="H1250" s="2">
        <v>1403.1779106326505</v>
      </c>
      <c r="I1250" s="2">
        <v>1361.082573313671</v>
      </c>
      <c r="J1250" s="2">
        <v>1320.2500961142607</v>
      </c>
      <c r="K1250" s="2">
        <v>1280.6425932308327</v>
      </c>
      <c r="L1250" s="2">
        <v>1242.2233154339078</v>
      </c>
      <c r="M1250" s="2">
        <v>1204.9566159708907</v>
      </c>
      <c r="N1250" s="2">
        <v>1168.8079174917639</v>
      </c>
      <c r="O1250" s="2">
        <v>1133.7436799670108</v>
      </c>
    </row>
    <row r="1251" spans="1:15" x14ac:dyDescent="0.25">
      <c r="A1251" t="s">
        <v>3620</v>
      </c>
      <c r="B1251" t="s">
        <v>3621</v>
      </c>
      <c r="C1251" s="2">
        <v>1632.8230380000002</v>
      </c>
      <c r="D1251" s="2">
        <v>1583.8383468600002</v>
      </c>
      <c r="E1251" s="2">
        <v>1536.3231964542001</v>
      </c>
      <c r="F1251" s="2">
        <v>1490.2335005605742</v>
      </c>
      <c r="G1251" s="2">
        <v>1445.5264955437569</v>
      </c>
      <c r="H1251" s="2">
        <v>1402.1607006774441</v>
      </c>
      <c r="I1251" s="2">
        <v>1360.0958796571208</v>
      </c>
      <c r="J1251" s="2">
        <v>1319.2930032674071</v>
      </c>
      <c r="K1251" s="2">
        <v>1279.7142131693849</v>
      </c>
      <c r="L1251" s="2">
        <v>1241.3227867743033</v>
      </c>
      <c r="M1251" s="2">
        <v>1204.0831031710741</v>
      </c>
      <c r="N1251" s="2">
        <v>1167.9606100759418</v>
      </c>
      <c r="O1251" s="2">
        <v>1132.9217917736635</v>
      </c>
    </row>
    <row r="1252" spans="1:15" x14ac:dyDescent="0.25">
      <c r="A1252" t="s">
        <v>3622</v>
      </c>
      <c r="B1252" t="s">
        <v>3623</v>
      </c>
      <c r="C1252" s="2">
        <v>1632.1212160000002</v>
      </c>
      <c r="D1252" s="2">
        <v>1583.1575795200001</v>
      </c>
      <c r="E1252" s="2">
        <v>1535.6628521344001</v>
      </c>
      <c r="F1252" s="2">
        <v>1489.5929665703679</v>
      </c>
      <c r="G1252" s="2">
        <v>1444.9051775732569</v>
      </c>
      <c r="H1252" s="2">
        <v>1401.5580222460592</v>
      </c>
      <c r="I1252" s="2">
        <v>1359.5112815786774</v>
      </c>
      <c r="J1252" s="2">
        <v>1318.7259431313171</v>
      </c>
      <c r="K1252" s="2">
        <v>1279.1641648373775</v>
      </c>
      <c r="L1252" s="2">
        <v>1240.7892398922561</v>
      </c>
      <c r="M1252" s="2">
        <v>1203.5655626954883</v>
      </c>
      <c r="N1252" s="2">
        <v>1167.4585958146235</v>
      </c>
      <c r="O1252" s="2">
        <v>1132.4348379401847</v>
      </c>
    </row>
    <row r="1253" spans="1:15" x14ac:dyDescent="0.25">
      <c r="A1253" t="s">
        <v>3624</v>
      </c>
      <c r="B1253" t="s">
        <v>3617</v>
      </c>
      <c r="C1253" s="2">
        <v>1625.6201280000002</v>
      </c>
      <c r="D1253" s="2">
        <v>1576.8515241600003</v>
      </c>
      <c r="E1253" s="2">
        <v>1529.5459784352001</v>
      </c>
      <c r="F1253" s="2">
        <v>1483.659599082144</v>
      </c>
      <c r="G1253" s="2">
        <v>1439.1498111096796</v>
      </c>
      <c r="H1253" s="2">
        <v>1395.9753167763893</v>
      </c>
      <c r="I1253" s="2">
        <v>1354.0960572730976</v>
      </c>
      <c r="J1253" s="2">
        <v>1313.4731755549046</v>
      </c>
      <c r="K1253" s="2">
        <v>1274.0689802882575</v>
      </c>
      <c r="L1253" s="2">
        <v>1235.8469108796098</v>
      </c>
      <c r="M1253" s="2">
        <v>1198.7715035532215</v>
      </c>
      <c r="N1253" s="2">
        <v>1162.8083584466249</v>
      </c>
      <c r="O1253" s="2">
        <v>1127.924107693226</v>
      </c>
    </row>
    <row r="1254" spans="1:15" x14ac:dyDescent="0.25">
      <c r="A1254" t="s">
        <v>3625</v>
      </c>
      <c r="B1254" t="s">
        <v>3626</v>
      </c>
      <c r="C1254" s="2">
        <v>1624.9522080000002</v>
      </c>
      <c r="D1254" s="2">
        <v>1576.2036417600002</v>
      </c>
      <c r="E1254" s="2">
        <v>1528.9175325072001</v>
      </c>
      <c r="F1254" s="2">
        <v>1483.0500065319841</v>
      </c>
      <c r="G1254" s="2">
        <v>1438.5585063360245</v>
      </c>
      <c r="H1254" s="2">
        <v>1395.4017511459438</v>
      </c>
      <c r="I1254" s="2">
        <v>1353.5396986115654</v>
      </c>
      <c r="J1254" s="2">
        <v>1312.9335076532184</v>
      </c>
      <c r="K1254" s="2">
        <v>1273.5455024236219</v>
      </c>
      <c r="L1254" s="2">
        <v>1235.3391373509132</v>
      </c>
      <c r="M1254" s="2">
        <v>1198.2789632303859</v>
      </c>
      <c r="N1254" s="2">
        <v>1162.3305943334742</v>
      </c>
      <c r="O1254" s="2">
        <v>1127.46067650347</v>
      </c>
    </row>
    <row r="1255" spans="1:15" x14ac:dyDescent="0.25">
      <c r="A1255" t="s">
        <v>3627</v>
      </c>
      <c r="B1255" t="s">
        <v>3628</v>
      </c>
      <c r="C1255" s="2">
        <v>1624.5271680000003</v>
      </c>
      <c r="D1255" s="2">
        <v>1575.7913529600003</v>
      </c>
      <c r="E1255" s="2">
        <v>1528.5176123712001</v>
      </c>
      <c r="F1255" s="2">
        <v>1482.6620840000642</v>
      </c>
      <c r="G1255" s="2">
        <v>1438.1822214800623</v>
      </c>
      <c r="H1255" s="2">
        <v>1395.0367548356603</v>
      </c>
      <c r="I1255" s="2">
        <v>1353.1856521905904</v>
      </c>
      <c r="J1255" s="2">
        <v>1312.5900826248726</v>
      </c>
      <c r="K1255" s="2">
        <v>1273.2123801461264</v>
      </c>
      <c r="L1255" s="2">
        <v>1235.0160087417426</v>
      </c>
      <c r="M1255" s="2">
        <v>1197.9655284794903</v>
      </c>
      <c r="N1255" s="2">
        <v>1162.0265626251055</v>
      </c>
      <c r="O1255" s="2">
        <v>1127.1657657463522</v>
      </c>
    </row>
    <row r="1256" spans="1:15" x14ac:dyDescent="0.25">
      <c r="A1256" t="s">
        <v>3629</v>
      </c>
      <c r="B1256" t="s">
        <v>3630</v>
      </c>
      <c r="C1256" s="2">
        <v>1621.8296820000003</v>
      </c>
      <c r="D1256" s="2">
        <v>1573.1747915400001</v>
      </c>
      <c r="E1256" s="2">
        <v>1525.9795477938001</v>
      </c>
      <c r="F1256" s="2">
        <v>1480.2001613599859</v>
      </c>
      <c r="G1256" s="2">
        <v>1435.7941565191863</v>
      </c>
      <c r="H1256" s="2">
        <v>1392.7203318236106</v>
      </c>
      <c r="I1256" s="2">
        <v>1350.9387218689023</v>
      </c>
      <c r="J1256" s="2">
        <v>1310.4105602128352</v>
      </c>
      <c r="K1256" s="2">
        <v>1271.0982434064501</v>
      </c>
      <c r="L1256" s="2">
        <v>1232.9652961042566</v>
      </c>
      <c r="M1256" s="2">
        <v>1195.9763372211289</v>
      </c>
      <c r="N1256" s="2">
        <v>1160.097047104495</v>
      </c>
      <c r="O1256" s="2">
        <v>1125.2941356913602</v>
      </c>
    </row>
    <row r="1257" spans="1:15" x14ac:dyDescent="0.25">
      <c r="A1257" t="s">
        <v>3631</v>
      </c>
      <c r="B1257" t="s">
        <v>3632</v>
      </c>
      <c r="C1257" s="2">
        <v>1618.6332800000002</v>
      </c>
      <c r="D1257" s="2">
        <v>1570.0742816000002</v>
      </c>
      <c r="E1257" s="2">
        <v>1522.9720531520002</v>
      </c>
      <c r="F1257" s="2">
        <v>1477.2828915574401</v>
      </c>
      <c r="G1257" s="2">
        <v>1432.9644048107168</v>
      </c>
      <c r="H1257" s="2">
        <v>1389.9754726663953</v>
      </c>
      <c r="I1257" s="2">
        <v>1348.2762084864034</v>
      </c>
      <c r="J1257" s="2">
        <v>1307.8279222318113</v>
      </c>
      <c r="K1257" s="2">
        <v>1268.593084564857</v>
      </c>
      <c r="L1257" s="2">
        <v>1230.5352920279113</v>
      </c>
      <c r="M1257" s="2">
        <v>1193.6192332670739</v>
      </c>
      <c r="N1257" s="2">
        <v>1157.8106562690616</v>
      </c>
      <c r="O1257" s="2">
        <v>1123.0763365809896</v>
      </c>
    </row>
    <row r="1258" spans="1:15" x14ac:dyDescent="0.25">
      <c r="A1258" t="s">
        <v>3633</v>
      </c>
      <c r="B1258" t="s">
        <v>3634</v>
      </c>
      <c r="C1258" s="2">
        <v>1617.7508160000004</v>
      </c>
      <c r="D1258" s="2">
        <v>1569.2182915200003</v>
      </c>
      <c r="E1258" s="2">
        <v>1522.1417427744002</v>
      </c>
      <c r="F1258" s="2">
        <v>1476.4774904911681</v>
      </c>
      <c r="G1258" s="2">
        <v>1432.183165776433</v>
      </c>
      <c r="H1258" s="2">
        <v>1389.21767080314</v>
      </c>
      <c r="I1258" s="2">
        <v>1347.5411406790458</v>
      </c>
      <c r="J1258" s="2">
        <v>1307.1149064586743</v>
      </c>
      <c r="K1258" s="2">
        <v>1267.9014592649141</v>
      </c>
      <c r="L1258" s="2">
        <v>1229.8644154869667</v>
      </c>
      <c r="M1258" s="2">
        <v>1192.9684830223575</v>
      </c>
      <c r="N1258" s="2">
        <v>1157.1794285316869</v>
      </c>
      <c r="O1258" s="2">
        <v>1122.4640456757363</v>
      </c>
    </row>
    <row r="1259" spans="1:15" x14ac:dyDescent="0.25">
      <c r="A1259" t="s">
        <v>1116</v>
      </c>
      <c r="B1259" t="s">
        <v>3635</v>
      </c>
      <c r="C1259" s="2">
        <v>1610.8535300000003</v>
      </c>
      <c r="D1259" s="2">
        <v>1562.5279241000003</v>
      </c>
      <c r="E1259" s="2">
        <v>1515.6520863770002</v>
      </c>
      <c r="F1259" s="2">
        <v>1470.1825237856901</v>
      </c>
      <c r="G1259" s="2">
        <v>1426.0770480721194</v>
      </c>
      <c r="H1259" s="2">
        <v>1383.2947366299559</v>
      </c>
      <c r="I1259" s="2">
        <v>1341.7958945310572</v>
      </c>
      <c r="J1259" s="2">
        <v>1301.5420176951254</v>
      </c>
      <c r="K1259" s="2">
        <v>1262.4957571642717</v>
      </c>
      <c r="L1259" s="2">
        <v>1224.6208844493435</v>
      </c>
      <c r="M1259" s="2">
        <v>1187.8822579158632</v>
      </c>
      <c r="N1259" s="2">
        <v>1152.2457901783873</v>
      </c>
      <c r="O1259" s="2">
        <v>1117.6784164730357</v>
      </c>
    </row>
    <row r="1260" spans="1:15" x14ac:dyDescent="0.25">
      <c r="A1260" t="s">
        <v>3636</v>
      </c>
      <c r="B1260" t="s">
        <v>3637</v>
      </c>
      <c r="C1260" s="2">
        <v>1607.9951360000005</v>
      </c>
      <c r="D1260" s="2">
        <v>1559.7552819200005</v>
      </c>
      <c r="E1260" s="2">
        <v>1512.9626234624004</v>
      </c>
      <c r="F1260" s="2">
        <v>1467.5737447585284</v>
      </c>
      <c r="G1260" s="2">
        <v>1423.5465324157724</v>
      </c>
      <c r="H1260" s="2">
        <v>1380.8401364432991</v>
      </c>
      <c r="I1260" s="2">
        <v>1339.4149323500001</v>
      </c>
      <c r="J1260" s="2">
        <v>1299.2324843795</v>
      </c>
      <c r="K1260" s="2">
        <v>1260.255509848115</v>
      </c>
      <c r="L1260" s="2">
        <v>1222.4478445526715</v>
      </c>
      <c r="M1260" s="2">
        <v>1185.7744092160913</v>
      </c>
      <c r="N1260" s="2">
        <v>1150.2011769396086</v>
      </c>
      <c r="O1260" s="2">
        <v>1115.6951416314203</v>
      </c>
    </row>
    <row r="1261" spans="1:15" x14ac:dyDescent="0.25">
      <c r="A1261" t="s">
        <v>3638</v>
      </c>
      <c r="B1261" t="s">
        <v>3639</v>
      </c>
      <c r="C1261" s="2">
        <v>1607.9060800000004</v>
      </c>
      <c r="D1261" s="2">
        <v>1559.6688976000003</v>
      </c>
      <c r="E1261" s="2">
        <v>1512.8788306720003</v>
      </c>
      <c r="F1261" s="2">
        <v>1467.4924657518402</v>
      </c>
      <c r="G1261" s="2">
        <v>1423.4676917792849</v>
      </c>
      <c r="H1261" s="2">
        <v>1380.7636610259062</v>
      </c>
      <c r="I1261" s="2">
        <v>1339.3407511951291</v>
      </c>
      <c r="J1261" s="2">
        <v>1299.1605286592751</v>
      </c>
      <c r="K1261" s="2">
        <v>1260.1857127994967</v>
      </c>
      <c r="L1261" s="2">
        <v>1222.3801414155118</v>
      </c>
      <c r="M1261" s="2">
        <v>1185.7087371730465</v>
      </c>
      <c r="N1261" s="2">
        <v>1150.137475057855</v>
      </c>
      <c r="O1261" s="2">
        <v>1115.6333508061193</v>
      </c>
    </row>
    <row r="1262" spans="1:15" x14ac:dyDescent="0.25">
      <c r="A1262" t="s">
        <v>3640</v>
      </c>
      <c r="B1262" t="s">
        <v>3641</v>
      </c>
      <c r="C1262" s="2">
        <v>1601.0730560000002</v>
      </c>
      <c r="D1262" s="2">
        <v>1553.0408643200001</v>
      </c>
      <c r="E1262" s="2">
        <v>1506.4496383904</v>
      </c>
      <c r="F1262" s="2">
        <v>1461.2561492386878</v>
      </c>
      <c r="G1262" s="2">
        <v>1417.4184647615273</v>
      </c>
      <c r="H1262" s="2">
        <v>1374.8959108186814</v>
      </c>
      <c r="I1262" s="2">
        <v>1333.6490334941209</v>
      </c>
      <c r="J1262" s="2">
        <v>1293.6395624892973</v>
      </c>
      <c r="K1262" s="2">
        <v>1254.8303756146183</v>
      </c>
      <c r="L1262" s="2">
        <v>1217.1854643461797</v>
      </c>
      <c r="M1262" s="2">
        <v>1180.6699004157942</v>
      </c>
      <c r="N1262" s="2">
        <v>1145.2498034033204</v>
      </c>
      <c r="O1262" s="2">
        <v>1110.8923093012206</v>
      </c>
    </row>
    <row r="1263" spans="1:15" x14ac:dyDescent="0.25">
      <c r="A1263" t="s">
        <v>3642</v>
      </c>
      <c r="B1263" t="s">
        <v>3643</v>
      </c>
      <c r="C1263" s="2">
        <v>1595.0253440000001</v>
      </c>
      <c r="D1263" s="2">
        <v>1547.1745836800001</v>
      </c>
      <c r="E1263" s="2">
        <v>1500.7593461696001</v>
      </c>
      <c r="F1263" s="2">
        <v>1455.7365657845121</v>
      </c>
      <c r="G1263" s="2">
        <v>1412.0644688109767</v>
      </c>
      <c r="H1263" s="2">
        <v>1369.7025347466474</v>
      </c>
      <c r="I1263" s="2">
        <v>1328.611458704248</v>
      </c>
      <c r="J1263" s="2">
        <v>1288.7531149431204</v>
      </c>
      <c r="K1263" s="2">
        <v>1250.0905214948268</v>
      </c>
      <c r="L1263" s="2">
        <v>1212.587805849982</v>
      </c>
      <c r="M1263" s="2">
        <v>1176.2101716744826</v>
      </c>
      <c r="N1263" s="2">
        <v>1140.9238665242481</v>
      </c>
      <c r="O1263" s="2">
        <v>1106.6961505285205</v>
      </c>
    </row>
    <row r="1264" spans="1:15" x14ac:dyDescent="0.25">
      <c r="A1264" t="s">
        <v>3644</v>
      </c>
      <c r="B1264" t="s">
        <v>3645</v>
      </c>
      <c r="C1264" s="2">
        <v>1594.6772160000003</v>
      </c>
      <c r="D1264" s="2">
        <v>1546.8368995200003</v>
      </c>
      <c r="E1264" s="2">
        <v>1500.4317925344003</v>
      </c>
      <c r="F1264" s="2">
        <v>1455.4188387583683</v>
      </c>
      <c r="G1264" s="2">
        <v>1411.7562735956174</v>
      </c>
      <c r="H1264" s="2">
        <v>1369.4035853877488</v>
      </c>
      <c r="I1264" s="2">
        <v>1328.3214778261163</v>
      </c>
      <c r="J1264" s="2">
        <v>1288.4718334913327</v>
      </c>
      <c r="K1264" s="2">
        <v>1249.8176784865927</v>
      </c>
      <c r="L1264" s="2">
        <v>1212.3231481319949</v>
      </c>
      <c r="M1264" s="2">
        <v>1175.9534536880351</v>
      </c>
      <c r="N1264" s="2">
        <v>1140.674850077394</v>
      </c>
      <c r="O1264" s="2">
        <v>1106.4546045750722</v>
      </c>
    </row>
    <row r="1265" spans="1:15" x14ac:dyDescent="0.25">
      <c r="A1265" t="s">
        <v>3646</v>
      </c>
      <c r="B1265" t="s">
        <v>3647</v>
      </c>
      <c r="C1265" s="2">
        <v>1591.2151640000002</v>
      </c>
      <c r="D1265" s="2">
        <v>1543.47870908</v>
      </c>
      <c r="E1265" s="2">
        <v>1497.1743478076</v>
      </c>
      <c r="F1265" s="2">
        <v>1452.259117373372</v>
      </c>
      <c r="G1265" s="2">
        <v>1408.6913438521708</v>
      </c>
      <c r="H1265" s="2">
        <v>1366.4306035366055</v>
      </c>
      <c r="I1265" s="2">
        <v>1325.4376854305074</v>
      </c>
      <c r="J1265" s="2">
        <v>1285.6745548675922</v>
      </c>
      <c r="K1265" s="2">
        <v>1247.1043182215644</v>
      </c>
      <c r="L1265" s="2">
        <v>1209.6911886749174</v>
      </c>
      <c r="M1265" s="2">
        <v>1173.4004530146699</v>
      </c>
      <c r="N1265" s="2">
        <v>1138.1984394242297</v>
      </c>
      <c r="O1265" s="2">
        <v>1104.0524862415027</v>
      </c>
    </row>
    <row r="1266" spans="1:15" x14ac:dyDescent="0.25">
      <c r="A1266" t="s">
        <v>3648</v>
      </c>
      <c r="B1266" t="s">
        <v>3649</v>
      </c>
      <c r="C1266" s="2">
        <v>1589.0424000000003</v>
      </c>
      <c r="D1266" s="2">
        <v>1541.3711280000002</v>
      </c>
      <c r="E1266" s="2">
        <v>1495.1299941600003</v>
      </c>
      <c r="F1266" s="2">
        <v>1450.2760943352002</v>
      </c>
      <c r="G1266" s="2">
        <v>1406.7678115051442</v>
      </c>
      <c r="H1266" s="2">
        <v>1364.5647771599899</v>
      </c>
      <c r="I1266" s="2">
        <v>1323.6278338451903</v>
      </c>
      <c r="J1266" s="2">
        <v>1283.9189988298344</v>
      </c>
      <c r="K1266" s="2">
        <v>1245.4014288649394</v>
      </c>
      <c r="L1266" s="2">
        <v>1208.0393859989911</v>
      </c>
      <c r="M1266" s="2">
        <v>1171.7982044190212</v>
      </c>
      <c r="N1266" s="2">
        <v>1136.6442582864506</v>
      </c>
      <c r="O1266" s="2">
        <v>1102.544930537857</v>
      </c>
    </row>
    <row r="1267" spans="1:15" x14ac:dyDescent="0.25">
      <c r="A1267" t="s">
        <v>3650</v>
      </c>
      <c r="B1267" t="s">
        <v>3651</v>
      </c>
      <c r="C1267" s="2">
        <v>1587.6498880000004</v>
      </c>
      <c r="D1267" s="2">
        <v>1540.0203913600003</v>
      </c>
      <c r="E1267" s="2">
        <v>1493.8197796192003</v>
      </c>
      <c r="F1267" s="2">
        <v>1449.0051862306243</v>
      </c>
      <c r="G1267" s="2">
        <v>1405.5350306437056</v>
      </c>
      <c r="H1267" s="2">
        <v>1363.3689797243944</v>
      </c>
      <c r="I1267" s="2">
        <v>1322.4679103326625</v>
      </c>
      <c r="J1267" s="2">
        <v>1282.7938730226826</v>
      </c>
      <c r="K1267" s="2">
        <v>1244.3100568320021</v>
      </c>
      <c r="L1267" s="2">
        <v>1206.9807551270421</v>
      </c>
      <c r="M1267" s="2">
        <v>1170.7713324732308</v>
      </c>
      <c r="N1267" s="2">
        <v>1135.6481924990339</v>
      </c>
      <c r="O1267" s="2">
        <v>1101.578746724063</v>
      </c>
    </row>
    <row r="1268" spans="1:15" x14ac:dyDescent="0.25">
      <c r="A1268" t="s">
        <v>3652</v>
      </c>
      <c r="B1268" t="s">
        <v>3653</v>
      </c>
      <c r="C1268" s="2">
        <v>1578.5337920000004</v>
      </c>
      <c r="D1268" s="2">
        <v>1531.1777782400004</v>
      </c>
      <c r="E1268" s="2">
        <v>1485.2424448928004</v>
      </c>
      <c r="F1268" s="2">
        <v>1440.6851715460164</v>
      </c>
      <c r="G1268" s="2">
        <v>1397.4646163996358</v>
      </c>
      <c r="H1268" s="2">
        <v>1355.5406779076468</v>
      </c>
      <c r="I1268" s="2">
        <v>1314.8744575704175</v>
      </c>
      <c r="J1268" s="2">
        <v>1275.428223843305</v>
      </c>
      <c r="K1268" s="2">
        <v>1237.1653771280057</v>
      </c>
      <c r="L1268" s="2">
        <v>1200.0504158141655</v>
      </c>
      <c r="M1268" s="2">
        <v>1164.0489033397405</v>
      </c>
      <c r="N1268" s="2">
        <v>1129.1274362395482</v>
      </c>
      <c r="O1268" s="2">
        <v>1095.2536131523616</v>
      </c>
    </row>
    <row r="1269" spans="1:15" x14ac:dyDescent="0.25">
      <c r="A1269" t="s">
        <v>3654</v>
      </c>
      <c r="B1269" t="s">
        <v>3655</v>
      </c>
      <c r="C1269" s="2">
        <v>1578.3718720000002</v>
      </c>
      <c r="D1269" s="2">
        <v>1531.0207158400001</v>
      </c>
      <c r="E1269" s="2">
        <v>1485.0900943648001</v>
      </c>
      <c r="F1269" s="2">
        <v>1440.537391533856</v>
      </c>
      <c r="G1269" s="2">
        <v>1397.3212697878403</v>
      </c>
      <c r="H1269" s="2">
        <v>1355.401631694205</v>
      </c>
      <c r="I1269" s="2">
        <v>1314.7395827433788</v>
      </c>
      <c r="J1269" s="2">
        <v>1275.2973952610773</v>
      </c>
      <c r="K1269" s="2">
        <v>1237.038473403245</v>
      </c>
      <c r="L1269" s="2">
        <v>1199.9273192011476</v>
      </c>
      <c r="M1269" s="2">
        <v>1163.9294996251131</v>
      </c>
      <c r="N1269" s="2">
        <v>1129.0116146363596</v>
      </c>
      <c r="O1269" s="2">
        <v>1095.1412661972688</v>
      </c>
    </row>
    <row r="1270" spans="1:15" x14ac:dyDescent="0.25">
      <c r="A1270" t="s">
        <v>3656</v>
      </c>
      <c r="B1270" t="s">
        <v>3657</v>
      </c>
      <c r="C1270" s="2">
        <v>1577.8213440000004</v>
      </c>
      <c r="D1270" s="2">
        <v>1530.4867036800003</v>
      </c>
      <c r="E1270" s="2">
        <v>1484.5721025696002</v>
      </c>
      <c r="F1270" s="2">
        <v>1440.0349394925122</v>
      </c>
      <c r="G1270" s="2">
        <v>1396.8338913077368</v>
      </c>
      <c r="H1270" s="2">
        <v>1354.9288745685046</v>
      </c>
      <c r="I1270" s="2">
        <v>1314.2810083314494</v>
      </c>
      <c r="J1270" s="2">
        <v>1274.852578081506</v>
      </c>
      <c r="K1270" s="2">
        <v>1236.6070007390608</v>
      </c>
      <c r="L1270" s="2">
        <v>1199.5087907168891</v>
      </c>
      <c r="M1270" s="2">
        <v>1163.5235269953823</v>
      </c>
      <c r="N1270" s="2">
        <v>1128.6178211855208</v>
      </c>
      <c r="O1270" s="2">
        <v>1094.7592865499553</v>
      </c>
    </row>
    <row r="1271" spans="1:15" x14ac:dyDescent="0.25">
      <c r="A1271" t="s">
        <v>3658</v>
      </c>
      <c r="B1271" t="s">
        <v>3659</v>
      </c>
      <c r="C1271" s="2">
        <v>1577.6513280000004</v>
      </c>
      <c r="D1271" s="2">
        <v>1530.3217881600003</v>
      </c>
      <c r="E1271" s="2">
        <v>1484.4121345152003</v>
      </c>
      <c r="F1271" s="2">
        <v>1439.8797704797441</v>
      </c>
      <c r="G1271" s="2">
        <v>1396.6833773653518</v>
      </c>
      <c r="H1271" s="2">
        <v>1354.7828760443913</v>
      </c>
      <c r="I1271" s="2">
        <v>1314.1393897630596</v>
      </c>
      <c r="J1271" s="2">
        <v>1274.7152080701678</v>
      </c>
      <c r="K1271" s="2">
        <v>1236.4737518280629</v>
      </c>
      <c r="L1271" s="2">
        <v>1199.3795392732209</v>
      </c>
      <c r="M1271" s="2">
        <v>1163.3981530950241</v>
      </c>
      <c r="N1271" s="2">
        <v>1128.4962085021734</v>
      </c>
      <c r="O1271" s="2">
        <v>1094.6413222471083</v>
      </c>
    </row>
    <row r="1272" spans="1:15" x14ac:dyDescent="0.25">
      <c r="A1272" t="s">
        <v>3660</v>
      </c>
      <c r="B1272" t="s">
        <v>3661</v>
      </c>
      <c r="C1272" s="2">
        <v>1577.3841600000003</v>
      </c>
      <c r="D1272" s="2">
        <v>1530.0626352000002</v>
      </c>
      <c r="E1272" s="2">
        <v>1484.1607561440001</v>
      </c>
      <c r="F1272" s="2">
        <v>1439.63593345968</v>
      </c>
      <c r="G1272" s="2">
        <v>1396.4468554558896</v>
      </c>
      <c r="H1272" s="2">
        <v>1354.5534497922129</v>
      </c>
      <c r="I1272" s="2">
        <v>1313.9168462984464</v>
      </c>
      <c r="J1272" s="2">
        <v>1274.499340909493</v>
      </c>
      <c r="K1272" s="2">
        <v>1236.2643606822082</v>
      </c>
      <c r="L1272" s="2">
        <v>1199.176429861742</v>
      </c>
      <c r="M1272" s="2">
        <v>1163.2011369658896</v>
      </c>
      <c r="N1272" s="2">
        <v>1128.305102856913</v>
      </c>
      <c r="O1272" s="2">
        <v>1094.4559497712055</v>
      </c>
    </row>
    <row r="1273" spans="1:15" x14ac:dyDescent="0.25">
      <c r="A1273" t="s">
        <v>3662</v>
      </c>
      <c r="B1273" t="s">
        <v>3663</v>
      </c>
      <c r="C1273" s="2">
        <v>1576.6175700000001</v>
      </c>
      <c r="D1273" s="2">
        <v>1529.3190429000001</v>
      </c>
      <c r="E1273" s="2">
        <v>1483.439471613</v>
      </c>
      <c r="F1273" s="2">
        <v>1438.9362874646099</v>
      </c>
      <c r="G1273" s="2">
        <v>1395.7681988406716</v>
      </c>
      <c r="H1273" s="2">
        <v>1353.8951528754515</v>
      </c>
      <c r="I1273" s="2">
        <v>1313.2782982891879</v>
      </c>
      <c r="J1273" s="2">
        <v>1273.8799493405122</v>
      </c>
      <c r="K1273" s="2">
        <v>1235.6635508602967</v>
      </c>
      <c r="L1273" s="2">
        <v>1198.5936443344879</v>
      </c>
      <c r="M1273" s="2">
        <v>1162.6358350044532</v>
      </c>
      <c r="N1273" s="2">
        <v>1127.7567599543195</v>
      </c>
      <c r="O1273" s="2">
        <v>1093.9240571556898</v>
      </c>
    </row>
    <row r="1274" spans="1:15" x14ac:dyDescent="0.25">
      <c r="A1274" t="s">
        <v>3664</v>
      </c>
      <c r="B1274" t="s">
        <v>3665</v>
      </c>
      <c r="C1274" s="2">
        <v>1568.1385280000002</v>
      </c>
      <c r="D1274" s="2">
        <v>1521.0943721600001</v>
      </c>
      <c r="E1274" s="2">
        <v>1475.4615409952</v>
      </c>
      <c r="F1274" s="2">
        <v>1431.1976947653441</v>
      </c>
      <c r="G1274" s="2">
        <v>1388.2617639223838</v>
      </c>
      <c r="H1274" s="2">
        <v>1346.6139110047122</v>
      </c>
      <c r="I1274" s="2">
        <v>1306.2154936745708</v>
      </c>
      <c r="J1274" s="2">
        <v>1267.0290288643337</v>
      </c>
      <c r="K1274" s="2">
        <v>1229.0181579984037</v>
      </c>
      <c r="L1274" s="2">
        <v>1192.1476132584517</v>
      </c>
      <c r="M1274" s="2">
        <v>1156.3831848606981</v>
      </c>
      <c r="N1274" s="2">
        <v>1121.6916893148771</v>
      </c>
      <c r="O1274" s="2">
        <v>1088.0409386354306</v>
      </c>
    </row>
    <row r="1275" spans="1:15" x14ac:dyDescent="0.25">
      <c r="A1275" t="s">
        <v>3666</v>
      </c>
      <c r="B1275" t="s">
        <v>3667</v>
      </c>
      <c r="C1275" s="2">
        <v>1559.7672640000003</v>
      </c>
      <c r="D1275" s="2">
        <v>1512.9742460800003</v>
      </c>
      <c r="E1275" s="2">
        <v>1467.5850186976002</v>
      </c>
      <c r="F1275" s="2">
        <v>1423.557468136672</v>
      </c>
      <c r="G1275" s="2">
        <v>1380.8507440925719</v>
      </c>
      <c r="H1275" s="2">
        <v>1339.4252217697947</v>
      </c>
      <c r="I1275" s="2">
        <v>1299.2424651167007</v>
      </c>
      <c r="J1275" s="2">
        <v>1260.2651911631997</v>
      </c>
      <c r="K1275" s="2">
        <v>1222.4572354283036</v>
      </c>
      <c r="L1275" s="2">
        <v>1185.7835183654545</v>
      </c>
      <c r="M1275" s="2">
        <v>1150.2100128144907</v>
      </c>
      <c r="N1275" s="2">
        <v>1115.7037124300559</v>
      </c>
      <c r="O1275" s="2">
        <v>1082.2326010571542</v>
      </c>
    </row>
    <row r="1276" spans="1:15" x14ac:dyDescent="0.25">
      <c r="A1276" t="s">
        <v>3668</v>
      </c>
      <c r="B1276" t="s">
        <v>3669</v>
      </c>
      <c r="C1276" s="2">
        <v>1556.8673780000001</v>
      </c>
      <c r="D1276" s="2">
        <v>1510.1613566600001</v>
      </c>
      <c r="E1276" s="2">
        <v>1464.8565159602001</v>
      </c>
      <c r="F1276" s="2">
        <v>1420.910820481394</v>
      </c>
      <c r="G1276" s="2">
        <v>1378.2834958669521</v>
      </c>
      <c r="H1276" s="2">
        <v>1336.9349909909436</v>
      </c>
      <c r="I1276" s="2">
        <v>1296.8269412612153</v>
      </c>
      <c r="J1276" s="2">
        <v>1257.9221330233788</v>
      </c>
      <c r="K1276" s="2">
        <v>1220.1844690326775</v>
      </c>
      <c r="L1276" s="2">
        <v>1183.5789349616971</v>
      </c>
      <c r="M1276" s="2">
        <v>1148.071566912846</v>
      </c>
      <c r="N1276" s="2">
        <v>1113.6294199054607</v>
      </c>
      <c r="O1276" s="2">
        <v>1080.2205373082968</v>
      </c>
    </row>
    <row r="1277" spans="1:15" x14ac:dyDescent="0.25">
      <c r="A1277" t="s">
        <v>3670</v>
      </c>
      <c r="B1277" t="s">
        <v>3671</v>
      </c>
      <c r="C1277" s="2">
        <v>1556.504576</v>
      </c>
      <c r="D1277" s="2">
        <v>1509.8094387199999</v>
      </c>
      <c r="E1277" s="2">
        <v>1464.5151555583998</v>
      </c>
      <c r="F1277" s="2">
        <v>1420.5797008916477</v>
      </c>
      <c r="G1277" s="2">
        <v>1377.9623098648983</v>
      </c>
      <c r="H1277" s="2">
        <v>1336.6234405689513</v>
      </c>
      <c r="I1277" s="2">
        <v>1296.5247373518828</v>
      </c>
      <c r="J1277" s="2">
        <v>1257.6289952313264</v>
      </c>
      <c r="K1277" s="2">
        <v>1219.9001253743866</v>
      </c>
      <c r="L1277" s="2">
        <v>1183.3031216131549</v>
      </c>
      <c r="M1277" s="2">
        <v>1147.8040279647603</v>
      </c>
      <c r="N1277" s="2">
        <v>1113.3699071258175</v>
      </c>
      <c r="O1277" s="2">
        <v>1079.9688099120428</v>
      </c>
    </row>
    <row r="1278" spans="1:15" x14ac:dyDescent="0.25">
      <c r="A1278" t="s">
        <v>3672</v>
      </c>
      <c r="B1278" t="s">
        <v>3673</v>
      </c>
      <c r="C1278" s="2">
        <v>1555.1606400000005</v>
      </c>
      <c r="D1278" s="2">
        <v>1508.5058208000005</v>
      </c>
      <c r="E1278" s="2">
        <v>1463.2506461760004</v>
      </c>
      <c r="F1278" s="2">
        <v>1419.3531267907204</v>
      </c>
      <c r="G1278" s="2">
        <v>1376.7725329869986</v>
      </c>
      <c r="H1278" s="2">
        <v>1335.4693569973886</v>
      </c>
      <c r="I1278" s="2">
        <v>1295.4052762874669</v>
      </c>
      <c r="J1278" s="2">
        <v>1256.5431179988429</v>
      </c>
      <c r="K1278" s="2">
        <v>1218.8468244588776</v>
      </c>
      <c r="L1278" s="2">
        <v>1182.2814197251112</v>
      </c>
      <c r="M1278" s="2">
        <v>1146.8129771333579</v>
      </c>
      <c r="N1278" s="2">
        <v>1112.4085878193571</v>
      </c>
      <c r="O1278" s="2">
        <v>1079.0363301847763</v>
      </c>
    </row>
    <row r="1279" spans="1:15" x14ac:dyDescent="0.25">
      <c r="A1279" t="s">
        <v>3674</v>
      </c>
      <c r="B1279" t="s">
        <v>3675</v>
      </c>
      <c r="C1279" s="2">
        <v>1553.9685040000002</v>
      </c>
      <c r="D1279" s="2">
        <v>1507.3494488800002</v>
      </c>
      <c r="E1279" s="2">
        <v>1462.1289654136001</v>
      </c>
      <c r="F1279" s="2">
        <v>1418.265096451192</v>
      </c>
      <c r="G1279" s="2">
        <v>1375.7171435576563</v>
      </c>
      <c r="H1279" s="2">
        <v>1334.4456292509267</v>
      </c>
      <c r="I1279" s="2">
        <v>1294.4122603733988</v>
      </c>
      <c r="J1279" s="2">
        <v>1255.5798925621968</v>
      </c>
      <c r="K1279" s="2">
        <v>1217.912495785331</v>
      </c>
      <c r="L1279" s="2">
        <v>1181.3751209117711</v>
      </c>
      <c r="M1279" s="2">
        <v>1145.9338672844178</v>
      </c>
      <c r="N1279" s="2">
        <v>1111.5558512658852</v>
      </c>
      <c r="O1279" s="2">
        <v>1078.2091757279086</v>
      </c>
    </row>
    <row r="1280" spans="1:15" x14ac:dyDescent="0.25">
      <c r="A1280" t="s">
        <v>3676</v>
      </c>
      <c r="B1280" t="s">
        <v>3677</v>
      </c>
      <c r="C1280" s="2">
        <v>1547.4451520000002</v>
      </c>
      <c r="D1280" s="2">
        <v>1501.0217974400002</v>
      </c>
      <c r="E1280" s="2">
        <v>1455.9911435168001</v>
      </c>
      <c r="F1280" s="2">
        <v>1412.311409211296</v>
      </c>
      <c r="G1280" s="2">
        <v>1369.942066934957</v>
      </c>
      <c r="H1280" s="2">
        <v>1328.8438049269082</v>
      </c>
      <c r="I1280" s="2">
        <v>1288.9784907791009</v>
      </c>
      <c r="J1280" s="2">
        <v>1250.3091360557278</v>
      </c>
      <c r="K1280" s="2">
        <v>1212.7998619740558</v>
      </c>
      <c r="L1280" s="2">
        <v>1176.4158661148342</v>
      </c>
      <c r="M1280" s="2">
        <v>1141.1233901313892</v>
      </c>
      <c r="N1280" s="2">
        <v>1106.8896884274475</v>
      </c>
      <c r="O1280" s="2">
        <v>1073.682997774624</v>
      </c>
    </row>
    <row r="1281" spans="1:15" x14ac:dyDescent="0.25">
      <c r="A1281" t="s">
        <v>3678</v>
      </c>
      <c r="B1281" t="s">
        <v>3679</v>
      </c>
      <c r="C1281" s="2">
        <v>1543.474064</v>
      </c>
      <c r="D1281" s="2">
        <v>1497.1698420799999</v>
      </c>
      <c r="E1281" s="2">
        <v>1452.2547468175999</v>
      </c>
      <c r="F1281" s="2">
        <v>1408.6871044130719</v>
      </c>
      <c r="G1281" s="2">
        <v>1366.4264912806798</v>
      </c>
      <c r="H1281" s="2">
        <v>1325.4336965422594</v>
      </c>
      <c r="I1281" s="2">
        <v>1285.6706856459916</v>
      </c>
      <c r="J1281" s="2">
        <v>1247.1005650766119</v>
      </c>
      <c r="K1281" s="2">
        <v>1209.6875481243135</v>
      </c>
      <c r="L1281" s="2">
        <v>1173.396921680584</v>
      </c>
      <c r="M1281" s="2">
        <v>1138.1950140301665</v>
      </c>
      <c r="N1281" s="2">
        <v>1104.0491636092615</v>
      </c>
      <c r="O1281" s="2">
        <v>1070.9276887009837</v>
      </c>
    </row>
    <row r="1282" spans="1:15" x14ac:dyDescent="0.25">
      <c r="A1282" t="s">
        <v>3680</v>
      </c>
      <c r="B1282" t="s">
        <v>3681</v>
      </c>
      <c r="C1282" s="2">
        <v>1539.8915840000002</v>
      </c>
      <c r="D1282" s="2">
        <v>1493.69483648</v>
      </c>
      <c r="E1282" s="2">
        <v>1448.8839913856</v>
      </c>
      <c r="F1282" s="2">
        <v>1405.417471644032</v>
      </c>
      <c r="G1282" s="2">
        <v>1363.2549474947111</v>
      </c>
      <c r="H1282" s="2">
        <v>1322.3572990698697</v>
      </c>
      <c r="I1282" s="2">
        <v>1282.6865800977735</v>
      </c>
      <c r="J1282" s="2">
        <v>1244.2059826948403</v>
      </c>
      <c r="K1282" s="2">
        <v>1206.879803213995</v>
      </c>
      <c r="L1282" s="2">
        <v>1170.6734091175751</v>
      </c>
      <c r="M1282" s="2">
        <v>1135.553206844048</v>
      </c>
      <c r="N1282" s="2">
        <v>1101.4866106387265</v>
      </c>
      <c r="O1282" s="2">
        <v>1068.4420123195646</v>
      </c>
    </row>
    <row r="1283" spans="1:15" x14ac:dyDescent="0.25">
      <c r="A1283" t="s">
        <v>3682</v>
      </c>
      <c r="B1283" t="s">
        <v>3683</v>
      </c>
      <c r="C1283" s="2">
        <v>1533.3500160000003</v>
      </c>
      <c r="D1283" s="2">
        <v>1487.3495155200003</v>
      </c>
      <c r="E1283" s="2">
        <v>1442.7290300544003</v>
      </c>
      <c r="F1283" s="2">
        <v>1399.4471591527681</v>
      </c>
      <c r="G1283" s="2">
        <v>1357.4637443781851</v>
      </c>
      <c r="H1283" s="2">
        <v>1316.7398320468394</v>
      </c>
      <c r="I1283" s="2">
        <v>1277.2376370854342</v>
      </c>
      <c r="J1283" s="2">
        <v>1238.9205079728713</v>
      </c>
      <c r="K1283" s="2">
        <v>1201.752892733685</v>
      </c>
      <c r="L1283" s="2">
        <v>1165.7003059516744</v>
      </c>
      <c r="M1283" s="2">
        <v>1130.7292967731241</v>
      </c>
      <c r="N1283" s="2">
        <v>1096.8074178699303</v>
      </c>
      <c r="O1283" s="2">
        <v>1063.9031953338324</v>
      </c>
    </row>
    <row r="1284" spans="1:15" x14ac:dyDescent="0.25">
      <c r="A1284" t="s">
        <v>3684</v>
      </c>
      <c r="B1284" t="s">
        <v>3685</v>
      </c>
      <c r="C1284" s="2">
        <v>1532.4999360000004</v>
      </c>
      <c r="D1284" s="2">
        <v>1486.5249379200004</v>
      </c>
      <c r="E1284" s="2">
        <v>1441.9291897824003</v>
      </c>
      <c r="F1284" s="2">
        <v>1398.6713140889283</v>
      </c>
      <c r="G1284" s="2">
        <v>1356.7111746662604</v>
      </c>
      <c r="H1284" s="2">
        <v>1316.0098394262725</v>
      </c>
      <c r="I1284" s="2">
        <v>1276.5295442434842</v>
      </c>
      <c r="J1284" s="2">
        <v>1238.2336579161797</v>
      </c>
      <c r="K1284" s="2">
        <v>1201.0866481786943</v>
      </c>
      <c r="L1284" s="2">
        <v>1165.0540487333335</v>
      </c>
      <c r="M1284" s="2">
        <v>1130.1024272713335</v>
      </c>
      <c r="N1284" s="2">
        <v>1096.1993544531933</v>
      </c>
      <c r="O1284" s="2">
        <v>1063.3133738195975</v>
      </c>
    </row>
    <row r="1285" spans="1:15" x14ac:dyDescent="0.25">
      <c r="A1285" t="s">
        <v>3686</v>
      </c>
      <c r="B1285" t="s">
        <v>3687</v>
      </c>
      <c r="C1285" s="2">
        <v>1529.1643840000004</v>
      </c>
      <c r="D1285" s="2">
        <v>1483.2894524800004</v>
      </c>
      <c r="E1285" s="2">
        <v>1438.7907689056003</v>
      </c>
      <c r="F1285" s="2">
        <v>1395.6270458384322</v>
      </c>
      <c r="G1285" s="2">
        <v>1353.7582344632792</v>
      </c>
      <c r="H1285" s="2">
        <v>1313.1454874293809</v>
      </c>
      <c r="I1285" s="2">
        <v>1273.7511228064993</v>
      </c>
      <c r="J1285" s="2">
        <v>1235.5385891223043</v>
      </c>
      <c r="K1285" s="2">
        <v>1198.4724314486352</v>
      </c>
      <c r="L1285" s="2">
        <v>1162.5182585051762</v>
      </c>
      <c r="M1285" s="2">
        <v>1127.6427107500208</v>
      </c>
      <c r="N1285" s="2">
        <v>1093.8134294275201</v>
      </c>
      <c r="O1285" s="2">
        <v>1060.9990265446945</v>
      </c>
    </row>
    <row r="1286" spans="1:15" x14ac:dyDescent="0.25">
      <c r="A1286" t="s">
        <v>3688</v>
      </c>
      <c r="B1286" t="s">
        <v>3689</v>
      </c>
      <c r="C1286" s="2">
        <v>1527.0594240000005</v>
      </c>
      <c r="D1286" s="2">
        <v>1481.2476412800004</v>
      </c>
      <c r="E1286" s="2">
        <v>1436.8102120416004</v>
      </c>
      <c r="F1286" s="2">
        <v>1393.7059056803523</v>
      </c>
      <c r="G1286" s="2">
        <v>1351.8947285099416</v>
      </c>
      <c r="H1286" s="2">
        <v>1311.3378866546434</v>
      </c>
      <c r="I1286" s="2">
        <v>1271.997750055004</v>
      </c>
      <c r="J1286" s="2">
        <v>1233.8378175533537</v>
      </c>
      <c r="K1286" s="2">
        <v>1196.8226830267531</v>
      </c>
      <c r="L1286" s="2">
        <v>1160.9180025359506</v>
      </c>
      <c r="M1286" s="2">
        <v>1126.090462459872</v>
      </c>
      <c r="N1286" s="2">
        <v>1092.3077485860758</v>
      </c>
      <c r="O1286" s="2">
        <v>1059.5385161284935</v>
      </c>
    </row>
    <row r="1287" spans="1:15" x14ac:dyDescent="0.25">
      <c r="A1287" t="s">
        <v>3690</v>
      </c>
      <c r="B1287" t="s">
        <v>3691</v>
      </c>
      <c r="C1287" s="2">
        <v>1526.8813120000002</v>
      </c>
      <c r="D1287" s="2">
        <v>1481.0748726400002</v>
      </c>
      <c r="E1287" s="2">
        <v>1436.6426264608001</v>
      </c>
      <c r="F1287" s="2">
        <v>1393.5433476669762</v>
      </c>
      <c r="G1287" s="2">
        <v>1351.7370472369669</v>
      </c>
      <c r="H1287" s="2">
        <v>1311.1849358198579</v>
      </c>
      <c r="I1287" s="2">
        <v>1271.849387745262</v>
      </c>
      <c r="J1287" s="2">
        <v>1233.6939061129042</v>
      </c>
      <c r="K1287" s="2">
        <v>1196.683088929517</v>
      </c>
      <c r="L1287" s="2">
        <v>1160.7825962616314</v>
      </c>
      <c r="M1287" s="2">
        <v>1125.9591183737825</v>
      </c>
      <c r="N1287" s="2">
        <v>1092.1803448225689</v>
      </c>
      <c r="O1287" s="2">
        <v>1059.4149344778918</v>
      </c>
    </row>
    <row r="1288" spans="1:15" x14ac:dyDescent="0.25">
      <c r="A1288" t="s">
        <v>3692</v>
      </c>
      <c r="B1288" t="s">
        <v>3693</v>
      </c>
      <c r="C1288" s="2">
        <v>1524.5010880000002</v>
      </c>
      <c r="D1288" s="2">
        <v>1478.7660553600001</v>
      </c>
      <c r="E1288" s="2">
        <v>1434.4030736992001</v>
      </c>
      <c r="F1288" s="2">
        <v>1391.3709814882241</v>
      </c>
      <c r="G1288" s="2">
        <v>1349.6298520435773</v>
      </c>
      <c r="H1288" s="2">
        <v>1309.14095648227</v>
      </c>
      <c r="I1288" s="2">
        <v>1269.8667277878019</v>
      </c>
      <c r="J1288" s="2">
        <v>1231.7707259541678</v>
      </c>
      <c r="K1288" s="2">
        <v>1194.8176041755428</v>
      </c>
      <c r="L1288" s="2">
        <v>1158.9730760502764</v>
      </c>
      <c r="M1288" s="2">
        <v>1124.203883768768</v>
      </c>
      <c r="N1288" s="2">
        <v>1090.477767255705</v>
      </c>
      <c r="O1288" s="2">
        <v>1057.7634342380338</v>
      </c>
    </row>
    <row r="1289" spans="1:15" x14ac:dyDescent="0.25">
      <c r="A1289" t="s">
        <v>3694</v>
      </c>
      <c r="B1289" t="s">
        <v>3693</v>
      </c>
      <c r="C1289" s="2">
        <v>1524.5010880000002</v>
      </c>
      <c r="D1289" s="2">
        <v>1478.7660553600001</v>
      </c>
      <c r="E1289" s="2">
        <v>1434.4030736992001</v>
      </c>
      <c r="F1289" s="2">
        <v>1391.3709814882241</v>
      </c>
      <c r="G1289" s="2">
        <v>1349.6298520435773</v>
      </c>
      <c r="H1289" s="2">
        <v>1309.14095648227</v>
      </c>
      <c r="I1289" s="2">
        <v>1269.8667277878019</v>
      </c>
      <c r="J1289" s="2">
        <v>1231.7707259541678</v>
      </c>
      <c r="K1289" s="2">
        <v>1194.8176041755428</v>
      </c>
      <c r="L1289" s="2">
        <v>1158.9730760502764</v>
      </c>
      <c r="M1289" s="2">
        <v>1124.203883768768</v>
      </c>
      <c r="N1289" s="2">
        <v>1090.477767255705</v>
      </c>
      <c r="O1289" s="2">
        <v>1057.7634342380338</v>
      </c>
    </row>
    <row r="1290" spans="1:15" x14ac:dyDescent="0.25">
      <c r="A1290" t="s">
        <v>3695</v>
      </c>
      <c r="B1290" t="s">
        <v>3693</v>
      </c>
      <c r="C1290" s="2">
        <v>1524.5010880000002</v>
      </c>
      <c r="D1290" s="2">
        <v>1478.7660553600001</v>
      </c>
      <c r="E1290" s="2">
        <v>1434.4030736992001</v>
      </c>
      <c r="F1290" s="2">
        <v>1391.3709814882241</v>
      </c>
      <c r="G1290" s="2">
        <v>1349.6298520435773</v>
      </c>
      <c r="H1290" s="2">
        <v>1309.14095648227</v>
      </c>
      <c r="I1290" s="2">
        <v>1269.8667277878019</v>
      </c>
      <c r="J1290" s="2">
        <v>1231.7707259541678</v>
      </c>
      <c r="K1290" s="2">
        <v>1194.8176041755428</v>
      </c>
      <c r="L1290" s="2">
        <v>1158.9730760502764</v>
      </c>
      <c r="M1290" s="2">
        <v>1124.203883768768</v>
      </c>
      <c r="N1290" s="2">
        <v>1090.477767255705</v>
      </c>
      <c r="O1290" s="2">
        <v>1057.7634342380338</v>
      </c>
    </row>
    <row r="1291" spans="1:15" x14ac:dyDescent="0.25">
      <c r="A1291" t="s">
        <v>3696</v>
      </c>
      <c r="B1291" t="s">
        <v>3697</v>
      </c>
      <c r="C1291" s="2">
        <v>1521.9994240000005</v>
      </c>
      <c r="D1291" s="2">
        <v>1476.3394412800005</v>
      </c>
      <c r="E1291" s="2">
        <v>1432.0492580416005</v>
      </c>
      <c r="F1291" s="2">
        <v>1389.0877803003525</v>
      </c>
      <c r="G1291" s="2">
        <v>1347.4151468913419</v>
      </c>
      <c r="H1291" s="2">
        <v>1306.9926924846015</v>
      </c>
      <c r="I1291" s="2">
        <v>1267.7829117100634</v>
      </c>
      <c r="J1291" s="2">
        <v>1229.7494243587614</v>
      </c>
      <c r="K1291" s="2">
        <v>1192.8569416279986</v>
      </c>
      <c r="L1291" s="2">
        <v>1157.0712333791587</v>
      </c>
      <c r="M1291" s="2">
        <v>1122.359096377784</v>
      </c>
      <c r="N1291" s="2">
        <v>1088.6883234864504</v>
      </c>
      <c r="O1291" s="2">
        <v>1056.0276737818567</v>
      </c>
    </row>
    <row r="1292" spans="1:15" x14ac:dyDescent="0.25">
      <c r="A1292" t="s">
        <v>3698</v>
      </c>
      <c r="B1292" t="s">
        <v>3699</v>
      </c>
      <c r="C1292" s="2">
        <v>1520.8012160000001</v>
      </c>
      <c r="D1292" s="2">
        <v>1475.17717952</v>
      </c>
      <c r="E1292" s="2">
        <v>1430.9218641344</v>
      </c>
      <c r="F1292" s="2">
        <v>1387.994208210368</v>
      </c>
      <c r="G1292" s="2">
        <v>1346.354381964057</v>
      </c>
      <c r="H1292" s="2">
        <v>1305.9637505051353</v>
      </c>
      <c r="I1292" s="2">
        <v>1266.7848379899813</v>
      </c>
      <c r="J1292" s="2">
        <v>1228.7812928502817</v>
      </c>
      <c r="K1292" s="2">
        <v>1191.9178540647733</v>
      </c>
      <c r="L1292" s="2">
        <v>1156.1603184428302</v>
      </c>
      <c r="M1292" s="2">
        <v>1121.4755088895452</v>
      </c>
      <c r="N1292" s="2">
        <v>1087.8312436228587</v>
      </c>
      <c r="O1292" s="2">
        <v>1055.1963063141729</v>
      </c>
    </row>
    <row r="1293" spans="1:15" x14ac:dyDescent="0.25">
      <c r="A1293" t="s">
        <v>3700</v>
      </c>
      <c r="B1293" t="s">
        <v>3701</v>
      </c>
      <c r="C1293" s="2">
        <v>1513.3690880000001</v>
      </c>
      <c r="D1293" s="2">
        <v>1467.9680153600002</v>
      </c>
      <c r="E1293" s="2">
        <v>1423.9289748992001</v>
      </c>
      <c r="F1293" s="2">
        <v>1381.211105652224</v>
      </c>
      <c r="G1293" s="2">
        <v>1339.7747724826572</v>
      </c>
      <c r="H1293" s="2">
        <v>1299.5815293081776</v>
      </c>
      <c r="I1293" s="2">
        <v>1260.5940834289322</v>
      </c>
      <c r="J1293" s="2">
        <v>1222.7762609260642</v>
      </c>
      <c r="K1293" s="2">
        <v>1186.0929730982823</v>
      </c>
      <c r="L1293" s="2">
        <v>1150.5101839053339</v>
      </c>
      <c r="M1293" s="2">
        <v>1115.9948783881739</v>
      </c>
      <c r="N1293" s="2">
        <v>1082.5150320365287</v>
      </c>
      <c r="O1293" s="2">
        <v>1050.0395810754328</v>
      </c>
    </row>
    <row r="1294" spans="1:15" x14ac:dyDescent="0.25">
      <c r="A1294" t="s">
        <v>3702</v>
      </c>
      <c r="B1294" t="s">
        <v>3703</v>
      </c>
      <c r="C1294" s="2">
        <v>1512.9723840000001</v>
      </c>
      <c r="D1294" s="2">
        <v>1467.5832124800002</v>
      </c>
      <c r="E1294" s="2">
        <v>1423.5557161056001</v>
      </c>
      <c r="F1294" s="2">
        <v>1380.8490446224321</v>
      </c>
      <c r="G1294" s="2">
        <v>1339.423573283759</v>
      </c>
      <c r="H1294" s="2">
        <v>1299.2408660852461</v>
      </c>
      <c r="I1294" s="2">
        <v>1260.2636401026887</v>
      </c>
      <c r="J1294" s="2">
        <v>1222.4557308996079</v>
      </c>
      <c r="K1294" s="2">
        <v>1185.7820589726198</v>
      </c>
      <c r="L1294" s="2">
        <v>1150.2085972034411</v>
      </c>
      <c r="M1294" s="2">
        <v>1115.7023392873377</v>
      </c>
      <c r="N1294" s="2">
        <v>1082.2312691087175</v>
      </c>
      <c r="O1294" s="2">
        <v>1049.7643310354558</v>
      </c>
    </row>
    <row r="1295" spans="1:15" x14ac:dyDescent="0.25">
      <c r="A1295" t="s">
        <v>3704</v>
      </c>
      <c r="B1295" t="s">
        <v>3705</v>
      </c>
      <c r="C1295" s="2">
        <v>1512.2746100000002</v>
      </c>
      <c r="D1295" s="2">
        <v>1466.9063717000001</v>
      </c>
      <c r="E1295" s="2">
        <v>1422.899180549</v>
      </c>
      <c r="F1295" s="2">
        <v>1380.21220513253</v>
      </c>
      <c r="G1295" s="2">
        <v>1338.805838978554</v>
      </c>
      <c r="H1295" s="2">
        <v>1298.6416638091973</v>
      </c>
      <c r="I1295" s="2">
        <v>1259.6824138949214</v>
      </c>
      <c r="J1295" s="2">
        <v>1221.8919414780737</v>
      </c>
      <c r="K1295" s="2">
        <v>1185.2351832337315</v>
      </c>
      <c r="L1295" s="2">
        <v>1149.6781277367195</v>
      </c>
      <c r="M1295" s="2">
        <v>1115.1877839046178</v>
      </c>
      <c r="N1295" s="2">
        <v>1081.7321503874794</v>
      </c>
      <c r="O1295" s="2">
        <v>1049.2801858758548</v>
      </c>
    </row>
    <row r="1296" spans="1:15" x14ac:dyDescent="0.25">
      <c r="A1296" t="s">
        <v>3706</v>
      </c>
      <c r="B1296" t="s">
        <v>3707</v>
      </c>
      <c r="C1296" s="2">
        <v>1498.0433600000001</v>
      </c>
      <c r="D1296" s="2">
        <v>1453.1020592</v>
      </c>
      <c r="E1296" s="2">
        <v>1409.508997424</v>
      </c>
      <c r="F1296" s="2">
        <v>1367.2237275012799</v>
      </c>
      <c r="G1296" s="2">
        <v>1326.2070156762416</v>
      </c>
      <c r="H1296" s="2">
        <v>1286.4208052059544</v>
      </c>
      <c r="I1296" s="2">
        <v>1247.8281810497756</v>
      </c>
      <c r="J1296" s="2">
        <v>1210.3933356182822</v>
      </c>
      <c r="K1296" s="2">
        <v>1174.0815355497336</v>
      </c>
      <c r="L1296" s="2">
        <v>1138.8590894832416</v>
      </c>
      <c r="M1296" s="2">
        <v>1104.6933167987443</v>
      </c>
      <c r="N1296" s="2">
        <v>1071.5525172947819</v>
      </c>
      <c r="O1296" s="2">
        <v>1039.4059417759383</v>
      </c>
    </row>
    <row r="1297" spans="1:15" x14ac:dyDescent="0.25">
      <c r="A1297" t="s">
        <v>3708</v>
      </c>
      <c r="B1297" t="s">
        <v>3709</v>
      </c>
      <c r="C1297" s="2">
        <v>1496.4808320000002</v>
      </c>
      <c r="D1297" s="2">
        <v>1451.58640704</v>
      </c>
      <c r="E1297" s="2">
        <v>1408.0388148288</v>
      </c>
      <c r="F1297" s="2">
        <v>1365.7976503839359</v>
      </c>
      <c r="G1297" s="2">
        <v>1324.8237208724179</v>
      </c>
      <c r="H1297" s="2">
        <v>1285.0790092462453</v>
      </c>
      <c r="I1297" s="2">
        <v>1246.5266389688579</v>
      </c>
      <c r="J1297" s="2">
        <v>1209.1308397997921</v>
      </c>
      <c r="K1297" s="2">
        <v>1172.8569146057982</v>
      </c>
      <c r="L1297" s="2">
        <v>1137.6712071676243</v>
      </c>
      <c r="M1297" s="2">
        <v>1103.5410709525954</v>
      </c>
      <c r="N1297" s="2">
        <v>1070.4348388240176</v>
      </c>
      <c r="O1297" s="2">
        <v>1038.3217936592971</v>
      </c>
    </row>
    <row r="1298" spans="1:15" x14ac:dyDescent="0.25">
      <c r="A1298" t="s">
        <v>3710</v>
      </c>
      <c r="B1298" t="s">
        <v>3711</v>
      </c>
      <c r="C1298" s="2">
        <v>1485.2041160000001</v>
      </c>
      <c r="D1298" s="2">
        <v>1440.6479925200001</v>
      </c>
      <c r="E1298" s="2">
        <v>1397.4285527444001</v>
      </c>
      <c r="F1298" s="2">
        <v>1355.505696162068</v>
      </c>
      <c r="G1298" s="2">
        <v>1314.8405252772059</v>
      </c>
      <c r="H1298" s="2">
        <v>1275.3953095188897</v>
      </c>
      <c r="I1298" s="2">
        <v>1237.1334502333229</v>
      </c>
      <c r="J1298" s="2">
        <v>1200.0194467263232</v>
      </c>
      <c r="K1298" s="2">
        <v>1164.0188633245334</v>
      </c>
      <c r="L1298" s="2">
        <v>1129.0982974247975</v>
      </c>
      <c r="M1298" s="2">
        <v>1095.2253485020535</v>
      </c>
      <c r="N1298" s="2">
        <v>1062.3685880469918</v>
      </c>
      <c r="O1298" s="2">
        <v>1030.497530405582</v>
      </c>
    </row>
    <row r="1299" spans="1:15" x14ac:dyDescent="0.25">
      <c r="A1299" t="s">
        <v>3712</v>
      </c>
      <c r="B1299" t="s">
        <v>3713</v>
      </c>
      <c r="C1299" s="2">
        <v>1483.1224320000001</v>
      </c>
      <c r="D1299" s="2">
        <v>1438.62875904</v>
      </c>
      <c r="E1299" s="2">
        <v>1395.4698962687999</v>
      </c>
      <c r="F1299" s="2">
        <v>1353.6057993807358</v>
      </c>
      <c r="G1299" s="2">
        <v>1312.9976253993136</v>
      </c>
      <c r="H1299" s="2">
        <v>1273.6076966373341</v>
      </c>
      <c r="I1299" s="2">
        <v>1235.3994657382141</v>
      </c>
      <c r="J1299" s="2">
        <v>1198.3374817660676</v>
      </c>
      <c r="K1299" s="2">
        <v>1162.3873573130857</v>
      </c>
      <c r="L1299" s="2">
        <v>1127.515736593693</v>
      </c>
      <c r="M1299" s="2">
        <v>1093.690264495882</v>
      </c>
      <c r="N1299" s="2">
        <v>1060.8795565610055</v>
      </c>
      <c r="O1299" s="2">
        <v>1029.0531698641753</v>
      </c>
    </row>
    <row r="1300" spans="1:15" x14ac:dyDescent="0.25">
      <c r="A1300" t="s">
        <v>3714</v>
      </c>
      <c r="B1300" t="s">
        <v>3713</v>
      </c>
      <c r="C1300" s="2">
        <v>1483.1224320000001</v>
      </c>
      <c r="D1300" s="2">
        <v>1438.62875904</v>
      </c>
      <c r="E1300" s="2">
        <v>1395.4698962687999</v>
      </c>
      <c r="F1300" s="2">
        <v>1353.6057993807358</v>
      </c>
      <c r="G1300" s="2">
        <v>1312.9976253993136</v>
      </c>
      <c r="H1300" s="2">
        <v>1273.6076966373341</v>
      </c>
      <c r="I1300" s="2">
        <v>1235.3994657382141</v>
      </c>
      <c r="J1300" s="2">
        <v>1198.3374817660676</v>
      </c>
      <c r="K1300" s="2">
        <v>1162.3873573130857</v>
      </c>
      <c r="L1300" s="2">
        <v>1127.515736593693</v>
      </c>
      <c r="M1300" s="2">
        <v>1093.690264495882</v>
      </c>
      <c r="N1300" s="2">
        <v>1060.8795565610055</v>
      </c>
      <c r="O1300" s="2">
        <v>1029.0531698641753</v>
      </c>
    </row>
    <row r="1301" spans="1:15" x14ac:dyDescent="0.25">
      <c r="A1301" t="s">
        <v>3715</v>
      </c>
      <c r="B1301" t="s">
        <v>3713</v>
      </c>
      <c r="C1301" s="2">
        <v>1483.1224320000001</v>
      </c>
      <c r="D1301" s="2">
        <v>1438.62875904</v>
      </c>
      <c r="E1301" s="2">
        <v>1395.4698962687999</v>
      </c>
      <c r="F1301" s="2">
        <v>1353.6057993807358</v>
      </c>
      <c r="G1301" s="2">
        <v>1312.9976253993136</v>
      </c>
      <c r="H1301" s="2">
        <v>1273.6076966373341</v>
      </c>
      <c r="I1301" s="2">
        <v>1235.3994657382141</v>
      </c>
      <c r="J1301" s="2">
        <v>1198.3374817660676</v>
      </c>
      <c r="K1301" s="2">
        <v>1162.3873573130857</v>
      </c>
      <c r="L1301" s="2">
        <v>1127.515736593693</v>
      </c>
      <c r="M1301" s="2">
        <v>1093.690264495882</v>
      </c>
      <c r="N1301" s="2">
        <v>1060.8795565610055</v>
      </c>
      <c r="O1301" s="2">
        <v>1029.0531698641753</v>
      </c>
    </row>
    <row r="1302" spans="1:15" x14ac:dyDescent="0.25">
      <c r="A1302" t="s">
        <v>3716</v>
      </c>
      <c r="B1302" t="s">
        <v>3717</v>
      </c>
      <c r="C1302" s="2">
        <v>1478.9125120000006</v>
      </c>
      <c r="D1302" s="2">
        <v>1434.5451366400005</v>
      </c>
      <c r="E1302" s="2">
        <v>1391.5087825408004</v>
      </c>
      <c r="F1302" s="2">
        <v>1349.7635190645765</v>
      </c>
      <c r="G1302" s="2">
        <v>1309.2706134926391</v>
      </c>
      <c r="H1302" s="2">
        <v>1269.9924950878599</v>
      </c>
      <c r="I1302" s="2">
        <v>1231.892720235224</v>
      </c>
      <c r="J1302" s="2">
        <v>1194.9359386281674</v>
      </c>
      <c r="K1302" s="2">
        <v>1159.0878604693223</v>
      </c>
      <c r="L1302" s="2">
        <v>1124.3152246552427</v>
      </c>
      <c r="M1302" s="2">
        <v>1090.5857679155854</v>
      </c>
      <c r="N1302" s="2">
        <v>1057.8681948781177</v>
      </c>
      <c r="O1302" s="2">
        <v>1026.1321490317741</v>
      </c>
    </row>
    <row r="1303" spans="1:15" x14ac:dyDescent="0.25">
      <c r="A1303" t="s">
        <v>3718</v>
      </c>
      <c r="B1303" t="s">
        <v>3719</v>
      </c>
      <c r="C1303" s="2">
        <v>1478.3781760000002</v>
      </c>
      <c r="D1303" s="2">
        <v>1434.0268307200001</v>
      </c>
      <c r="E1303" s="2">
        <v>1391.0060257984001</v>
      </c>
      <c r="F1303" s="2">
        <v>1349.275845024448</v>
      </c>
      <c r="G1303" s="2">
        <v>1308.7975696737146</v>
      </c>
      <c r="H1303" s="2">
        <v>1269.5336425835033</v>
      </c>
      <c r="I1303" s="2">
        <v>1231.4476333059981</v>
      </c>
      <c r="J1303" s="2">
        <v>1194.5042043068181</v>
      </c>
      <c r="K1303" s="2">
        <v>1158.6690781776135</v>
      </c>
      <c r="L1303" s="2">
        <v>1123.9090058322852</v>
      </c>
      <c r="M1303" s="2">
        <v>1090.1917356573165</v>
      </c>
      <c r="N1303" s="2">
        <v>1057.485983587597</v>
      </c>
      <c r="O1303" s="2">
        <v>1025.761404079969</v>
      </c>
    </row>
    <row r="1304" spans="1:15" x14ac:dyDescent="0.25">
      <c r="A1304" t="s">
        <v>3720</v>
      </c>
      <c r="B1304" t="s">
        <v>3719</v>
      </c>
      <c r="C1304" s="2">
        <v>1478.3781760000002</v>
      </c>
      <c r="D1304" s="2">
        <v>1434.0268307200001</v>
      </c>
      <c r="E1304" s="2">
        <v>1391.0060257984001</v>
      </c>
      <c r="F1304" s="2">
        <v>1349.275845024448</v>
      </c>
      <c r="G1304" s="2">
        <v>1308.7975696737146</v>
      </c>
      <c r="H1304" s="2">
        <v>1269.5336425835033</v>
      </c>
      <c r="I1304" s="2">
        <v>1231.4476333059981</v>
      </c>
      <c r="J1304" s="2">
        <v>1194.5042043068181</v>
      </c>
      <c r="K1304" s="2">
        <v>1158.6690781776135</v>
      </c>
      <c r="L1304" s="2">
        <v>1123.9090058322852</v>
      </c>
      <c r="M1304" s="2">
        <v>1090.1917356573165</v>
      </c>
      <c r="N1304" s="2">
        <v>1057.485983587597</v>
      </c>
      <c r="O1304" s="2">
        <v>1025.761404079969</v>
      </c>
    </row>
    <row r="1305" spans="1:15" x14ac:dyDescent="0.25">
      <c r="A1305" t="s">
        <v>3721</v>
      </c>
      <c r="B1305" t="s">
        <v>3719</v>
      </c>
      <c r="C1305" s="2">
        <v>1478.3781760000002</v>
      </c>
      <c r="D1305" s="2">
        <v>1434.0268307200001</v>
      </c>
      <c r="E1305" s="2">
        <v>1391.0060257984001</v>
      </c>
      <c r="F1305" s="2">
        <v>1349.275845024448</v>
      </c>
      <c r="G1305" s="2">
        <v>1308.7975696737146</v>
      </c>
      <c r="H1305" s="2">
        <v>1269.5336425835033</v>
      </c>
      <c r="I1305" s="2">
        <v>1231.4476333059981</v>
      </c>
      <c r="J1305" s="2">
        <v>1194.5042043068181</v>
      </c>
      <c r="K1305" s="2">
        <v>1158.6690781776135</v>
      </c>
      <c r="L1305" s="2">
        <v>1123.9090058322852</v>
      </c>
      <c r="M1305" s="2">
        <v>1090.1917356573165</v>
      </c>
      <c r="N1305" s="2">
        <v>1057.485983587597</v>
      </c>
      <c r="O1305" s="2">
        <v>1025.761404079969</v>
      </c>
    </row>
    <row r="1306" spans="1:15" x14ac:dyDescent="0.25">
      <c r="A1306" t="s">
        <v>3722</v>
      </c>
      <c r="B1306" t="s">
        <v>3719</v>
      </c>
      <c r="C1306" s="2">
        <v>1478.3781760000002</v>
      </c>
      <c r="D1306" s="2">
        <v>1434.0268307200001</v>
      </c>
      <c r="E1306" s="2">
        <v>1391.0060257984001</v>
      </c>
      <c r="F1306" s="2">
        <v>1349.275845024448</v>
      </c>
      <c r="G1306" s="2">
        <v>1308.7975696737146</v>
      </c>
      <c r="H1306" s="2">
        <v>1269.5336425835033</v>
      </c>
      <c r="I1306" s="2">
        <v>1231.4476333059981</v>
      </c>
      <c r="J1306" s="2">
        <v>1194.5042043068181</v>
      </c>
      <c r="K1306" s="2">
        <v>1158.6690781776135</v>
      </c>
      <c r="L1306" s="2">
        <v>1123.9090058322852</v>
      </c>
      <c r="M1306" s="2">
        <v>1090.1917356573165</v>
      </c>
      <c r="N1306" s="2">
        <v>1057.485983587597</v>
      </c>
      <c r="O1306" s="2">
        <v>1025.761404079969</v>
      </c>
    </row>
    <row r="1307" spans="1:15" x14ac:dyDescent="0.25">
      <c r="A1307" t="s">
        <v>3723</v>
      </c>
      <c r="B1307" t="s">
        <v>3719</v>
      </c>
      <c r="C1307" s="2">
        <v>1478.3781760000002</v>
      </c>
      <c r="D1307" s="2">
        <v>1434.0268307200001</v>
      </c>
      <c r="E1307" s="2">
        <v>1391.0060257984001</v>
      </c>
      <c r="F1307" s="2">
        <v>1349.275845024448</v>
      </c>
      <c r="G1307" s="2">
        <v>1308.7975696737146</v>
      </c>
      <c r="H1307" s="2">
        <v>1269.5336425835033</v>
      </c>
      <c r="I1307" s="2">
        <v>1231.4476333059981</v>
      </c>
      <c r="J1307" s="2">
        <v>1194.5042043068181</v>
      </c>
      <c r="K1307" s="2">
        <v>1158.6690781776135</v>
      </c>
      <c r="L1307" s="2">
        <v>1123.9090058322852</v>
      </c>
      <c r="M1307" s="2">
        <v>1090.1917356573165</v>
      </c>
      <c r="N1307" s="2">
        <v>1057.485983587597</v>
      </c>
      <c r="O1307" s="2">
        <v>1025.761404079969</v>
      </c>
    </row>
    <row r="1308" spans="1:15" x14ac:dyDescent="0.25">
      <c r="A1308" t="s">
        <v>3724</v>
      </c>
      <c r="B1308" t="s">
        <v>3725</v>
      </c>
      <c r="C1308" s="2">
        <v>1473.8768000000002</v>
      </c>
      <c r="D1308" s="2">
        <v>1429.6604960000002</v>
      </c>
      <c r="E1308" s="2">
        <v>1386.7706811200001</v>
      </c>
      <c r="F1308" s="2">
        <v>1345.1675606864001</v>
      </c>
      <c r="G1308" s="2">
        <v>1304.8125338658081</v>
      </c>
      <c r="H1308" s="2">
        <v>1265.6681578498337</v>
      </c>
      <c r="I1308" s="2">
        <v>1227.6981131143386</v>
      </c>
      <c r="J1308" s="2">
        <v>1190.8671697209084</v>
      </c>
      <c r="K1308" s="2">
        <v>1155.1411546292811</v>
      </c>
      <c r="L1308" s="2">
        <v>1120.4869199904026</v>
      </c>
      <c r="M1308" s="2">
        <v>1086.8723123906905</v>
      </c>
      <c r="N1308" s="2">
        <v>1054.2661430189696</v>
      </c>
      <c r="O1308" s="2">
        <v>1022.6381587284005</v>
      </c>
    </row>
    <row r="1309" spans="1:15" x14ac:dyDescent="0.25">
      <c r="A1309" t="s">
        <v>3726</v>
      </c>
      <c r="B1309" t="s">
        <v>3727</v>
      </c>
      <c r="C1309" s="2">
        <v>1470.2538400000001</v>
      </c>
      <c r="D1309" s="2">
        <v>1426.1462248</v>
      </c>
      <c r="E1309" s="2">
        <v>1383.3618380559999</v>
      </c>
      <c r="F1309" s="2">
        <v>1341.8609829143199</v>
      </c>
      <c r="G1309" s="2">
        <v>1301.6051534268904</v>
      </c>
      <c r="H1309" s="2">
        <v>1262.5569988240836</v>
      </c>
      <c r="I1309" s="2">
        <v>1224.6802888593611</v>
      </c>
      <c r="J1309" s="2">
        <v>1187.9398801935802</v>
      </c>
      <c r="K1309" s="2">
        <v>1152.3016837877726</v>
      </c>
      <c r="L1309" s="2">
        <v>1117.7326332741395</v>
      </c>
      <c r="M1309" s="2">
        <v>1084.2006542759152</v>
      </c>
      <c r="N1309" s="2">
        <v>1051.6746346476377</v>
      </c>
      <c r="O1309" s="2">
        <v>1020.1243956082086</v>
      </c>
    </row>
    <row r="1310" spans="1:15" x14ac:dyDescent="0.25">
      <c r="A1310" t="s">
        <v>3728</v>
      </c>
      <c r="B1310" t="s">
        <v>3729</v>
      </c>
      <c r="C1310" s="2">
        <v>1469.901664</v>
      </c>
      <c r="D1310" s="2">
        <v>1425.80461408</v>
      </c>
      <c r="E1310" s="2">
        <v>1383.0304756575999</v>
      </c>
      <c r="F1310" s="2">
        <v>1341.5395613878718</v>
      </c>
      <c r="G1310" s="2">
        <v>1301.2933745462356</v>
      </c>
      <c r="H1310" s="2">
        <v>1262.2545733098484</v>
      </c>
      <c r="I1310" s="2">
        <v>1224.3869361105528</v>
      </c>
      <c r="J1310" s="2">
        <v>1187.6553280272362</v>
      </c>
      <c r="K1310" s="2">
        <v>1152.0256681864191</v>
      </c>
      <c r="L1310" s="2">
        <v>1117.4648981408266</v>
      </c>
      <c r="M1310" s="2">
        <v>1083.9409511966016</v>
      </c>
      <c r="N1310" s="2">
        <v>1051.4227226607036</v>
      </c>
      <c r="O1310" s="2">
        <v>1019.8800409808824</v>
      </c>
    </row>
    <row r="1311" spans="1:15" x14ac:dyDescent="0.25">
      <c r="A1311" t="s">
        <v>3730</v>
      </c>
      <c r="B1311" t="s">
        <v>3731</v>
      </c>
      <c r="C1311" s="2">
        <v>1468.7277440000005</v>
      </c>
      <c r="D1311" s="2">
        <v>1424.6659116800004</v>
      </c>
      <c r="E1311" s="2">
        <v>1381.9259343296003</v>
      </c>
      <c r="F1311" s="2">
        <v>1340.4681562997123</v>
      </c>
      <c r="G1311" s="2">
        <v>1300.2541116107209</v>
      </c>
      <c r="H1311" s="2">
        <v>1261.2464882623992</v>
      </c>
      <c r="I1311" s="2">
        <v>1223.4090936145271</v>
      </c>
      <c r="J1311" s="2">
        <v>1186.7068208060914</v>
      </c>
      <c r="K1311" s="2">
        <v>1151.1056161819085</v>
      </c>
      <c r="L1311" s="2">
        <v>1116.5724476964513</v>
      </c>
      <c r="M1311" s="2">
        <v>1083.0752742655577</v>
      </c>
      <c r="N1311" s="2">
        <v>1050.5830160375911</v>
      </c>
      <c r="O1311" s="2">
        <v>1019.0655255564633</v>
      </c>
    </row>
    <row r="1312" spans="1:15" x14ac:dyDescent="0.25">
      <c r="A1312" t="s">
        <v>3732</v>
      </c>
      <c r="B1312" t="s">
        <v>3733</v>
      </c>
      <c r="C1312" s="2">
        <v>1467.6302300000002</v>
      </c>
      <c r="D1312" s="2">
        <v>1423.6013231000002</v>
      </c>
      <c r="E1312" s="2">
        <v>1380.8932834070001</v>
      </c>
      <c r="F1312" s="2">
        <v>1339.4664849047901</v>
      </c>
      <c r="G1312" s="2">
        <v>1299.2824903576463</v>
      </c>
      <c r="H1312" s="2">
        <v>1260.3040156469169</v>
      </c>
      <c r="I1312" s="2">
        <v>1222.4948951775093</v>
      </c>
      <c r="J1312" s="2">
        <v>1185.820048322184</v>
      </c>
      <c r="K1312" s="2">
        <v>1150.2454468725184</v>
      </c>
      <c r="L1312" s="2">
        <v>1115.7380834663429</v>
      </c>
      <c r="M1312" s="2">
        <v>1082.2659409623525</v>
      </c>
      <c r="N1312" s="2">
        <v>1049.7979627334819</v>
      </c>
      <c r="O1312" s="2">
        <v>1018.3040238514774</v>
      </c>
    </row>
    <row r="1313" spans="1:15" x14ac:dyDescent="0.25">
      <c r="A1313" t="s">
        <v>3734</v>
      </c>
      <c r="B1313" t="s">
        <v>3735</v>
      </c>
      <c r="C1313" s="2">
        <v>1466.193696</v>
      </c>
      <c r="D1313" s="2">
        <v>1422.2078851199999</v>
      </c>
      <c r="E1313" s="2">
        <v>1379.5416485663998</v>
      </c>
      <c r="F1313" s="2">
        <v>1338.1553991094077</v>
      </c>
      <c r="G1313" s="2">
        <v>1298.0107371361255</v>
      </c>
      <c r="H1313" s="2">
        <v>1259.0704150220417</v>
      </c>
      <c r="I1313" s="2">
        <v>1221.2983025713804</v>
      </c>
      <c r="J1313" s="2">
        <v>1184.659353494239</v>
      </c>
      <c r="K1313" s="2">
        <v>1149.1195728894118</v>
      </c>
      <c r="L1313" s="2">
        <v>1114.6459857027294</v>
      </c>
      <c r="M1313" s="2">
        <v>1081.2066061316475</v>
      </c>
      <c r="N1313" s="2">
        <v>1048.770407947698</v>
      </c>
      <c r="O1313" s="2">
        <v>1017.307295709267</v>
      </c>
    </row>
    <row r="1314" spans="1:15" x14ac:dyDescent="0.25">
      <c r="A1314" t="s">
        <v>3736</v>
      </c>
      <c r="B1314" t="s">
        <v>3737</v>
      </c>
      <c r="C1314" s="2">
        <v>1461.6194560000001</v>
      </c>
      <c r="D1314" s="2">
        <v>1417.7708723200001</v>
      </c>
      <c r="E1314" s="2">
        <v>1375.2377461504</v>
      </c>
      <c r="F1314" s="2">
        <v>1333.9806137658879</v>
      </c>
      <c r="G1314" s="2">
        <v>1293.9611953529113</v>
      </c>
      <c r="H1314" s="2">
        <v>1255.142359492324</v>
      </c>
      <c r="I1314" s="2">
        <v>1217.4880887075542</v>
      </c>
      <c r="J1314" s="2">
        <v>1180.9634460463276</v>
      </c>
      <c r="K1314" s="2">
        <v>1145.5345426649378</v>
      </c>
      <c r="L1314" s="2">
        <v>1111.1685063849895</v>
      </c>
      <c r="M1314" s="2">
        <v>1077.8334511934397</v>
      </c>
      <c r="N1314" s="2">
        <v>1045.4984476576365</v>
      </c>
      <c r="O1314" s="2">
        <v>1014.1334942279074</v>
      </c>
    </row>
    <row r="1315" spans="1:15" x14ac:dyDescent="0.25">
      <c r="A1315" t="s">
        <v>3738</v>
      </c>
      <c r="B1315" t="s">
        <v>3737</v>
      </c>
      <c r="C1315" s="2">
        <v>1461.6194560000001</v>
      </c>
      <c r="D1315" s="2">
        <v>1417.7708723200001</v>
      </c>
      <c r="E1315" s="2">
        <v>1375.2377461504</v>
      </c>
      <c r="F1315" s="2">
        <v>1333.9806137658879</v>
      </c>
      <c r="G1315" s="2">
        <v>1293.9611953529113</v>
      </c>
      <c r="H1315" s="2">
        <v>1255.142359492324</v>
      </c>
      <c r="I1315" s="2">
        <v>1217.4880887075542</v>
      </c>
      <c r="J1315" s="2">
        <v>1180.9634460463276</v>
      </c>
      <c r="K1315" s="2">
        <v>1145.5345426649378</v>
      </c>
      <c r="L1315" s="2">
        <v>1111.1685063849895</v>
      </c>
      <c r="M1315" s="2">
        <v>1077.8334511934397</v>
      </c>
      <c r="N1315" s="2">
        <v>1045.4984476576365</v>
      </c>
      <c r="O1315" s="2">
        <v>1014.1334942279074</v>
      </c>
    </row>
    <row r="1316" spans="1:15" x14ac:dyDescent="0.25">
      <c r="A1316" t="s">
        <v>3739</v>
      </c>
      <c r="B1316" t="s">
        <v>3737</v>
      </c>
      <c r="C1316" s="2">
        <v>1461.6194560000001</v>
      </c>
      <c r="D1316" s="2">
        <v>1417.7708723200001</v>
      </c>
      <c r="E1316" s="2">
        <v>1375.2377461504</v>
      </c>
      <c r="F1316" s="2">
        <v>1333.9806137658879</v>
      </c>
      <c r="G1316" s="2">
        <v>1293.9611953529113</v>
      </c>
      <c r="H1316" s="2">
        <v>1255.142359492324</v>
      </c>
      <c r="I1316" s="2">
        <v>1217.4880887075542</v>
      </c>
      <c r="J1316" s="2">
        <v>1180.9634460463276</v>
      </c>
      <c r="K1316" s="2">
        <v>1145.5345426649378</v>
      </c>
      <c r="L1316" s="2">
        <v>1111.1685063849895</v>
      </c>
      <c r="M1316" s="2">
        <v>1077.8334511934397</v>
      </c>
      <c r="N1316" s="2">
        <v>1045.4984476576365</v>
      </c>
      <c r="O1316" s="2">
        <v>1014.1334942279074</v>
      </c>
    </row>
    <row r="1317" spans="1:15" x14ac:dyDescent="0.25">
      <c r="A1317" t="s">
        <v>3740</v>
      </c>
      <c r="B1317" t="s">
        <v>3741</v>
      </c>
      <c r="C1317" s="2">
        <v>1458.2272320000004</v>
      </c>
      <c r="D1317" s="2">
        <v>1414.4804150400003</v>
      </c>
      <c r="E1317" s="2">
        <v>1372.0460025888003</v>
      </c>
      <c r="F1317" s="2">
        <v>1330.8846225111363</v>
      </c>
      <c r="G1317" s="2">
        <v>1290.9580838358022</v>
      </c>
      <c r="H1317" s="2">
        <v>1252.2293413207281</v>
      </c>
      <c r="I1317" s="2">
        <v>1214.6624610811061</v>
      </c>
      <c r="J1317" s="2">
        <v>1178.2225872486729</v>
      </c>
      <c r="K1317" s="2">
        <v>1142.8759096312126</v>
      </c>
      <c r="L1317" s="2">
        <v>1108.5896323422762</v>
      </c>
      <c r="M1317" s="2">
        <v>1075.3319433720078</v>
      </c>
      <c r="N1317" s="2">
        <v>1043.0719850708476</v>
      </c>
      <c r="O1317" s="2">
        <v>1011.7798255187222</v>
      </c>
    </row>
    <row r="1318" spans="1:15" x14ac:dyDescent="0.25">
      <c r="A1318" t="s">
        <v>3742</v>
      </c>
      <c r="B1318" t="s">
        <v>3743</v>
      </c>
      <c r="C1318" s="2">
        <v>1454.7358320000003</v>
      </c>
      <c r="D1318" s="2">
        <v>1411.0937570400004</v>
      </c>
      <c r="E1318" s="2">
        <v>1368.7609443288004</v>
      </c>
      <c r="F1318" s="2">
        <v>1327.6981159989364</v>
      </c>
      <c r="G1318" s="2">
        <v>1287.8671725189683</v>
      </c>
      <c r="H1318" s="2">
        <v>1249.2311573433992</v>
      </c>
      <c r="I1318" s="2">
        <v>1211.7542226230971</v>
      </c>
      <c r="J1318" s="2">
        <v>1175.4015959444041</v>
      </c>
      <c r="K1318" s="2">
        <v>1140.1395480660719</v>
      </c>
      <c r="L1318" s="2">
        <v>1105.9353616240896</v>
      </c>
      <c r="M1318" s="2">
        <v>1072.757300775367</v>
      </c>
      <c r="N1318" s="2">
        <v>1040.5745817521058</v>
      </c>
      <c r="O1318" s="2">
        <v>1009.3573442995427</v>
      </c>
    </row>
    <row r="1319" spans="1:15" x14ac:dyDescent="0.25">
      <c r="A1319" t="s">
        <v>3744</v>
      </c>
      <c r="B1319" t="s">
        <v>3745</v>
      </c>
      <c r="C1319" s="2">
        <v>1454.0577920000003</v>
      </c>
      <c r="D1319" s="2">
        <v>1410.4360582400002</v>
      </c>
      <c r="E1319" s="2">
        <v>1368.1229764928003</v>
      </c>
      <c r="F1319" s="2">
        <v>1327.0792871980161</v>
      </c>
      <c r="G1319" s="2">
        <v>1287.2669085820755</v>
      </c>
      <c r="H1319" s="2">
        <v>1248.6489013246132</v>
      </c>
      <c r="I1319" s="2">
        <v>1211.1894342848748</v>
      </c>
      <c r="J1319" s="2">
        <v>1174.8537512563285</v>
      </c>
      <c r="K1319" s="2">
        <v>1139.6081387186387</v>
      </c>
      <c r="L1319" s="2">
        <v>1105.4198945570795</v>
      </c>
      <c r="M1319" s="2">
        <v>1072.257297720367</v>
      </c>
      <c r="N1319" s="2">
        <v>1040.0895787887559</v>
      </c>
      <c r="O1319" s="2">
        <v>1008.8868914250933</v>
      </c>
    </row>
    <row r="1320" spans="1:15" x14ac:dyDescent="0.25">
      <c r="A1320" t="s">
        <v>3746</v>
      </c>
      <c r="B1320" t="s">
        <v>3747</v>
      </c>
      <c r="C1320" s="2">
        <v>1450.7531060000001</v>
      </c>
      <c r="D1320" s="2">
        <v>1407.2305128200001</v>
      </c>
      <c r="E1320" s="2">
        <v>1365.0135974354</v>
      </c>
      <c r="F1320" s="2">
        <v>1324.0631895123379</v>
      </c>
      <c r="G1320" s="2">
        <v>1284.3412938269678</v>
      </c>
      <c r="H1320" s="2">
        <v>1245.8110550121587</v>
      </c>
      <c r="I1320" s="2">
        <v>1208.4367233617938</v>
      </c>
      <c r="J1320" s="2">
        <v>1172.1836216609399</v>
      </c>
      <c r="K1320" s="2">
        <v>1137.0181130111116</v>
      </c>
      <c r="L1320" s="2">
        <v>1102.9075696207783</v>
      </c>
      <c r="M1320" s="2">
        <v>1069.8203425321549</v>
      </c>
      <c r="N1320" s="2">
        <v>1037.7257322561902</v>
      </c>
      <c r="O1320" s="2">
        <v>1006.5939602885045</v>
      </c>
    </row>
    <row r="1321" spans="1:15" x14ac:dyDescent="0.25">
      <c r="A1321" t="s">
        <v>3748</v>
      </c>
      <c r="B1321" t="s">
        <v>3749</v>
      </c>
      <c r="C1321" s="2">
        <v>1448.7144320000002</v>
      </c>
      <c r="D1321" s="2">
        <v>1405.2529990400001</v>
      </c>
      <c r="E1321" s="2">
        <v>1363.0954090688001</v>
      </c>
      <c r="F1321" s="2">
        <v>1322.202546796736</v>
      </c>
      <c r="G1321" s="2">
        <v>1282.536470392834</v>
      </c>
      <c r="H1321" s="2">
        <v>1244.060376281049</v>
      </c>
      <c r="I1321" s="2">
        <v>1206.7385649926175</v>
      </c>
      <c r="J1321" s="2">
        <v>1170.536408042839</v>
      </c>
      <c r="K1321" s="2">
        <v>1135.4203158015537</v>
      </c>
      <c r="L1321" s="2">
        <v>1101.357706327507</v>
      </c>
      <c r="M1321" s="2">
        <v>1068.3169751376818</v>
      </c>
      <c r="N1321" s="2">
        <v>1036.2674658835513</v>
      </c>
      <c r="O1321" s="2">
        <v>1005.1794419070447</v>
      </c>
    </row>
    <row r="1322" spans="1:15" x14ac:dyDescent="0.25">
      <c r="A1322" t="s">
        <v>1179</v>
      </c>
      <c r="B1322" t="s">
        <v>1178</v>
      </c>
      <c r="C1322" s="2">
        <v>1448.4563720000001</v>
      </c>
      <c r="D1322" s="2">
        <v>1405.00268084</v>
      </c>
      <c r="E1322" s="2">
        <v>1362.8526004148</v>
      </c>
      <c r="F1322" s="2">
        <v>1321.967022402356</v>
      </c>
      <c r="G1322" s="2">
        <v>1282.3080117302852</v>
      </c>
      <c r="H1322" s="2">
        <v>1243.8387713783766</v>
      </c>
      <c r="I1322" s="2">
        <v>1206.5236082370252</v>
      </c>
      <c r="J1322" s="2">
        <v>1170.3278999899144</v>
      </c>
      <c r="K1322" s="2">
        <v>1135.2180629902168</v>
      </c>
      <c r="L1322" s="2">
        <v>1101.1615211005103</v>
      </c>
      <c r="M1322" s="2">
        <v>1068.126675467495</v>
      </c>
      <c r="N1322" s="2">
        <v>1036.0828752034702</v>
      </c>
      <c r="O1322" s="2">
        <v>1005.000388947366</v>
      </c>
    </row>
    <row r="1323" spans="1:15" x14ac:dyDescent="0.25">
      <c r="A1323" t="s">
        <v>3750</v>
      </c>
      <c r="B1323" t="s">
        <v>3751</v>
      </c>
      <c r="C1323" s="2">
        <v>1446.6013760000003</v>
      </c>
      <c r="D1323" s="2">
        <v>1403.2033347200002</v>
      </c>
      <c r="E1323" s="2">
        <v>1361.1072346784001</v>
      </c>
      <c r="F1323" s="2">
        <v>1320.274017638048</v>
      </c>
      <c r="G1323" s="2">
        <v>1280.6657971089066</v>
      </c>
      <c r="H1323" s="2">
        <v>1242.2458231956393</v>
      </c>
      <c r="I1323" s="2">
        <v>1204.9784484997701</v>
      </c>
      <c r="J1323" s="2">
        <v>1168.829095044777</v>
      </c>
      <c r="K1323" s="2">
        <v>1133.7642221934336</v>
      </c>
      <c r="L1323" s="2">
        <v>1099.7512955276306</v>
      </c>
      <c r="M1323" s="2">
        <v>1066.7587566618017</v>
      </c>
      <c r="N1323" s="2">
        <v>1034.7559939619478</v>
      </c>
      <c r="O1323" s="2">
        <v>1003.7133141430893</v>
      </c>
    </row>
    <row r="1324" spans="1:15" x14ac:dyDescent="0.25">
      <c r="A1324" t="s">
        <v>3752</v>
      </c>
      <c r="B1324" t="s">
        <v>3753</v>
      </c>
      <c r="C1324" s="2">
        <v>1444.697298</v>
      </c>
      <c r="D1324" s="2">
        <v>1401.3563790600001</v>
      </c>
      <c r="E1324" s="2">
        <v>1359.3156876882001</v>
      </c>
      <c r="F1324" s="2">
        <v>1318.536217057554</v>
      </c>
      <c r="G1324" s="2">
        <v>1278.9801305458275</v>
      </c>
      <c r="H1324" s="2">
        <v>1240.6107266294525</v>
      </c>
      <c r="I1324" s="2">
        <v>1203.3924048305689</v>
      </c>
      <c r="J1324" s="2">
        <v>1167.2906326856519</v>
      </c>
      <c r="K1324" s="2">
        <v>1132.2719137050824</v>
      </c>
      <c r="L1324" s="2">
        <v>1098.3037562939298</v>
      </c>
      <c r="M1324" s="2">
        <v>1065.354643605112</v>
      </c>
      <c r="N1324" s="2">
        <v>1033.3940042969587</v>
      </c>
      <c r="O1324" s="2">
        <v>1002.3921841680499</v>
      </c>
    </row>
    <row r="1325" spans="1:15" x14ac:dyDescent="0.25">
      <c r="A1325" t="s">
        <v>3754</v>
      </c>
      <c r="B1325" t="s">
        <v>3755</v>
      </c>
      <c r="C1325" s="2">
        <v>1438.6592000000003</v>
      </c>
      <c r="D1325" s="2">
        <v>1395.4994240000003</v>
      </c>
      <c r="E1325" s="2">
        <v>1353.6344412800004</v>
      </c>
      <c r="F1325" s="2">
        <v>1313.0254080416003</v>
      </c>
      <c r="G1325" s="2">
        <v>1273.6346458003522</v>
      </c>
      <c r="H1325" s="2">
        <v>1235.4256064263416</v>
      </c>
      <c r="I1325" s="2">
        <v>1198.3628382335512</v>
      </c>
      <c r="J1325" s="2">
        <v>1162.4119530865446</v>
      </c>
      <c r="K1325" s="2">
        <v>1127.5395944939482</v>
      </c>
      <c r="L1325" s="2">
        <v>1093.7134066591298</v>
      </c>
      <c r="M1325" s="2">
        <v>1060.9020044593558</v>
      </c>
      <c r="N1325" s="2">
        <v>1029.0749443255752</v>
      </c>
      <c r="O1325" s="2">
        <v>998.20269599580786</v>
      </c>
    </row>
    <row r="1326" spans="1:15" x14ac:dyDescent="0.25">
      <c r="A1326" t="s">
        <v>3756</v>
      </c>
      <c r="B1326" t="s">
        <v>3757</v>
      </c>
      <c r="C1326" s="2">
        <v>1437.5824320000004</v>
      </c>
      <c r="D1326" s="2">
        <v>1394.4549590400004</v>
      </c>
      <c r="E1326" s="2">
        <v>1352.6213102688002</v>
      </c>
      <c r="F1326" s="2">
        <v>1312.0426709607361</v>
      </c>
      <c r="G1326" s="2">
        <v>1272.6813908319141</v>
      </c>
      <c r="H1326" s="2">
        <v>1234.5009491069566</v>
      </c>
      <c r="I1326" s="2">
        <v>1197.4659206337478</v>
      </c>
      <c r="J1326" s="2">
        <v>1161.5419430147354</v>
      </c>
      <c r="K1326" s="2">
        <v>1126.6956847242932</v>
      </c>
      <c r="L1326" s="2">
        <v>1092.8948141825645</v>
      </c>
      <c r="M1326" s="2">
        <v>1060.1079697570874</v>
      </c>
      <c r="N1326" s="2">
        <v>1028.3047306643748</v>
      </c>
      <c r="O1326" s="2">
        <v>997.4555887444435</v>
      </c>
    </row>
    <row r="1327" spans="1:15" x14ac:dyDescent="0.25">
      <c r="A1327" t="s">
        <v>3758</v>
      </c>
      <c r="B1327" t="s">
        <v>3759</v>
      </c>
      <c r="C1327" s="2">
        <v>1436.0441920000003</v>
      </c>
      <c r="D1327" s="2">
        <v>1392.9628662400003</v>
      </c>
      <c r="E1327" s="2">
        <v>1351.1739802528002</v>
      </c>
      <c r="F1327" s="2">
        <v>1310.6387608452162</v>
      </c>
      <c r="G1327" s="2">
        <v>1271.3195980198598</v>
      </c>
      <c r="H1327" s="2">
        <v>1233.1800100792639</v>
      </c>
      <c r="I1327" s="2">
        <v>1196.184609776886</v>
      </c>
      <c r="J1327" s="2">
        <v>1160.2990714835794</v>
      </c>
      <c r="K1327" s="2">
        <v>1125.490099339072</v>
      </c>
      <c r="L1327" s="2">
        <v>1091.7253963588998</v>
      </c>
      <c r="M1327" s="2">
        <v>1058.9736344681328</v>
      </c>
      <c r="N1327" s="2">
        <v>1027.2044254340888</v>
      </c>
      <c r="O1327" s="2">
        <v>996.3882926710661</v>
      </c>
    </row>
    <row r="1328" spans="1:15" x14ac:dyDescent="0.25">
      <c r="A1328" t="s">
        <v>3760</v>
      </c>
      <c r="B1328" t="s">
        <v>3761</v>
      </c>
      <c r="C1328" s="2">
        <v>1435.2831680000004</v>
      </c>
      <c r="D1328" s="2">
        <v>1392.2246729600004</v>
      </c>
      <c r="E1328" s="2">
        <v>1350.4579327712004</v>
      </c>
      <c r="F1328" s="2">
        <v>1309.9441947880644</v>
      </c>
      <c r="G1328" s="2">
        <v>1270.6458689444223</v>
      </c>
      <c r="H1328" s="2">
        <v>1232.5264928760896</v>
      </c>
      <c r="I1328" s="2">
        <v>1195.5506980898069</v>
      </c>
      <c r="J1328" s="2">
        <v>1159.6841771471127</v>
      </c>
      <c r="K1328" s="2">
        <v>1124.8936518326993</v>
      </c>
      <c r="L1328" s="2">
        <v>1091.1468422777184</v>
      </c>
      <c r="M1328" s="2">
        <v>1058.4124370093868</v>
      </c>
      <c r="N1328" s="2">
        <v>1026.6600638991051</v>
      </c>
      <c r="O1328" s="2">
        <v>995.86026198213199</v>
      </c>
    </row>
    <row r="1329" spans="1:15" x14ac:dyDescent="0.25">
      <c r="A1329" t="s">
        <v>3762</v>
      </c>
      <c r="B1329" t="s">
        <v>3763</v>
      </c>
      <c r="C1329" s="2">
        <v>1432.4252800000004</v>
      </c>
      <c r="D1329" s="2">
        <v>1389.4525216000004</v>
      </c>
      <c r="E1329" s="2">
        <v>1347.7689459520004</v>
      </c>
      <c r="F1329" s="2">
        <v>1307.3358775734405</v>
      </c>
      <c r="G1329" s="2">
        <v>1268.1158012462372</v>
      </c>
      <c r="H1329" s="2">
        <v>1230.0723272088501</v>
      </c>
      <c r="I1329" s="2">
        <v>1193.1701573925845</v>
      </c>
      <c r="J1329" s="2">
        <v>1157.375052670807</v>
      </c>
      <c r="K1329" s="2">
        <v>1122.6538010906827</v>
      </c>
      <c r="L1329" s="2">
        <v>1088.9741870579621</v>
      </c>
      <c r="M1329" s="2">
        <v>1056.3049614462232</v>
      </c>
      <c r="N1329" s="2">
        <v>1024.6158126028365</v>
      </c>
      <c r="O1329" s="2">
        <v>993.87733822475138</v>
      </c>
    </row>
    <row r="1330" spans="1:15" x14ac:dyDescent="0.25">
      <c r="A1330" t="s">
        <v>3764</v>
      </c>
      <c r="B1330" t="s">
        <v>3765</v>
      </c>
      <c r="C1330" s="2">
        <v>1426.4610580000001</v>
      </c>
      <c r="D1330" s="2">
        <v>1383.66722626</v>
      </c>
      <c r="E1330" s="2">
        <v>1342.1572094722001</v>
      </c>
      <c r="F1330" s="2">
        <v>1301.892493188034</v>
      </c>
      <c r="G1330" s="2">
        <v>1262.8357183923929</v>
      </c>
      <c r="H1330" s="2">
        <v>1224.9506468406212</v>
      </c>
      <c r="I1330" s="2">
        <v>1188.2021274354024</v>
      </c>
      <c r="J1330" s="2">
        <v>1152.5560636123403</v>
      </c>
      <c r="K1330" s="2">
        <v>1117.9793817039699</v>
      </c>
      <c r="L1330" s="2">
        <v>1084.4400002528507</v>
      </c>
      <c r="M1330" s="2">
        <v>1051.9068002452652</v>
      </c>
      <c r="N1330" s="2">
        <v>1020.3495962379072</v>
      </c>
      <c r="O1330" s="2">
        <v>989.73910835077004</v>
      </c>
    </row>
    <row r="1331" spans="1:15" x14ac:dyDescent="0.25">
      <c r="A1331" t="s">
        <v>3766</v>
      </c>
      <c r="B1331" t="s">
        <v>3767</v>
      </c>
      <c r="C1331" s="2">
        <v>1422.7262720000001</v>
      </c>
      <c r="D1331" s="2">
        <v>1380.0444838400001</v>
      </c>
      <c r="E1331" s="2">
        <v>1338.6431493248001</v>
      </c>
      <c r="F1331" s="2">
        <v>1298.4838548450562</v>
      </c>
      <c r="G1331" s="2">
        <v>1259.5293391997045</v>
      </c>
      <c r="H1331" s="2">
        <v>1221.7434590237133</v>
      </c>
      <c r="I1331" s="2">
        <v>1185.0911552530019</v>
      </c>
      <c r="J1331" s="2">
        <v>1149.5384205954119</v>
      </c>
      <c r="K1331" s="2">
        <v>1115.0522679775495</v>
      </c>
      <c r="L1331" s="2">
        <v>1081.600699938223</v>
      </c>
      <c r="M1331" s="2">
        <v>1049.1526789400762</v>
      </c>
      <c r="N1331" s="2">
        <v>1017.6780985718739</v>
      </c>
      <c r="O1331" s="2">
        <v>987.14775561471765</v>
      </c>
    </row>
    <row r="1332" spans="1:15" x14ac:dyDescent="0.25">
      <c r="A1332" t="s">
        <v>3768</v>
      </c>
      <c r="B1332" t="s">
        <v>3769</v>
      </c>
      <c r="C1332" s="2">
        <v>1422.3376640000001</v>
      </c>
      <c r="D1332" s="2">
        <v>1379.66753408</v>
      </c>
      <c r="E1332" s="2">
        <v>1338.2775080576</v>
      </c>
      <c r="F1332" s="2">
        <v>1298.1291828158719</v>
      </c>
      <c r="G1332" s="2">
        <v>1259.1853073313957</v>
      </c>
      <c r="H1332" s="2">
        <v>1221.4097481114538</v>
      </c>
      <c r="I1332" s="2">
        <v>1184.7674556681102</v>
      </c>
      <c r="J1332" s="2">
        <v>1149.2244319980668</v>
      </c>
      <c r="K1332" s="2">
        <v>1114.7476990381249</v>
      </c>
      <c r="L1332" s="2">
        <v>1081.3052680669812</v>
      </c>
      <c r="M1332" s="2">
        <v>1048.8661100249717</v>
      </c>
      <c r="N1332" s="2">
        <v>1017.4001267242226</v>
      </c>
      <c r="O1332" s="2">
        <v>986.87812292249589</v>
      </c>
    </row>
    <row r="1333" spans="1:15" x14ac:dyDescent="0.25">
      <c r="A1333" t="s">
        <v>3770</v>
      </c>
      <c r="B1333" t="s">
        <v>3771</v>
      </c>
      <c r="C1333" s="2">
        <v>1422.0947840000003</v>
      </c>
      <c r="D1333" s="2">
        <v>1379.4319404800003</v>
      </c>
      <c r="E1333" s="2">
        <v>1338.0489822656002</v>
      </c>
      <c r="F1333" s="2">
        <v>1297.9075127976321</v>
      </c>
      <c r="G1333" s="2">
        <v>1258.9702874137031</v>
      </c>
      <c r="H1333" s="2">
        <v>1221.201178791292</v>
      </c>
      <c r="I1333" s="2">
        <v>1184.5651434275533</v>
      </c>
      <c r="J1333" s="2">
        <v>1149.0281891247266</v>
      </c>
      <c r="K1333" s="2">
        <v>1114.5573434509847</v>
      </c>
      <c r="L1333" s="2">
        <v>1081.120623147455</v>
      </c>
      <c r="M1333" s="2">
        <v>1048.6870044530312</v>
      </c>
      <c r="N1333" s="2">
        <v>1017.2263943194403</v>
      </c>
      <c r="O1333" s="2">
        <v>986.70960248985705</v>
      </c>
    </row>
    <row r="1334" spans="1:15" x14ac:dyDescent="0.25">
      <c r="A1334" t="s">
        <v>3772</v>
      </c>
      <c r="B1334" t="s">
        <v>3773</v>
      </c>
      <c r="C1334" s="2">
        <v>1420.070784</v>
      </c>
      <c r="D1334" s="2">
        <v>1377.4686604799999</v>
      </c>
      <c r="E1334" s="2">
        <v>1336.1446006655999</v>
      </c>
      <c r="F1334" s="2">
        <v>1296.0602626456318</v>
      </c>
      <c r="G1334" s="2">
        <v>1257.1784547662628</v>
      </c>
      <c r="H1334" s="2">
        <v>1219.4631011232748</v>
      </c>
      <c r="I1334" s="2">
        <v>1182.8792080895764</v>
      </c>
      <c r="J1334" s="2">
        <v>1147.3928318468891</v>
      </c>
      <c r="K1334" s="2">
        <v>1112.9710468914823</v>
      </c>
      <c r="L1334" s="2">
        <v>1079.5819154847377</v>
      </c>
      <c r="M1334" s="2">
        <v>1047.1944580201955</v>
      </c>
      <c r="N1334" s="2">
        <v>1015.7786242795896</v>
      </c>
      <c r="O1334" s="2">
        <v>985.30526555120196</v>
      </c>
    </row>
    <row r="1335" spans="1:15" x14ac:dyDescent="0.25">
      <c r="A1335" t="s">
        <v>3774</v>
      </c>
      <c r="B1335" t="s">
        <v>3775</v>
      </c>
      <c r="C1335" s="2">
        <v>1415.7171600000001</v>
      </c>
      <c r="D1335" s="2">
        <v>1373.2456452000001</v>
      </c>
      <c r="E1335" s="2">
        <v>1332.048275844</v>
      </c>
      <c r="F1335" s="2">
        <v>1292.0868275686801</v>
      </c>
      <c r="G1335" s="2">
        <v>1253.3242227416197</v>
      </c>
      <c r="H1335" s="2">
        <v>1215.7244960593709</v>
      </c>
      <c r="I1335" s="2">
        <v>1179.2527611775897</v>
      </c>
      <c r="J1335" s="2">
        <v>1143.875178342262</v>
      </c>
      <c r="K1335" s="2">
        <v>1109.558922991994</v>
      </c>
      <c r="L1335" s="2">
        <v>1076.2721553022341</v>
      </c>
      <c r="M1335" s="2">
        <v>1043.9839906431671</v>
      </c>
      <c r="N1335" s="2">
        <v>1012.664470923872</v>
      </c>
      <c r="O1335" s="2">
        <v>982.28453679615586</v>
      </c>
    </row>
    <row r="1336" spans="1:15" x14ac:dyDescent="0.25">
      <c r="A1336" t="s">
        <v>3776</v>
      </c>
      <c r="B1336" t="s">
        <v>3777</v>
      </c>
      <c r="C1336" s="2">
        <v>1410.4689280000005</v>
      </c>
      <c r="D1336" s="2">
        <v>1368.1548601600005</v>
      </c>
      <c r="E1336" s="2">
        <v>1327.1102143552005</v>
      </c>
      <c r="F1336" s="2">
        <v>1287.2969079245445</v>
      </c>
      <c r="G1336" s="2">
        <v>1248.6780006868082</v>
      </c>
      <c r="H1336" s="2">
        <v>1211.217660666204</v>
      </c>
      <c r="I1336" s="2">
        <v>1174.8811308462177</v>
      </c>
      <c r="J1336" s="2">
        <v>1139.6346969208312</v>
      </c>
      <c r="K1336" s="2">
        <v>1105.4456560132062</v>
      </c>
      <c r="L1336" s="2">
        <v>1072.2822863328099</v>
      </c>
      <c r="M1336" s="2">
        <v>1040.1138177428256</v>
      </c>
      <c r="N1336" s="2">
        <v>1008.9104032105408</v>
      </c>
      <c r="O1336" s="2">
        <v>978.6430911142246</v>
      </c>
    </row>
    <row r="1337" spans="1:15" x14ac:dyDescent="0.25">
      <c r="A1337" t="s">
        <v>3778</v>
      </c>
      <c r="B1337" t="s">
        <v>3779</v>
      </c>
      <c r="C1337" s="2">
        <v>1407.7324800000001</v>
      </c>
      <c r="D1337" s="2">
        <v>1365.5005056</v>
      </c>
      <c r="E1337" s="2">
        <v>1324.535490432</v>
      </c>
      <c r="F1337" s="2">
        <v>1284.7994257190398</v>
      </c>
      <c r="G1337" s="2">
        <v>1246.2554429474685</v>
      </c>
      <c r="H1337" s="2">
        <v>1208.8677796590443</v>
      </c>
      <c r="I1337" s="2">
        <v>1172.601746269273</v>
      </c>
      <c r="J1337" s="2">
        <v>1137.4236938811948</v>
      </c>
      <c r="K1337" s="2">
        <v>1103.3009830647588</v>
      </c>
      <c r="L1337" s="2">
        <v>1070.2019535728161</v>
      </c>
      <c r="M1337" s="2">
        <v>1038.0958949656317</v>
      </c>
      <c r="N1337" s="2">
        <v>1006.9530181166627</v>
      </c>
      <c r="O1337" s="2">
        <v>976.74442757316285</v>
      </c>
    </row>
    <row r="1338" spans="1:15" x14ac:dyDescent="0.25">
      <c r="A1338" t="s">
        <v>3780</v>
      </c>
      <c r="B1338" t="s">
        <v>3781</v>
      </c>
      <c r="C1338" s="2">
        <v>1404.0164160000002</v>
      </c>
      <c r="D1338" s="2">
        <v>1361.8959235200002</v>
      </c>
      <c r="E1338" s="2">
        <v>1321.0390458144002</v>
      </c>
      <c r="F1338" s="2">
        <v>1281.4078744399681</v>
      </c>
      <c r="G1338" s="2">
        <v>1242.965638206769</v>
      </c>
      <c r="H1338" s="2">
        <v>1205.6766690605659</v>
      </c>
      <c r="I1338" s="2">
        <v>1169.5063689887488</v>
      </c>
      <c r="J1338" s="2">
        <v>1134.4211779190864</v>
      </c>
      <c r="K1338" s="2">
        <v>1100.3885425815138</v>
      </c>
      <c r="L1338" s="2">
        <v>1067.3768863040684</v>
      </c>
      <c r="M1338" s="2">
        <v>1035.3555797149463</v>
      </c>
      <c r="N1338" s="2">
        <v>1004.2949123234979</v>
      </c>
      <c r="O1338" s="2">
        <v>974.1660649537929</v>
      </c>
    </row>
    <row r="1339" spans="1:15" x14ac:dyDescent="0.25">
      <c r="A1339" t="s">
        <v>3782</v>
      </c>
      <c r="B1339" t="s">
        <v>3725</v>
      </c>
      <c r="C1339" s="2">
        <v>1399.7579200000005</v>
      </c>
      <c r="D1339" s="2">
        <v>1357.7651824000004</v>
      </c>
      <c r="E1339" s="2">
        <v>1317.0322269280005</v>
      </c>
      <c r="F1339" s="2">
        <v>1277.5212601201604</v>
      </c>
      <c r="G1339" s="2">
        <v>1239.1956223165555</v>
      </c>
      <c r="H1339" s="2">
        <v>1202.0197536470589</v>
      </c>
      <c r="I1339" s="2">
        <v>1165.9591610376472</v>
      </c>
      <c r="J1339" s="2">
        <v>1130.9803862065178</v>
      </c>
      <c r="K1339" s="2">
        <v>1097.0509746203222</v>
      </c>
      <c r="L1339" s="2">
        <v>1064.1394453817124</v>
      </c>
      <c r="M1339" s="2">
        <v>1032.215262020261</v>
      </c>
      <c r="N1339" s="2">
        <v>1001.2488041596531</v>
      </c>
      <c r="O1339" s="2">
        <v>971.2113400348635</v>
      </c>
    </row>
    <row r="1340" spans="1:15" x14ac:dyDescent="0.25">
      <c r="A1340" t="s">
        <v>3783</v>
      </c>
      <c r="B1340" t="s">
        <v>3784</v>
      </c>
      <c r="C1340" s="2">
        <v>1398.9518620000001</v>
      </c>
      <c r="D1340" s="2">
        <v>1356.98330614</v>
      </c>
      <c r="E1340" s="2">
        <v>1316.2738069558</v>
      </c>
      <c r="F1340" s="2">
        <v>1276.785592747126</v>
      </c>
      <c r="G1340" s="2">
        <v>1238.4820249647121</v>
      </c>
      <c r="H1340" s="2">
        <v>1201.3275642157707</v>
      </c>
      <c r="I1340" s="2">
        <v>1165.2877372892976</v>
      </c>
      <c r="J1340" s="2">
        <v>1130.3291051706187</v>
      </c>
      <c r="K1340" s="2">
        <v>1096.4192320155</v>
      </c>
      <c r="L1340" s="2">
        <v>1063.526655055035</v>
      </c>
      <c r="M1340" s="2">
        <v>1031.620855403384</v>
      </c>
      <c r="N1340" s="2">
        <v>1000.6722297412824</v>
      </c>
      <c r="O1340" s="2">
        <v>970.65206284904389</v>
      </c>
    </row>
    <row r="1341" spans="1:15" x14ac:dyDescent="0.25">
      <c r="A1341" t="s">
        <v>3785</v>
      </c>
      <c r="B1341" t="s">
        <v>3786</v>
      </c>
      <c r="C1341" s="2">
        <v>1394.0178560000002</v>
      </c>
      <c r="D1341" s="2">
        <v>1352.19732032</v>
      </c>
      <c r="E1341" s="2">
        <v>1311.6314007103999</v>
      </c>
      <c r="F1341" s="2">
        <v>1272.2824586890879</v>
      </c>
      <c r="G1341" s="2">
        <v>1234.1139849284152</v>
      </c>
      <c r="H1341" s="2">
        <v>1197.0905653805628</v>
      </c>
      <c r="I1341" s="2">
        <v>1161.1778484191459</v>
      </c>
      <c r="J1341" s="2">
        <v>1126.3425129665716</v>
      </c>
      <c r="K1341" s="2">
        <v>1092.5522375775745</v>
      </c>
      <c r="L1341" s="2">
        <v>1059.7756704502472</v>
      </c>
      <c r="M1341" s="2">
        <v>1027.9824003367398</v>
      </c>
      <c r="N1341" s="2">
        <v>997.14292832663762</v>
      </c>
      <c r="O1341" s="2">
        <v>967.22864047683845</v>
      </c>
    </row>
    <row r="1342" spans="1:15" x14ac:dyDescent="0.25">
      <c r="A1342" t="s">
        <v>3787</v>
      </c>
      <c r="B1342" t="s">
        <v>3788</v>
      </c>
      <c r="C1342" s="2">
        <v>1392.8520320000002</v>
      </c>
      <c r="D1342" s="2">
        <v>1351.0664710400001</v>
      </c>
      <c r="E1342" s="2">
        <v>1310.5344769088001</v>
      </c>
      <c r="F1342" s="2">
        <v>1271.218442601536</v>
      </c>
      <c r="G1342" s="2">
        <v>1233.0818893234898</v>
      </c>
      <c r="H1342" s="2">
        <v>1196.0894326437851</v>
      </c>
      <c r="I1342" s="2">
        <v>1160.2067496644715</v>
      </c>
      <c r="J1342" s="2">
        <v>1125.4005471745375</v>
      </c>
      <c r="K1342" s="2">
        <v>1091.6385307593014</v>
      </c>
      <c r="L1342" s="2">
        <v>1058.8893748365224</v>
      </c>
      <c r="M1342" s="2">
        <v>1027.1226935914267</v>
      </c>
      <c r="N1342" s="2">
        <v>996.3090127836839</v>
      </c>
      <c r="O1342" s="2">
        <v>966.41974240017339</v>
      </c>
    </row>
    <row r="1343" spans="1:15" x14ac:dyDescent="0.25">
      <c r="A1343" t="s">
        <v>3789</v>
      </c>
      <c r="B1343" t="s">
        <v>3790</v>
      </c>
      <c r="C1343" s="2">
        <v>1392.3986560000001</v>
      </c>
      <c r="D1343" s="2">
        <v>1350.6266963200001</v>
      </c>
      <c r="E1343" s="2">
        <v>1310.1078954304</v>
      </c>
      <c r="F1343" s="2">
        <v>1270.8046585674881</v>
      </c>
      <c r="G1343" s="2">
        <v>1232.6805188104634</v>
      </c>
      <c r="H1343" s="2">
        <v>1195.7001032461494</v>
      </c>
      <c r="I1343" s="2">
        <v>1159.8291001487648</v>
      </c>
      <c r="J1343" s="2">
        <v>1125.0342271443019</v>
      </c>
      <c r="K1343" s="2">
        <v>1091.2832003299727</v>
      </c>
      <c r="L1343" s="2">
        <v>1058.5447043200736</v>
      </c>
      <c r="M1343" s="2">
        <v>1026.7883631904713</v>
      </c>
      <c r="N1343" s="2">
        <v>995.98471229475706</v>
      </c>
      <c r="O1343" s="2">
        <v>966.10517092591431</v>
      </c>
    </row>
    <row r="1344" spans="1:15" x14ac:dyDescent="0.25">
      <c r="A1344" t="s">
        <v>3791</v>
      </c>
      <c r="B1344" t="s">
        <v>3792</v>
      </c>
      <c r="C1344" s="2">
        <v>1391.9048000000003</v>
      </c>
      <c r="D1344" s="2">
        <v>1350.1476560000001</v>
      </c>
      <c r="E1344" s="2">
        <v>1309.6432263200002</v>
      </c>
      <c r="F1344" s="2">
        <v>1270.3539295304001</v>
      </c>
      <c r="G1344" s="2">
        <v>1232.2433116444881</v>
      </c>
      <c r="H1344" s="2">
        <v>1195.2760122951534</v>
      </c>
      <c r="I1344" s="2">
        <v>1159.4177319262988</v>
      </c>
      <c r="J1344" s="2">
        <v>1124.6351999685098</v>
      </c>
      <c r="K1344" s="2">
        <v>1090.8961439694544</v>
      </c>
      <c r="L1344" s="2">
        <v>1058.1692596503708</v>
      </c>
      <c r="M1344" s="2">
        <v>1026.4241818608596</v>
      </c>
      <c r="N1344" s="2">
        <v>995.63145640503376</v>
      </c>
      <c r="O1344" s="2">
        <v>965.76251271288277</v>
      </c>
    </row>
    <row r="1345" spans="1:15" x14ac:dyDescent="0.25">
      <c r="A1345" t="s">
        <v>1141</v>
      </c>
      <c r="B1345" t="s">
        <v>3793</v>
      </c>
      <c r="C1345" s="2">
        <v>1387.0036840000002</v>
      </c>
      <c r="D1345" s="2">
        <v>1345.3935734800002</v>
      </c>
      <c r="E1345" s="2">
        <v>1305.0317662756001</v>
      </c>
      <c r="F1345" s="2">
        <v>1265.8808132873321</v>
      </c>
      <c r="G1345" s="2">
        <v>1227.9043888887122</v>
      </c>
      <c r="H1345" s="2">
        <v>1191.0672572220508</v>
      </c>
      <c r="I1345" s="2">
        <v>1155.3352395053892</v>
      </c>
      <c r="J1345" s="2">
        <v>1120.6751823202273</v>
      </c>
      <c r="K1345" s="2">
        <v>1087.0549268506204</v>
      </c>
      <c r="L1345" s="2">
        <v>1054.4432790451017</v>
      </c>
      <c r="M1345" s="2">
        <v>1022.8099806737486</v>
      </c>
      <c r="N1345" s="2">
        <v>992.12568125353607</v>
      </c>
      <c r="O1345" s="2">
        <v>962.36191081592995</v>
      </c>
    </row>
    <row r="1346" spans="1:15" x14ac:dyDescent="0.25">
      <c r="A1346" t="s">
        <v>3794</v>
      </c>
      <c r="B1346" t="s">
        <v>3795</v>
      </c>
      <c r="C1346" s="2">
        <v>1380.36294</v>
      </c>
      <c r="D1346" s="2">
        <v>1338.9520517999999</v>
      </c>
      <c r="E1346" s="2">
        <v>1298.7834902459999</v>
      </c>
      <c r="F1346" s="2">
        <v>1259.8199855386199</v>
      </c>
      <c r="G1346" s="2">
        <v>1222.0253859724612</v>
      </c>
      <c r="H1346" s="2">
        <v>1185.3646243932874</v>
      </c>
      <c r="I1346" s="2">
        <v>1149.8036856614888</v>
      </c>
      <c r="J1346" s="2">
        <v>1115.3095750916441</v>
      </c>
      <c r="K1346" s="2">
        <v>1081.8502878388947</v>
      </c>
      <c r="L1346" s="2">
        <v>1049.3947792037279</v>
      </c>
      <c r="M1346" s="2">
        <v>1017.912935827616</v>
      </c>
      <c r="N1346" s="2">
        <v>987.3755477527875</v>
      </c>
      <c r="O1346" s="2">
        <v>957.75428132020386</v>
      </c>
    </row>
    <row r="1347" spans="1:15" x14ac:dyDescent="0.25">
      <c r="A1347" t="s">
        <v>3796</v>
      </c>
      <c r="B1347" t="s">
        <v>3797</v>
      </c>
      <c r="C1347" s="2">
        <v>1380.0790739999998</v>
      </c>
      <c r="D1347" s="2">
        <v>1338.6767017799998</v>
      </c>
      <c r="E1347" s="2">
        <v>1298.5164007265998</v>
      </c>
      <c r="F1347" s="2">
        <v>1259.5609087048017</v>
      </c>
      <c r="G1347" s="2">
        <v>1221.7740814436577</v>
      </c>
      <c r="H1347" s="2">
        <v>1185.120859000348</v>
      </c>
      <c r="I1347" s="2">
        <v>1149.5672332303375</v>
      </c>
      <c r="J1347" s="2">
        <v>1115.0802162334273</v>
      </c>
      <c r="K1347" s="2">
        <v>1081.6278097464244</v>
      </c>
      <c r="L1347" s="2">
        <v>1049.1789754540316</v>
      </c>
      <c r="M1347" s="2">
        <v>1017.7036061904106</v>
      </c>
      <c r="N1347" s="2">
        <v>987.17249800469824</v>
      </c>
      <c r="O1347" s="2">
        <v>957.55732306455729</v>
      </c>
    </row>
    <row r="1348" spans="1:15" x14ac:dyDescent="0.25">
      <c r="A1348" t="s">
        <v>3798</v>
      </c>
      <c r="B1348" t="s">
        <v>3799</v>
      </c>
      <c r="C1348" s="2">
        <v>1377.7934720000003</v>
      </c>
      <c r="D1348" s="2">
        <v>1336.4596678400003</v>
      </c>
      <c r="E1348" s="2">
        <v>1296.3658778048002</v>
      </c>
      <c r="F1348" s="2">
        <v>1257.4749014706563</v>
      </c>
      <c r="G1348" s="2">
        <v>1219.7506544265366</v>
      </c>
      <c r="H1348" s="2">
        <v>1183.1581347937404</v>
      </c>
      <c r="I1348" s="2">
        <v>1147.6633907499281</v>
      </c>
      <c r="J1348" s="2">
        <v>1113.2334890274303</v>
      </c>
      <c r="K1348" s="2">
        <v>1079.8364843566073</v>
      </c>
      <c r="L1348" s="2">
        <v>1047.441389825909</v>
      </c>
      <c r="M1348" s="2">
        <v>1016.0181481311317</v>
      </c>
      <c r="N1348" s="2">
        <v>985.53760368719782</v>
      </c>
      <c r="O1348" s="2">
        <v>955.97147557658184</v>
      </c>
    </row>
    <row r="1349" spans="1:15" x14ac:dyDescent="0.25">
      <c r="A1349" t="s">
        <v>3800</v>
      </c>
      <c r="B1349" t="s">
        <v>3801</v>
      </c>
      <c r="C1349" s="2">
        <v>1369.1388480000003</v>
      </c>
      <c r="D1349" s="2">
        <v>1328.0646825600002</v>
      </c>
      <c r="E1349" s="2">
        <v>1288.2227420832</v>
      </c>
      <c r="F1349" s="2">
        <v>1249.5760598207039</v>
      </c>
      <c r="G1349" s="2">
        <v>1212.0887780260828</v>
      </c>
      <c r="H1349" s="2">
        <v>1175.7261146853002</v>
      </c>
      <c r="I1349" s="2">
        <v>1140.4543312447411</v>
      </c>
      <c r="J1349" s="2">
        <v>1106.2407013073987</v>
      </c>
      <c r="K1349" s="2">
        <v>1073.0534802681766</v>
      </c>
      <c r="L1349" s="2">
        <v>1040.8618758601312</v>
      </c>
      <c r="M1349" s="2">
        <v>1009.6360195843273</v>
      </c>
      <c r="N1349" s="2">
        <v>979.34693899679746</v>
      </c>
      <c r="O1349" s="2">
        <v>949.96653082689352</v>
      </c>
    </row>
    <row r="1350" spans="1:15" x14ac:dyDescent="0.25">
      <c r="A1350" t="s">
        <v>3802</v>
      </c>
      <c r="B1350" t="s">
        <v>3803</v>
      </c>
      <c r="C1350" s="2">
        <v>1368.2806720000003</v>
      </c>
      <c r="D1350" s="2">
        <v>1327.2322518400003</v>
      </c>
      <c r="E1350" s="2">
        <v>1287.4152842848002</v>
      </c>
      <c r="F1350" s="2">
        <v>1248.7928257562562</v>
      </c>
      <c r="G1350" s="2">
        <v>1211.3290409835686</v>
      </c>
      <c r="H1350" s="2">
        <v>1174.9891697540615</v>
      </c>
      <c r="I1350" s="2">
        <v>1139.7394946614397</v>
      </c>
      <c r="J1350" s="2">
        <v>1105.5473098215964</v>
      </c>
      <c r="K1350" s="2">
        <v>1072.3808905269484</v>
      </c>
      <c r="L1350" s="2">
        <v>1040.2094638111398</v>
      </c>
      <c r="M1350" s="2">
        <v>1009.0031798968056</v>
      </c>
      <c r="N1350" s="2">
        <v>978.73308449990145</v>
      </c>
      <c r="O1350" s="2">
        <v>949.37109196490439</v>
      </c>
    </row>
    <row r="1351" spans="1:15" x14ac:dyDescent="0.25">
      <c r="A1351" t="s">
        <v>1097</v>
      </c>
      <c r="B1351" t="s">
        <v>3804</v>
      </c>
      <c r="C1351" s="2">
        <v>1365.5442240000002</v>
      </c>
      <c r="D1351" s="2">
        <v>1324.5778972800001</v>
      </c>
      <c r="E1351" s="2">
        <v>1284.8405603616002</v>
      </c>
      <c r="F1351" s="2">
        <v>1246.2953435507522</v>
      </c>
      <c r="G1351" s="2">
        <v>1208.9064832442295</v>
      </c>
      <c r="H1351" s="2">
        <v>1172.6392887469026</v>
      </c>
      <c r="I1351" s="2">
        <v>1137.4601100844955</v>
      </c>
      <c r="J1351" s="2">
        <v>1103.3363067819605</v>
      </c>
      <c r="K1351" s="2">
        <v>1070.2362175785017</v>
      </c>
      <c r="L1351" s="2">
        <v>1038.1291310511467</v>
      </c>
      <c r="M1351" s="2">
        <v>1006.9852571196122</v>
      </c>
      <c r="N1351" s="2">
        <v>976.77569940602382</v>
      </c>
      <c r="O1351" s="2">
        <v>947.4724284238431</v>
      </c>
    </row>
    <row r="1352" spans="1:15" x14ac:dyDescent="0.25">
      <c r="A1352" t="s">
        <v>3805</v>
      </c>
      <c r="B1352" t="s">
        <v>3806</v>
      </c>
      <c r="C1352" s="2">
        <v>1362.629664</v>
      </c>
      <c r="D1352" s="2">
        <v>1321.7507740799999</v>
      </c>
      <c r="E1352" s="2">
        <v>1282.0982508575999</v>
      </c>
      <c r="F1352" s="2">
        <v>1243.6353033318719</v>
      </c>
      <c r="G1352" s="2">
        <v>1206.3262442319158</v>
      </c>
      <c r="H1352" s="2">
        <v>1170.1364569049583</v>
      </c>
      <c r="I1352" s="2">
        <v>1135.0323631978094</v>
      </c>
      <c r="J1352" s="2">
        <v>1100.9813923018751</v>
      </c>
      <c r="K1352" s="2">
        <v>1067.9519505328187</v>
      </c>
      <c r="L1352" s="2">
        <v>1035.9133920168342</v>
      </c>
      <c r="M1352" s="2">
        <v>1004.8359902563292</v>
      </c>
      <c r="N1352" s="2">
        <v>974.69091054863929</v>
      </c>
      <c r="O1352" s="2">
        <v>945.45018323218005</v>
      </c>
    </row>
    <row r="1353" spans="1:15" x14ac:dyDescent="0.25">
      <c r="A1353" t="s">
        <v>3807</v>
      </c>
      <c r="B1353" t="s">
        <v>3808</v>
      </c>
      <c r="C1353" s="2">
        <v>1358.0716160000002</v>
      </c>
      <c r="D1353" s="2">
        <v>1317.3294675200002</v>
      </c>
      <c r="E1353" s="2">
        <v>1277.8095834944002</v>
      </c>
      <c r="F1353" s="2">
        <v>1239.4752959895682</v>
      </c>
      <c r="G1353" s="2">
        <v>1202.291037109881</v>
      </c>
      <c r="H1353" s="2">
        <v>1166.2223059965845</v>
      </c>
      <c r="I1353" s="2">
        <v>1131.235636816687</v>
      </c>
      <c r="J1353" s="2">
        <v>1097.2985677121865</v>
      </c>
      <c r="K1353" s="2">
        <v>1064.3796106808209</v>
      </c>
      <c r="L1353" s="2">
        <v>1032.4482223603961</v>
      </c>
      <c r="M1353" s="2">
        <v>1001.4747756895842</v>
      </c>
      <c r="N1353" s="2">
        <v>971.43053241889675</v>
      </c>
      <c r="O1353" s="2">
        <v>942.28761644632982</v>
      </c>
    </row>
    <row r="1354" spans="1:15" x14ac:dyDescent="0.25">
      <c r="A1354" t="s">
        <v>3809</v>
      </c>
      <c r="B1354" t="s">
        <v>3810</v>
      </c>
      <c r="C1354" s="2">
        <v>1357.6880680000002</v>
      </c>
      <c r="D1354" s="2">
        <v>1316.9574259600001</v>
      </c>
      <c r="E1354" s="2">
        <v>1277.4487031812</v>
      </c>
      <c r="F1354" s="2">
        <v>1239.1252420857641</v>
      </c>
      <c r="G1354" s="2">
        <v>1201.9514848231911</v>
      </c>
      <c r="H1354" s="2">
        <v>1165.8929402784954</v>
      </c>
      <c r="I1354" s="2">
        <v>1130.9161520701405</v>
      </c>
      <c r="J1354" s="2">
        <v>1096.9886675080363</v>
      </c>
      <c r="K1354" s="2">
        <v>1064.0790074827953</v>
      </c>
      <c r="L1354" s="2">
        <v>1032.1566372583113</v>
      </c>
      <c r="M1354" s="2">
        <v>1001.191938140562</v>
      </c>
      <c r="N1354" s="2">
        <v>971.15617999634514</v>
      </c>
      <c r="O1354" s="2">
        <v>942.02149459645477</v>
      </c>
    </row>
    <row r="1355" spans="1:15" x14ac:dyDescent="0.25">
      <c r="A1355" t="s">
        <v>3811</v>
      </c>
      <c r="B1355" t="s">
        <v>3812</v>
      </c>
      <c r="C1355" s="2">
        <v>1357.1000960000001</v>
      </c>
      <c r="D1355" s="2">
        <v>1316.3870931200001</v>
      </c>
      <c r="E1355" s="2">
        <v>1276.8954803264</v>
      </c>
      <c r="F1355" s="2">
        <v>1238.588615916608</v>
      </c>
      <c r="G1355" s="2">
        <v>1201.4309574391098</v>
      </c>
      <c r="H1355" s="2">
        <v>1165.3880287159363</v>
      </c>
      <c r="I1355" s="2">
        <v>1130.4263878544582</v>
      </c>
      <c r="J1355" s="2">
        <v>1096.5135962188244</v>
      </c>
      <c r="K1355" s="2">
        <v>1063.6181883322597</v>
      </c>
      <c r="L1355" s="2">
        <v>1031.7096426822918</v>
      </c>
      <c r="M1355" s="2">
        <v>1000.758353401823</v>
      </c>
      <c r="N1355" s="2">
        <v>970.73560279976823</v>
      </c>
      <c r="O1355" s="2">
        <v>941.61353471577513</v>
      </c>
    </row>
    <row r="1356" spans="1:15" x14ac:dyDescent="0.25">
      <c r="A1356" t="s">
        <v>3813</v>
      </c>
      <c r="B1356" t="s">
        <v>3814</v>
      </c>
      <c r="C1356" s="2">
        <v>1334.9251520000003</v>
      </c>
      <c r="D1356" s="2">
        <v>1294.8773974400003</v>
      </c>
      <c r="E1356" s="2">
        <v>1256.0310755168002</v>
      </c>
      <c r="F1356" s="2">
        <v>1218.3501432512962</v>
      </c>
      <c r="G1356" s="2">
        <v>1181.7996389537573</v>
      </c>
      <c r="H1356" s="2">
        <v>1146.3456497851446</v>
      </c>
      <c r="I1356" s="2">
        <v>1111.9552802915903</v>
      </c>
      <c r="J1356" s="2">
        <v>1078.5966218828426</v>
      </c>
      <c r="K1356" s="2">
        <v>1046.2387232263573</v>
      </c>
      <c r="L1356" s="2">
        <v>1014.8515615295665</v>
      </c>
      <c r="M1356" s="2">
        <v>984.40601468367947</v>
      </c>
      <c r="N1356" s="2">
        <v>954.87383424316909</v>
      </c>
      <c r="O1356" s="2">
        <v>926.22761921587403</v>
      </c>
    </row>
    <row r="1357" spans="1:15" x14ac:dyDescent="0.25">
      <c r="A1357" t="s">
        <v>1117</v>
      </c>
      <c r="B1357" t="s">
        <v>1155</v>
      </c>
      <c r="C1357" s="2">
        <v>1333.0347360000001</v>
      </c>
      <c r="D1357" s="2">
        <v>1293.0436939200001</v>
      </c>
      <c r="E1357" s="2">
        <v>1254.2523831024</v>
      </c>
      <c r="F1357" s="2">
        <v>1216.6248116093279</v>
      </c>
      <c r="G1357" s="2">
        <v>1180.1260672610481</v>
      </c>
      <c r="H1357" s="2">
        <v>1144.7222852432167</v>
      </c>
      <c r="I1357" s="2">
        <v>1110.3806166859201</v>
      </c>
      <c r="J1357" s="2">
        <v>1077.0691981853424</v>
      </c>
      <c r="K1357" s="2">
        <v>1044.7571222397821</v>
      </c>
      <c r="L1357" s="2">
        <v>1013.4144085725886</v>
      </c>
      <c r="M1357" s="2">
        <v>983.01197631541095</v>
      </c>
      <c r="N1357" s="2">
        <v>953.52161702594856</v>
      </c>
      <c r="O1357" s="2">
        <v>924.91596851517011</v>
      </c>
    </row>
    <row r="1358" spans="1:15" x14ac:dyDescent="0.25">
      <c r="A1358" t="s">
        <v>3815</v>
      </c>
      <c r="B1358" t="s">
        <v>3816</v>
      </c>
      <c r="C1358" s="2">
        <v>1326.5296000000003</v>
      </c>
      <c r="D1358" s="2">
        <v>1286.7337120000002</v>
      </c>
      <c r="E1358" s="2">
        <v>1248.1317006400002</v>
      </c>
      <c r="F1358" s="2">
        <v>1210.6877496208001</v>
      </c>
      <c r="G1358" s="2">
        <v>1174.367117132176</v>
      </c>
      <c r="H1358" s="2">
        <v>1139.1361036182107</v>
      </c>
      <c r="I1358" s="2">
        <v>1104.9620205096644</v>
      </c>
      <c r="J1358" s="2">
        <v>1071.8131598943744</v>
      </c>
      <c r="K1358" s="2">
        <v>1039.6587650975432</v>
      </c>
      <c r="L1358" s="2">
        <v>1008.4690021446169</v>
      </c>
      <c r="M1358" s="2">
        <v>978.21493208027834</v>
      </c>
      <c r="N1358" s="2">
        <v>948.86848411787003</v>
      </c>
      <c r="O1358" s="2">
        <v>920.40242959433385</v>
      </c>
    </row>
    <row r="1359" spans="1:15" x14ac:dyDescent="0.25">
      <c r="A1359" t="s">
        <v>3817</v>
      </c>
      <c r="B1359" t="s">
        <v>3818</v>
      </c>
      <c r="C1359" s="2">
        <v>1325.3556800000003</v>
      </c>
      <c r="D1359" s="2">
        <v>1285.5950096000004</v>
      </c>
      <c r="E1359" s="2">
        <v>1247.0271593120003</v>
      </c>
      <c r="F1359" s="2">
        <v>1209.6163445326404</v>
      </c>
      <c r="G1359" s="2">
        <v>1173.3278541966611</v>
      </c>
      <c r="H1359" s="2">
        <v>1138.1280185707612</v>
      </c>
      <c r="I1359" s="2">
        <v>1103.9841780136385</v>
      </c>
      <c r="J1359" s="2">
        <v>1070.8646526732293</v>
      </c>
      <c r="K1359" s="2">
        <v>1038.7387130930324</v>
      </c>
      <c r="L1359" s="2">
        <v>1007.5765517002415</v>
      </c>
      <c r="M1359" s="2">
        <v>977.34925514923418</v>
      </c>
      <c r="N1359" s="2">
        <v>948.02877749475715</v>
      </c>
      <c r="O1359" s="2">
        <v>919.58791416991437</v>
      </c>
    </row>
    <row r="1360" spans="1:15" x14ac:dyDescent="0.25">
      <c r="A1360" t="s">
        <v>3819</v>
      </c>
      <c r="B1360" t="s">
        <v>3820</v>
      </c>
      <c r="C1360" s="2">
        <v>1324.613378</v>
      </c>
      <c r="D1360" s="2">
        <v>1284.8749766599999</v>
      </c>
      <c r="E1360" s="2">
        <v>1246.3287273601998</v>
      </c>
      <c r="F1360" s="2">
        <v>1208.9388655393936</v>
      </c>
      <c r="G1360" s="2">
        <v>1172.6706995732118</v>
      </c>
      <c r="H1360" s="2">
        <v>1137.4905785860153</v>
      </c>
      <c r="I1360" s="2">
        <v>1103.3658612284348</v>
      </c>
      <c r="J1360" s="2">
        <v>1070.2648853915819</v>
      </c>
      <c r="K1360" s="2">
        <v>1038.1569388298344</v>
      </c>
      <c r="L1360" s="2">
        <v>1007.0122306649394</v>
      </c>
      <c r="M1360" s="2">
        <v>976.80186374499112</v>
      </c>
      <c r="N1360" s="2">
        <v>947.49780783264134</v>
      </c>
      <c r="O1360" s="2">
        <v>919.07287359766212</v>
      </c>
    </row>
    <row r="1361" spans="1:15" x14ac:dyDescent="0.25">
      <c r="A1361" t="s">
        <v>3821</v>
      </c>
      <c r="B1361" t="s">
        <v>3822</v>
      </c>
      <c r="C1361" s="2">
        <v>1322.6192320000005</v>
      </c>
      <c r="D1361" s="2">
        <v>1282.9406550400004</v>
      </c>
      <c r="E1361" s="2">
        <v>1244.4524353888003</v>
      </c>
      <c r="F1361" s="2">
        <v>1207.1188623271362</v>
      </c>
      <c r="G1361" s="2">
        <v>1170.905296457322</v>
      </c>
      <c r="H1361" s="2">
        <v>1135.7781375636023</v>
      </c>
      <c r="I1361" s="2">
        <v>1101.7047934366942</v>
      </c>
      <c r="J1361" s="2">
        <v>1068.6536496335934</v>
      </c>
      <c r="K1361" s="2">
        <v>1036.5940401445855</v>
      </c>
      <c r="L1361" s="2">
        <v>1005.4962189402479</v>
      </c>
      <c r="M1361" s="2">
        <v>975.33133237204049</v>
      </c>
      <c r="N1361" s="2">
        <v>946.07139240087929</v>
      </c>
      <c r="O1361" s="2">
        <v>917.68925062885285</v>
      </c>
    </row>
    <row r="1362" spans="1:15" x14ac:dyDescent="0.25">
      <c r="A1362" t="s">
        <v>3823</v>
      </c>
      <c r="B1362" t="s">
        <v>3824</v>
      </c>
      <c r="C1362" s="2">
        <v>1316.9115520000003</v>
      </c>
      <c r="D1362" s="2">
        <v>1277.4042054400002</v>
      </c>
      <c r="E1362" s="2">
        <v>1239.0820792768002</v>
      </c>
      <c r="F1362" s="2">
        <v>1201.9096168984961</v>
      </c>
      <c r="G1362" s="2">
        <v>1165.8523283915413</v>
      </c>
      <c r="H1362" s="2">
        <v>1130.876758539795</v>
      </c>
      <c r="I1362" s="2">
        <v>1096.950455783601</v>
      </c>
      <c r="J1362" s="2">
        <v>1064.041942110093</v>
      </c>
      <c r="K1362" s="2">
        <v>1032.1206838467901</v>
      </c>
      <c r="L1362" s="2">
        <v>1001.1570633313864</v>
      </c>
      <c r="M1362" s="2">
        <v>971.12235143144483</v>
      </c>
      <c r="N1362" s="2">
        <v>941.98868088850145</v>
      </c>
      <c r="O1362" s="2">
        <v>913.7290204618464</v>
      </c>
    </row>
    <row r="1363" spans="1:15" x14ac:dyDescent="0.25">
      <c r="A1363" t="s">
        <v>3825</v>
      </c>
      <c r="B1363" t="s">
        <v>3826</v>
      </c>
      <c r="C1363" s="2">
        <v>1316.7982080000002</v>
      </c>
      <c r="D1363" s="2">
        <v>1277.2942617600002</v>
      </c>
      <c r="E1363" s="2">
        <v>1238.9754339072001</v>
      </c>
      <c r="F1363" s="2">
        <v>1201.8061708899841</v>
      </c>
      <c r="G1363" s="2">
        <v>1165.7519857632844</v>
      </c>
      <c r="H1363" s="2">
        <v>1130.7794261903859</v>
      </c>
      <c r="I1363" s="2">
        <v>1096.8560434046744</v>
      </c>
      <c r="J1363" s="2">
        <v>1063.9503621025342</v>
      </c>
      <c r="K1363" s="2">
        <v>1032.0318512394581</v>
      </c>
      <c r="L1363" s="2">
        <v>1001.0708957022744</v>
      </c>
      <c r="M1363" s="2">
        <v>971.03876883120608</v>
      </c>
      <c r="N1363" s="2">
        <v>941.90760576626985</v>
      </c>
      <c r="O1363" s="2">
        <v>913.65037759328175</v>
      </c>
    </row>
    <row r="1364" spans="1:15" x14ac:dyDescent="0.25">
      <c r="A1364" t="s">
        <v>3827</v>
      </c>
      <c r="B1364" t="s">
        <v>3828</v>
      </c>
      <c r="C1364" s="2">
        <v>1315.7295360000003</v>
      </c>
      <c r="D1364" s="2">
        <v>1276.2576499200002</v>
      </c>
      <c r="E1364" s="2">
        <v>1237.9699204224</v>
      </c>
      <c r="F1364" s="2">
        <v>1200.830822809728</v>
      </c>
      <c r="G1364" s="2">
        <v>1164.8058981254362</v>
      </c>
      <c r="H1364" s="2">
        <v>1129.8617211816731</v>
      </c>
      <c r="I1364" s="2">
        <v>1095.9658695462228</v>
      </c>
      <c r="J1364" s="2">
        <v>1063.0868934598361</v>
      </c>
      <c r="K1364" s="2">
        <v>1031.194286656041</v>
      </c>
      <c r="L1364" s="2">
        <v>1000.2584580563597</v>
      </c>
      <c r="M1364" s="2">
        <v>970.25070431466884</v>
      </c>
      <c r="N1364" s="2">
        <v>941.14318318522874</v>
      </c>
      <c r="O1364" s="2">
        <v>912.90888768967181</v>
      </c>
    </row>
    <row r="1365" spans="1:15" x14ac:dyDescent="0.25">
      <c r="A1365" t="s">
        <v>3829</v>
      </c>
      <c r="B1365" t="s">
        <v>3830</v>
      </c>
      <c r="C1365" s="2">
        <v>1310.8800320000003</v>
      </c>
      <c r="D1365" s="2">
        <v>1271.5536310400003</v>
      </c>
      <c r="E1365" s="2">
        <v>1233.4070221088002</v>
      </c>
      <c r="F1365" s="2">
        <v>1196.4048114455361</v>
      </c>
      <c r="G1365" s="2">
        <v>1160.5126671021699</v>
      </c>
      <c r="H1365" s="2">
        <v>1125.6972870891047</v>
      </c>
      <c r="I1365" s="2">
        <v>1091.9263684764317</v>
      </c>
      <c r="J1365" s="2">
        <v>1059.1685774221387</v>
      </c>
      <c r="K1365" s="2">
        <v>1027.3935200994745</v>
      </c>
      <c r="L1365" s="2">
        <v>996.57171449649024</v>
      </c>
      <c r="M1365" s="2">
        <v>966.67456306159556</v>
      </c>
      <c r="N1365" s="2">
        <v>937.6743261697477</v>
      </c>
      <c r="O1365" s="2">
        <v>909.54409638465529</v>
      </c>
    </row>
    <row r="1366" spans="1:15" x14ac:dyDescent="0.25">
      <c r="A1366" t="s">
        <v>3831</v>
      </c>
      <c r="B1366" t="s">
        <v>3832</v>
      </c>
      <c r="C1366" s="2">
        <v>1310.4716900000003</v>
      </c>
      <c r="D1366" s="2">
        <v>1271.1575393000003</v>
      </c>
      <c r="E1366" s="2">
        <v>1233.0228131210001</v>
      </c>
      <c r="F1366" s="2">
        <v>1196.03212872737</v>
      </c>
      <c r="G1366" s="2">
        <v>1160.1511648655489</v>
      </c>
      <c r="H1366" s="2">
        <v>1125.3466299195825</v>
      </c>
      <c r="I1366" s="2">
        <v>1091.586231021995</v>
      </c>
      <c r="J1366" s="2">
        <v>1058.838644091335</v>
      </c>
      <c r="K1366" s="2">
        <v>1027.0734847685949</v>
      </c>
      <c r="L1366" s="2">
        <v>996.26128022553701</v>
      </c>
      <c r="M1366" s="2">
        <v>966.37344181877086</v>
      </c>
      <c r="N1366" s="2">
        <v>937.38223856420768</v>
      </c>
      <c r="O1366" s="2">
        <v>909.26077140728148</v>
      </c>
    </row>
    <row r="1367" spans="1:15" x14ac:dyDescent="0.25">
      <c r="A1367" t="s">
        <v>3833</v>
      </c>
      <c r="B1367" t="s">
        <v>3834</v>
      </c>
      <c r="C1367" s="2">
        <v>1307.0425280000004</v>
      </c>
      <c r="D1367" s="2">
        <v>1267.8312521600003</v>
      </c>
      <c r="E1367" s="2">
        <v>1229.7963145952003</v>
      </c>
      <c r="F1367" s="2">
        <v>1192.9024251573444</v>
      </c>
      <c r="G1367" s="2">
        <v>1157.115352402624</v>
      </c>
      <c r="H1367" s="2">
        <v>1122.4018918305453</v>
      </c>
      <c r="I1367" s="2">
        <v>1088.7298350756289</v>
      </c>
      <c r="J1367" s="2">
        <v>1056.0679400233601</v>
      </c>
      <c r="K1367" s="2">
        <v>1024.3859018226592</v>
      </c>
      <c r="L1367" s="2">
        <v>993.65432476797935</v>
      </c>
      <c r="M1367" s="2">
        <v>963.84469502493994</v>
      </c>
      <c r="N1367" s="2">
        <v>934.92935417419176</v>
      </c>
      <c r="O1367" s="2">
        <v>906.88147354896603</v>
      </c>
    </row>
    <row r="1368" spans="1:15" x14ac:dyDescent="0.25">
      <c r="A1368" t="s">
        <v>3835</v>
      </c>
      <c r="B1368" t="s">
        <v>3836</v>
      </c>
      <c r="C1368" s="2">
        <v>1304.6461120000001</v>
      </c>
      <c r="D1368" s="2">
        <v>1265.5067286400001</v>
      </c>
      <c r="E1368" s="2">
        <v>1227.5415267808</v>
      </c>
      <c r="F1368" s="2">
        <v>1190.7152809773761</v>
      </c>
      <c r="G1368" s="2">
        <v>1154.9938225480548</v>
      </c>
      <c r="H1368" s="2">
        <v>1120.3440078716133</v>
      </c>
      <c r="I1368" s="2">
        <v>1086.7336876354648</v>
      </c>
      <c r="J1368" s="2">
        <v>1054.1316770064009</v>
      </c>
      <c r="K1368" s="2">
        <v>1022.5077266962088</v>
      </c>
      <c r="L1368" s="2">
        <v>991.8324948953225</v>
      </c>
      <c r="M1368" s="2">
        <v>962.07752004846282</v>
      </c>
      <c r="N1368" s="2">
        <v>933.21519444700891</v>
      </c>
      <c r="O1368" s="2">
        <v>905.21873861359859</v>
      </c>
    </row>
    <row r="1369" spans="1:15" x14ac:dyDescent="0.25">
      <c r="A1369" t="s">
        <v>3837</v>
      </c>
      <c r="B1369" t="s">
        <v>3838</v>
      </c>
      <c r="C1369" s="2">
        <v>1303.615896</v>
      </c>
      <c r="D1369" s="2">
        <v>1264.5074191199999</v>
      </c>
      <c r="E1369" s="2">
        <v>1226.5721965463999</v>
      </c>
      <c r="F1369" s="2">
        <v>1189.7750306500079</v>
      </c>
      <c r="G1369" s="2">
        <v>1154.0817797305076</v>
      </c>
      <c r="H1369" s="2">
        <v>1119.4593263385923</v>
      </c>
      <c r="I1369" s="2">
        <v>1085.8755465484344</v>
      </c>
      <c r="J1369" s="2">
        <v>1053.2992801519813</v>
      </c>
      <c r="K1369" s="2">
        <v>1021.7003017474218</v>
      </c>
      <c r="L1369" s="2">
        <v>991.04929269499917</v>
      </c>
      <c r="M1369" s="2">
        <v>961.31781391414916</v>
      </c>
      <c r="N1369" s="2">
        <v>932.47827949672467</v>
      </c>
      <c r="O1369" s="2">
        <v>904.50393111182291</v>
      </c>
    </row>
    <row r="1370" spans="1:15" x14ac:dyDescent="0.25">
      <c r="A1370" t="s">
        <v>3839</v>
      </c>
      <c r="B1370" t="s">
        <v>3840</v>
      </c>
      <c r="C1370" s="2">
        <v>1303.3669440000003</v>
      </c>
      <c r="D1370" s="2">
        <v>1264.2659356800002</v>
      </c>
      <c r="E1370" s="2">
        <v>1226.3379576096002</v>
      </c>
      <c r="F1370" s="2">
        <v>1189.5478188813122</v>
      </c>
      <c r="G1370" s="2">
        <v>1153.8613843148728</v>
      </c>
      <c r="H1370" s="2">
        <v>1119.2455427854266</v>
      </c>
      <c r="I1370" s="2">
        <v>1085.6681765018636</v>
      </c>
      <c r="J1370" s="2">
        <v>1053.0981312068077</v>
      </c>
      <c r="K1370" s="2">
        <v>1021.5051872706034</v>
      </c>
      <c r="L1370" s="2">
        <v>990.8600316524853</v>
      </c>
      <c r="M1370" s="2">
        <v>961.13423070291071</v>
      </c>
      <c r="N1370" s="2">
        <v>932.30020378182337</v>
      </c>
      <c r="O1370" s="2">
        <v>904.33119766836865</v>
      </c>
    </row>
    <row r="1371" spans="1:15" x14ac:dyDescent="0.25">
      <c r="A1371" t="s">
        <v>3841</v>
      </c>
      <c r="B1371" t="s">
        <v>3842</v>
      </c>
      <c r="C1371" s="2">
        <v>1299.7804160000003</v>
      </c>
      <c r="D1371" s="2">
        <v>1260.7870035200003</v>
      </c>
      <c r="E1371" s="2">
        <v>1222.9633934144003</v>
      </c>
      <c r="F1371" s="2">
        <v>1186.2744916119682</v>
      </c>
      <c r="G1371" s="2">
        <v>1150.6862568636091</v>
      </c>
      <c r="H1371" s="2">
        <v>1116.1656691577007</v>
      </c>
      <c r="I1371" s="2">
        <v>1082.6806990829696</v>
      </c>
      <c r="J1371" s="2">
        <v>1050.2002781104804</v>
      </c>
      <c r="K1371" s="2">
        <v>1018.694269767166</v>
      </c>
      <c r="L1371" s="2">
        <v>988.13344167415096</v>
      </c>
      <c r="M1371" s="2">
        <v>958.48943842392646</v>
      </c>
      <c r="N1371" s="2">
        <v>929.73475527120866</v>
      </c>
      <c r="O1371" s="2">
        <v>901.84271261307242</v>
      </c>
    </row>
    <row r="1372" spans="1:15" x14ac:dyDescent="0.25">
      <c r="A1372" t="s">
        <v>3843</v>
      </c>
      <c r="B1372" t="s">
        <v>3844</v>
      </c>
      <c r="C1372" s="2">
        <v>1299.6589760000002</v>
      </c>
      <c r="D1372" s="2">
        <v>1260.6692067200001</v>
      </c>
      <c r="E1372" s="2">
        <v>1222.8491305184002</v>
      </c>
      <c r="F1372" s="2">
        <v>1186.1636566028483</v>
      </c>
      <c r="G1372" s="2">
        <v>1150.5787469047627</v>
      </c>
      <c r="H1372" s="2">
        <v>1116.0613844976199</v>
      </c>
      <c r="I1372" s="2">
        <v>1082.5795429626912</v>
      </c>
      <c r="J1372" s="2">
        <v>1050.1021566738104</v>
      </c>
      <c r="K1372" s="2">
        <v>1018.599091973596</v>
      </c>
      <c r="L1372" s="2">
        <v>988.04111921438812</v>
      </c>
      <c r="M1372" s="2">
        <v>958.39988563795646</v>
      </c>
      <c r="N1372" s="2">
        <v>929.64788906881779</v>
      </c>
      <c r="O1372" s="2">
        <v>901.75845239675323</v>
      </c>
    </row>
    <row r="1373" spans="1:15" x14ac:dyDescent="0.25">
      <c r="A1373" t="s">
        <v>3845</v>
      </c>
      <c r="B1373" t="s">
        <v>3846</v>
      </c>
      <c r="C1373" s="2">
        <v>1291.9192000000003</v>
      </c>
      <c r="D1373" s="2">
        <v>1253.1616240000003</v>
      </c>
      <c r="E1373" s="2">
        <v>1215.5667752800002</v>
      </c>
      <c r="F1373" s="2">
        <v>1179.0997720216003</v>
      </c>
      <c r="G1373" s="2">
        <v>1143.7267788609522</v>
      </c>
      <c r="H1373" s="2">
        <v>1109.4149754951236</v>
      </c>
      <c r="I1373" s="2">
        <v>1076.1325262302698</v>
      </c>
      <c r="J1373" s="2">
        <v>1043.8485504433618</v>
      </c>
      <c r="K1373" s="2">
        <v>1012.5330939300609</v>
      </c>
      <c r="L1373" s="2">
        <v>982.15710111215901</v>
      </c>
      <c r="M1373" s="2">
        <v>952.69238807879424</v>
      </c>
      <c r="N1373" s="2">
        <v>924.11161643643038</v>
      </c>
      <c r="O1373" s="2">
        <v>896.3882679433375</v>
      </c>
    </row>
    <row r="1374" spans="1:15" x14ac:dyDescent="0.25">
      <c r="A1374" t="s">
        <v>3847</v>
      </c>
      <c r="B1374" t="s">
        <v>3848</v>
      </c>
      <c r="C1374" s="2">
        <v>1289.676608</v>
      </c>
      <c r="D1374" s="2">
        <v>1250.98630976</v>
      </c>
      <c r="E1374" s="2">
        <v>1213.4567204672001</v>
      </c>
      <c r="F1374" s="2">
        <v>1177.0530188531841</v>
      </c>
      <c r="G1374" s="2">
        <v>1141.7414282875886</v>
      </c>
      <c r="H1374" s="2">
        <v>1107.4891854389609</v>
      </c>
      <c r="I1374" s="2">
        <v>1074.2645098757921</v>
      </c>
      <c r="J1374" s="2">
        <v>1042.0365745795184</v>
      </c>
      <c r="K1374" s="2">
        <v>1010.7754773421328</v>
      </c>
      <c r="L1374" s="2">
        <v>980.45221302186883</v>
      </c>
      <c r="M1374" s="2">
        <v>951.03864663121271</v>
      </c>
      <c r="N1374" s="2">
        <v>922.50748723227628</v>
      </c>
      <c r="O1374" s="2">
        <v>894.83226261530797</v>
      </c>
    </row>
    <row r="1375" spans="1:15" x14ac:dyDescent="0.25">
      <c r="A1375" t="s">
        <v>3849</v>
      </c>
      <c r="B1375" t="s">
        <v>3850</v>
      </c>
      <c r="C1375" s="2">
        <v>1289.4225960000001</v>
      </c>
      <c r="D1375" s="2">
        <v>1250.7399181200001</v>
      </c>
      <c r="E1375" s="2">
        <v>1213.2177205764001</v>
      </c>
      <c r="F1375" s="2">
        <v>1176.821188959108</v>
      </c>
      <c r="G1375" s="2">
        <v>1141.5165532903347</v>
      </c>
      <c r="H1375" s="2">
        <v>1107.2710566916246</v>
      </c>
      <c r="I1375" s="2">
        <v>1074.0529249908759</v>
      </c>
      <c r="J1375" s="2">
        <v>1041.8313372411496</v>
      </c>
      <c r="K1375" s="2">
        <v>1010.5763971239152</v>
      </c>
      <c r="L1375" s="2">
        <v>980.25910521019773</v>
      </c>
      <c r="M1375" s="2">
        <v>950.85133205389172</v>
      </c>
      <c r="N1375" s="2">
        <v>922.32579209227492</v>
      </c>
      <c r="O1375" s="2">
        <v>894.65601832950665</v>
      </c>
    </row>
    <row r="1376" spans="1:15" x14ac:dyDescent="0.25">
      <c r="A1376" t="s">
        <v>3851</v>
      </c>
      <c r="B1376" t="s">
        <v>3852</v>
      </c>
      <c r="C1376" s="2">
        <v>1289.142272</v>
      </c>
      <c r="D1376" s="2">
        <v>1250.4680038399999</v>
      </c>
      <c r="E1376" s="2">
        <v>1212.9539637247999</v>
      </c>
      <c r="F1376" s="2">
        <v>1176.5653448130558</v>
      </c>
      <c r="G1376" s="2">
        <v>1141.2683844686642</v>
      </c>
      <c r="H1376" s="2">
        <v>1107.0303329346043</v>
      </c>
      <c r="I1376" s="2">
        <v>1073.8194229465662</v>
      </c>
      <c r="J1376" s="2">
        <v>1041.6048402581691</v>
      </c>
      <c r="K1376" s="2">
        <v>1010.356695050424</v>
      </c>
      <c r="L1376" s="2">
        <v>980.04599419891133</v>
      </c>
      <c r="M1376" s="2">
        <v>950.64461437294392</v>
      </c>
      <c r="N1376" s="2">
        <v>922.1252759417556</v>
      </c>
      <c r="O1376" s="2">
        <v>894.46151766350295</v>
      </c>
    </row>
    <row r="1377" spans="1:15" x14ac:dyDescent="0.25">
      <c r="A1377" t="s">
        <v>3853</v>
      </c>
      <c r="B1377" t="s">
        <v>3854</v>
      </c>
      <c r="C1377" s="2">
        <v>1283.9527360000002</v>
      </c>
      <c r="D1377" s="2">
        <v>1245.4341539200002</v>
      </c>
      <c r="E1377" s="2">
        <v>1208.0711293024001</v>
      </c>
      <c r="F1377" s="2">
        <v>1171.828995423328</v>
      </c>
      <c r="G1377" s="2">
        <v>1136.6741255606282</v>
      </c>
      <c r="H1377" s="2">
        <v>1102.5739017938095</v>
      </c>
      <c r="I1377" s="2">
        <v>1069.4966847399951</v>
      </c>
      <c r="J1377" s="2">
        <v>1037.4117841977952</v>
      </c>
      <c r="K1377" s="2">
        <v>1006.2894306718613</v>
      </c>
      <c r="L1377" s="2">
        <v>976.1007477517054</v>
      </c>
      <c r="M1377" s="2">
        <v>946.81772531915419</v>
      </c>
      <c r="N1377" s="2">
        <v>918.41319355957955</v>
      </c>
      <c r="O1377" s="2">
        <v>890.86079775279211</v>
      </c>
    </row>
    <row r="1378" spans="1:15" x14ac:dyDescent="0.25">
      <c r="A1378" t="s">
        <v>3855</v>
      </c>
      <c r="B1378" t="s">
        <v>3856</v>
      </c>
      <c r="C1378" s="2">
        <v>1275.9943680000003</v>
      </c>
      <c r="D1378" s="2">
        <v>1237.7145369600003</v>
      </c>
      <c r="E1378" s="2">
        <v>1200.5831008512002</v>
      </c>
      <c r="F1378" s="2">
        <v>1164.5656078256643</v>
      </c>
      <c r="G1378" s="2">
        <v>1129.6286395908944</v>
      </c>
      <c r="H1378" s="2">
        <v>1095.7397804031675</v>
      </c>
      <c r="I1378" s="2">
        <v>1062.8675869910724</v>
      </c>
      <c r="J1378" s="2">
        <v>1030.98155938134</v>
      </c>
      <c r="K1378" s="2">
        <v>1000.0521125998998</v>
      </c>
      <c r="L1378" s="2">
        <v>970.05054922190277</v>
      </c>
      <c r="M1378" s="2">
        <v>940.94903274524563</v>
      </c>
      <c r="N1378" s="2">
        <v>912.72056176288822</v>
      </c>
      <c r="O1378" s="2">
        <v>885.3389449100016</v>
      </c>
    </row>
    <row r="1379" spans="1:15" x14ac:dyDescent="0.25">
      <c r="A1379" t="s">
        <v>3857</v>
      </c>
      <c r="B1379" t="s">
        <v>3858</v>
      </c>
      <c r="C1379" s="2">
        <v>1267.9348</v>
      </c>
      <c r="D1379" s="2">
        <v>1229.8967559999999</v>
      </c>
      <c r="E1379" s="2">
        <v>1192.9998533199998</v>
      </c>
      <c r="F1379" s="2">
        <v>1157.2098577203999</v>
      </c>
      <c r="G1379" s="2">
        <v>1122.4935619887879</v>
      </c>
      <c r="H1379" s="2">
        <v>1088.8187551291242</v>
      </c>
      <c r="I1379" s="2">
        <v>1056.1541924752505</v>
      </c>
      <c r="J1379" s="2">
        <v>1024.469566700993</v>
      </c>
      <c r="K1379" s="2">
        <v>993.73547969996321</v>
      </c>
      <c r="L1379" s="2">
        <v>963.92341530896431</v>
      </c>
      <c r="M1379" s="2">
        <v>935.00571284969533</v>
      </c>
      <c r="N1379" s="2">
        <v>906.95554146420443</v>
      </c>
      <c r="O1379" s="2">
        <v>879.7468752202783</v>
      </c>
    </row>
    <row r="1380" spans="1:15" x14ac:dyDescent="0.25">
      <c r="A1380" t="s">
        <v>3859</v>
      </c>
      <c r="B1380" t="s">
        <v>3860</v>
      </c>
      <c r="C1380" s="2">
        <v>1262.4659520000005</v>
      </c>
      <c r="D1380" s="2">
        <v>1224.5919734400004</v>
      </c>
      <c r="E1380" s="2">
        <v>1187.8542142368003</v>
      </c>
      <c r="F1380" s="2">
        <v>1152.2185878096964</v>
      </c>
      <c r="G1380" s="2">
        <v>1117.6520301754053</v>
      </c>
      <c r="H1380" s="2">
        <v>1084.1224692701433</v>
      </c>
      <c r="I1380" s="2">
        <v>1051.598795192039</v>
      </c>
      <c r="J1380" s="2">
        <v>1020.0508313362778</v>
      </c>
      <c r="K1380" s="2">
        <v>989.44930639618951</v>
      </c>
      <c r="L1380" s="2">
        <v>959.76582720430383</v>
      </c>
      <c r="M1380" s="2">
        <v>930.97285238817472</v>
      </c>
      <c r="N1380" s="2">
        <v>903.04366681652948</v>
      </c>
      <c r="O1380" s="2">
        <v>875.9523568120336</v>
      </c>
    </row>
    <row r="1381" spans="1:15" x14ac:dyDescent="0.25">
      <c r="A1381" t="s">
        <v>1170</v>
      </c>
      <c r="B1381" t="s">
        <v>3861</v>
      </c>
      <c r="C1381" s="2">
        <v>1261.4832999999999</v>
      </c>
      <c r="D1381" s="2">
        <v>1223.6388009999998</v>
      </c>
      <c r="E1381" s="2">
        <v>1186.9296369699998</v>
      </c>
      <c r="F1381" s="2">
        <v>1151.3217478608999</v>
      </c>
      <c r="G1381" s="2">
        <v>1116.7820954250728</v>
      </c>
      <c r="H1381" s="2">
        <v>1083.2786325623206</v>
      </c>
      <c r="I1381" s="2">
        <v>1050.7802735854509</v>
      </c>
      <c r="J1381" s="2">
        <v>1019.2568653778874</v>
      </c>
      <c r="K1381" s="2">
        <v>988.67915941655076</v>
      </c>
      <c r="L1381" s="2">
        <v>959.01878463405421</v>
      </c>
      <c r="M1381" s="2">
        <v>930.24822109503259</v>
      </c>
      <c r="N1381" s="2">
        <v>902.34077446218157</v>
      </c>
      <c r="O1381" s="2">
        <v>875.27055122831609</v>
      </c>
    </row>
    <row r="1382" spans="1:15" x14ac:dyDescent="0.25">
      <c r="A1382" t="s">
        <v>3862</v>
      </c>
      <c r="B1382" t="s">
        <v>3863</v>
      </c>
      <c r="C1382" s="2">
        <v>1259.9435420000002</v>
      </c>
      <c r="D1382" s="2">
        <v>1222.1452357400001</v>
      </c>
      <c r="E1382" s="2">
        <v>1185.4808786678</v>
      </c>
      <c r="F1382" s="2">
        <v>1149.9164523077659</v>
      </c>
      <c r="G1382" s="2">
        <v>1115.4189587385329</v>
      </c>
      <c r="H1382" s="2">
        <v>1081.9563899763768</v>
      </c>
      <c r="I1382" s="2">
        <v>1049.4976982770854</v>
      </c>
      <c r="J1382" s="2">
        <v>1018.0127673287728</v>
      </c>
      <c r="K1382" s="2">
        <v>987.47238430890968</v>
      </c>
      <c r="L1382" s="2">
        <v>957.84821277964238</v>
      </c>
      <c r="M1382" s="2">
        <v>929.11276639625305</v>
      </c>
      <c r="N1382" s="2">
        <v>901.23938340436541</v>
      </c>
      <c r="O1382" s="2">
        <v>874.20220190223438</v>
      </c>
    </row>
    <row r="1383" spans="1:15" x14ac:dyDescent="0.25">
      <c r="A1383" t="s">
        <v>3864</v>
      </c>
      <c r="B1383" t="s">
        <v>3865</v>
      </c>
      <c r="C1383" s="2">
        <v>1256.6125440000005</v>
      </c>
      <c r="D1383" s="2">
        <v>1218.9141676800004</v>
      </c>
      <c r="E1383" s="2">
        <v>1182.3467426496004</v>
      </c>
      <c r="F1383" s="2">
        <v>1146.8763403701123</v>
      </c>
      <c r="G1383" s="2">
        <v>1112.4700501590089</v>
      </c>
      <c r="H1383" s="2">
        <v>1079.0959486542386</v>
      </c>
      <c r="I1383" s="2">
        <v>1046.7230701946114</v>
      </c>
      <c r="J1383" s="2">
        <v>1015.321378088773</v>
      </c>
      <c r="K1383" s="2">
        <v>984.86173674610984</v>
      </c>
      <c r="L1383" s="2">
        <v>955.31588464372646</v>
      </c>
      <c r="M1383" s="2">
        <v>926.6564081044146</v>
      </c>
      <c r="N1383" s="2">
        <v>898.85671586128217</v>
      </c>
      <c r="O1383" s="2">
        <v>871.89101438544367</v>
      </c>
    </row>
    <row r="1384" spans="1:15" x14ac:dyDescent="0.25">
      <c r="A1384" t="s">
        <v>3866</v>
      </c>
      <c r="B1384" t="s">
        <v>3867</v>
      </c>
      <c r="C1384" s="2">
        <v>1251.7549440000003</v>
      </c>
      <c r="D1384" s="2">
        <v>1214.2022956800001</v>
      </c>
      <c r="E1384" s="2">
        <v>1177.7762268096001</v>
      </c>
      <c r="F1384" s="2">
        <v>1142.442940005312</v>
      </c>
      <c r="G1384" s="2">
        <v>1108.1696518051526</v>
      </c>
      <c r="H1384" s="2">
        <v>1074.924562250998</v>
      </c>
      <c r="I1384" s="2">
        <v>1042.676825383468</v>
      </c>
      <c r="J1384" s="2">
        <v>1011.3965206219639</v>
      </c>
      <c r="K1384" s="2">
        <v>981.05462500330498</v>
      </c>
      <c r="L1384" s="2">
        <v>951.6229862532058</v>
      </c>
      <c r="M1384" s="2">
        <v>923.07429666560961</v>
      </c>
      <c r="N1384" s="2">
        <v>895.3820677656413</v>
      </c>
      <c r="O1384" s="2">
        <v>868.52060573267204</v>
      </c>
    </row>
    <row r="1385" spans="1:15" x14ac:dyDescent="0.25">
      <c r="A1385" t="s">
        <v>3868</v>
      </c>
      <c r="B1385" t="s">
        <v>3869</v>
      </c>
      <c r="C1385" s="2">
        <v>1243.1650880000002</v>
      </c>
      <c r="D1385" s="2">
        <v>1205.8701353600002</v>
      </c>
      <c r="E1385" s="2">
        <v>1169.6940312992001</v>
      </c>
      <c r="F1385" s="2">
        <v>1134.603210360224</v>
      </c>
      <c r="G1385" s="2">
        <v>1100.5651140494172</v>
      </c>
      <c r="H1385" s="2">
        <v>1067.5481606279345</v>
      </c>
      <c r="I1385" s="2">
        <v>1035.5217158090963</v>
      </c>
      <c r="J1385" s="2">
        <v>1004.4560643348234</v>
      </c>
      <c r="K1385" s="2">
        <v>974.32238240477864</v>
      </c>
      <c r="L1385" s="2">
        <v>945.09271093263521</v>
      </c>
      <c r="M1385" s="2">
        <v>916.73992960465614</v>
      </c>
      <c r="N1385" s="2">
        <v>889.23773171651646</v>
      </c>
      <c r="O1385" s="2">
        <v>862.56059976502092</v>
      </c>
    </row>
    <row r="1386" spans="1:15" x14ac:dyDescent="0.25">
      <c r="A1386" t="s">
        <v>3870</v>
      </c>
      <c r="B1386" t="s">
        <v>3871</v>
      </c>
      <c r="C1386" s="2">
        <v>1236.9716480000002</v>
      </c>
      <c r="D1386" s="2">
        <v>1199.8624985600002</v>
      </c>
      <c r="E1386" s="2">
        <v>1163.8666236032002</v>
      </c>
      <c r="F1386" s="2">
        <v>1128.9506248951041</v>
      </c>
      <c r="G1386" s="2">
        <v>1095.0821061482509</v>
      </c>
      <c r="H1386" s="2">
        <v>1062.2296429638034</v>
      </c>
      <c r="I1386" s="2">
        <v>1030.3627536748893</v>
      </c>
      <c r="J1386" s="2">
        <v>999.45187106464255</v>
      </c>
      <c r="K1386" s="2">
        <v>969.46831493270327</v>
      </c>
      <c r="L1386" s="2">
        <v>940.38426548472216</v>
      </c>
      <c r="M1386" s="2">
        <v>912.17273752018048</v>
      </c>
      <c r="N1386" s="2">
        <v>884.80755539457505</v>
      </c>
      <c r="O1386" s="2">
        <v>858.26332873273782</v>
      </c>
    </row>
    <row r="1387" spans="1:15" x14ac:dyDescent="0.25">
      <c r="A1387" t="s">
        <v>3872</v>
      </c>
      <c r="B1387" t="s">
        <v>3873</v>
      </c>
      <c r="C1387" s="2">
        <v>1235.6945040000001</v>
      </c>
      <c r="D1387" s="2">
        <v>1198.62366888</v>
      </c>
      <c r="E1387" s="2">
        <v>1162.6649588135999</v>
      </c>
      <c r="F1387" s="2">
        <v>1127.7850100491919</v>
      </c>
      <c r="G1387" s="2">
        <v>1093.9514597477162</v>
      </c>
      <c r="H1387" s="2">
        <v>1061.1329159552847</v>
      </c>
      <c r="I1387" s="2">
        <v>1029.2989284766261</v>
      </c>
      <c r="J1387" s="2">
        <v>998.41996062232727</v>
      </c>
      <c r="K1387" s="2">
        <v>968.46736180365747</v>
      </c>
      <c r="L1387" s="2">
        <v>939.41334094954777</v>
      </c>
      <c r="M1387" s="2">
        <v>911.2309407210613</v>
      </c>
      <c r="N1387" s="2">
        <v>883.89401249942944</v>
      </c>
      <c r="O1387" s="2">
        <v>857.37719212444654</v>
      </c>
    </row>
    <row r="1388" spans="1:15" x14ac:dyDescent="0.25">
      <c r="A1388" t="s">
        <v>3874</v>
      </c>
      <c r="B1388" t="s">
        <v>3875</v>
      </c>
      <c r="C1388" s="2">
        <v>1232.2112000000004</v>
      </c>
      <c r="D1388" s="2">
        <v>1195.2448640000005</v>
      </c>
      <c r="E1388" s="2">
        <v>1159.3875180800005</v>
      </c>
      <c r="F1388" s="2">
        <v>1124.6058925376005</v>
      </c>
      <c r="G1388" s="2">
        <v>1090.8677157614725</v>
      </c>
      <c r="H1388" s="2">
        <v>1058.1416842886283</v>
      </c>
      <c r="I1388" s="2">
        <v>1026.3974337599695</v>
      </c>
      <c r="J1388" s="2">
        <v>995.60551074717046</v>
      </c>
      <c r="K1388" s="2">
        <v>965.73734542475529</v>
      </c>
      <c r="L1388" s="2">
        <v>936.76522506201263</v>
      </c>
      <c r="M1388" s="2">
        <v>908.66226831015229</v>
      </c>
      <c r="N1388" s="2">
        <v>881.40240026084768</v>
      </c>
      <c r="O1388" s="2">
        <v>854.96032825302223</v>
      </c>
    </row>
    <row r="1389" spans="1:15" x14ac:dyDescent="0.25">
      <c r="A1389" t="s">
        <v>3876</v>
      </c>
      <c r="B1389" t="s">
        <v>3877</v>
      </c>
      <c r="C1389" s="2">
        <v>1232.2031040000004</v>
      </c>
      <c r="D1389" s="2">
        <v>1195.2370108800003</v>
      </c>
      <c r="E1389" s="2">
        <v>1159.3799005536002</v>
      </c>
      <c r="F1389" s="2">
        <v>1124.5985035369922</v>
      </c>
      <c r="G1389" s="2">
        <v>1090.8605484308823</v>
      </c>
      <c r="H1389" s="2">
        <v>1058.1347319779559</v>
      </c>
      <c r="I1389" s="2">
        <v>1026.3906900186171</v>
      </c>
      <c r="J1389" s="2">
        <v>995.59896931805849</v>
      </c>
      <c r="K1389" s="2">
        <v>965.73100023851669</v>
      </c>
      <c r="L1389" s="2">
        <v>936.75907023136119</v>
      </c>
      <c r="M1389" s="2">
        <v>908.65629812442035</v>
      </c>
      <c r="N1389" s="2">
        <v>881.39660918068773</v>
      </c>
      <c r="O1389" s="2">
        <v>854.95471090526712</v>
      </c>
    </row>
    <row r="1390" spans="1:15" x14ac:dyDescent="0.25">
      <c r="A1390" t="s">
        <v>3878</v>
      </c>
      <c r="B1390" t="s">
        <v>3879</v>
      </c>
      <c r="C1390" s="2">
        <v>1228.8918400000002</v>
      </c>
      <c r="D1390" s="2">
        <v>1192.0250848000003</v>
      </c>
      <c r="E1390" s="2">
        <v>1156.2643322560002</v>
      </c>
      <c r="F1390" s="2">
        <v>1121.5764022883202</v>
      </c>
      <c r="G1390" s="2">
        <v>1087.9291102196705</v>
      </c>
      <c r="H1390" s="2">
        <v>1055.2912369130804</v>
      </c>
      <c r="I1390" s="2">
        <v>1023.632499805688</v>
      </c>
      <c r="J1390" s="2">
        <v>992.92352481151727</v>
      </c>
      <c r="K1390" s="2">
        <v>963.13581906717172</v>
      </c>
      <c r="L1390" s="2">
        <v>934.24174449515658</v>
      </c>
      <c r="M1390" s="2">
        <v>906.21449216030192</v>
      </c>
      <c r="N1390" s="2">
        <v>879.02805739549285</v>
      </c>
      <c r="O1390" s="2">
        <v>852.657215673628</v>
      </c>
    </row>
    <row r="1391" spans="1:15" x14ac:dyDescent="0.25">
      <c r="A1391" t="s">
        <v>3880</v>
      </c>
      <c r="B1391" t="s">
        <v>3881</v>
      </c>
      <c r="C1391" s="2">
        <v>1227.2807360000004</v>
      </c>
      <c r="D1391" s="2">
        <v>1190.4623139200003</v>
      </c>
      <c r="E1391" s="2">
        <v>1154.7484445024002</v>
      </c>
      <c r="F1391" s="2">
        <v>1120.1059911673281</v>
      </c>
      <c r="G1391" s="2">
        <v>1086.5028114323081</v>
      </c>
      <c r="H1391" s="2">
        <v>1053.9077270893388</v>
      </c>
      <c r="I1391" s="2">
        <v>1022.2904952766586</v>
      </c>
      <c r="J1391" s="2">
        <v>991.62178041835875</v>
      </c>
      <c r="K1391" s="2">
        <v>961.87312700580799</v>
      </c>
      <c r="L1391" s="2">
        <v>933.01693319563367</v>
      </c>
      <c r="M1391" s="2">
        <v>905.02642519976462</v>
      </c>
      <c r="N1391" s="2">
        <v>877.87563244377168</v>
      </c>
      <c r="O1391" s="2">
        <v>851.53936347045851</v>
      </c>
    </row>
    <row r="1392" spans="1:15" x14ac:dyDescent="0.25">
      <c r="A1392" t="s">
        <v>3882</v>
      </c>
      <c r="B1392" t="s">
        <v>3883</v>
      </c>
      <c r="C1392" s="2">
        <v>1225.1352960000002</v>
      </c>
      <c r="D1392" s="2">
        <v>1188.3812371200002</v>
      </c>
      <c r="E1392" s="2">
        <v>1152.7298000064002</v>
      </c>
      <c r="F1392" s="2">
        <v>1118.1479060062081</v>
      </c>
      <c r="G1392" s="2">
        <v>1084.6034688260218</v>
      </c>
      <c r="H1392" s="2">
        <v>1052.065364761241</v>
      </c>
      <c r="I1392" s="2">
        <v>1020.5034038184037</v>
      </c>
      <c r="J1392" s="2">
        <v>989.88830170385165</v>
      </c>
      <c r="K1392" s="2">
        <v>960.19165265273602</v>
      </c>
      <c r="L1392" s="2">
        <v>931.38590307315394</v>
      </c>
      <c r="M1392" s="2">
        <v>903.44432598095932</v>
      </c>
      <c r="N1392" s="2">
        <v>876.34099620153052</v>
      </c>
      <c r="O1392" s="2">
        <v>850.05076631548457</v>
      </c>
    </row>
    <row r="1393" spans="1:15" x14ac:dyDescent="0.25">
      <c r="A1393" t="s">
        <v>3884</v>
      </c>
      <c r="B1393" t="s">
        <v>3885</v>
      </c>
      <c r="C1393" s="2">
        <v>1221.5730560000002</v>
      </c>
      <c r="D1393" s="2">
        <v>1184.9258643200001</v>
      </c>
      <c r="E1393" s="2">
        <v>1149.3780883904001</v>
      </c>
      <c r="F1393" s="2">
        <v>1114.896745738688</v>
      </c>
      <c r="G1393" s="2">
        <v>1081.4498433665274</v>
      </c>
      <c r="H1393" s="2">
        <v>1049.0063480655315</v>
      </c>
      <c r="I1393" s="2">
        <v>1017.5361576235655</v>
      </c>
      <c r="J1393" s="2">
        <v>987.01007289485847</v>
      </c>
      <c r="K1393" s="2">
        <v>957.39977070801274</v>
      </c>
      <c r="L1393" s="2">
        <v>928.67777758677232</v>
      </c>
      <c r="M1393" s="2">
        <v>900.81744425916918</v>
      </c>
      <c r="N1393" s="2">
        <v>873.79292093139406</v>
      </c>
      <c r="O1393" s="2">
        <v>847.57913330345218</v>
      </c>
    </row>
    <row r="1394" spans="1:15" x14ac:dyDescent="0.25">
      <c r="A1394" t="s">
        <v>3886</v>
      </c>
      <c r="B1394" t="s">
        <v>3887</v>
      </c>
      <c r="C1394" s="2">
        <v>1215.8006080000002</v>
      </c>
      <c r="D1394" s="2">
        <v>1179.3265897600002</v>
      </c>
      <c r="E1394" s="2">
        <v>1143.9467920672</v>
      </c>
      <c r="F1394" s="2">
        <v>1109.628388305184</v>
      </c>
      <c r="G1394" s="2">
        <v>1076.3395366560285</v>
      </c>
      <c r="H1394" s="2">
        <v>1044.0493505563477</v>
      </c>
      <c r="I1394" s="2">
        <v>1012.7278700396572</v>
      </c>
      <c r="J1394" s="2">
        <v>982.34603393846749</v>
      </c>
      <c r="K1394" s="2">
        <v>952.87565292031343</v>
      </c>
      <c r="L1394" s="2">
        <v>924.28938333270401</v>
      </c>
      <c r="M1394" s="2">
        <v>896.56070183272288</v>
      </c>
      <c r="N1394" s="2">
        <v>869.66388077774116</v>
      </c>
      <c r="O1394" s="2">
        <v>843.57396435440887</v>
      </c>
    </row>
    <row r="1395" spans="1:15" x14ac:dyDescent="0.25">
      <c r="A1395" t="s">
        <v>3888</v>
      </c>
      <c r="B1395" t="s">
        <v>3889</v>
      </c>
      <c r="C1395" s="2">
        <v>1205.7372800000001</v>
      </c>
      <c r="D1395" s="2">
        <v>1169.5651616</v>
      </c>
      <c r="E1395" s="2">
        <v>1134.478206752</v>
      </c>
      <c r="F1395" s="2">
        <v>1100.4438605494399</v>
      </c>
      <c r="G1395" s="2">
        <v>1067.4305447329566</v>
      </c>
      <c r="H1395" s="2">
        <v>1035.4076283909678</v>
      </c>
      <c r="I1395" s="2">
        <v>1004.3453995392388</v>
      </c>
      <c r="J1395" s="2">
        <v>974.21503755306162</v>
      </c>
      <c r="K1395" s="2">
        <v>944.98858642646974</v>
      </c>
      <c r="L1395" s="2">
        <v>916.63892883367566</v>
      </c>
      <c r="M1395" s="2">
        <v>889.13976096866531</v>
      </c>
      <c r="N1395" s="2">
        <v>862.46556813960535</v>
      </c>
      <c r="O1395" s="2">
        <v>836.59160109541722</v>
      </c>
    </row>
    <row r="1396" spans="1:15" x14ac:dyDescent="0.25">
      <c r="A1396" t="s">
        <v>3890</v>
      </c>
      <c r="B1396" t="s">
        <v>3891</v>
      </c>
      <c r="C1396" s="2">
        <v>1203.1141760000003</v>
      </c>
      <c r="D1396" s="2">
        <v>1167.0207507200003</v>
      </c>
      <c r="E1396" s="2">
        <v>1132.0101281984003</v>
      </c>
      <c r="F1396" s="2">
        <v>1098.0498243524482</v>
      </c>
      <c r="G1396" s="2">
        <v>1065.1083296218749</v>
      </c>
      <c r="H1396" s="2">
        <v>1033.1550797332186</v>
      </c>
      <c r="I1396" s="2">
        <v>1002.160427341222</v>
      </c>
      <c r="J1396" s="2">
        <v>972.09561452098524</v>
      </c>
      <c r="K1396" s="2">
        <v>942.93274608535569</v>
      </c>
      <c r="L1396" s="2">
        <v>914.64476370279499</v>
      </c>
      <c r="M1396" s="2">
        <v>887.20542079171116</v>
      </c>
      <c r="N1396" s="2">
        <v>860.58925816795977</v>
      </c>
      <c r="O1396" s="2">
        <v>834.77158042292092</v>
      </c>
    </row>
    <row r="1397" spans="1:15" x14ac:dyDescent="0.25">
      <c r="A1397" t="s">
        <v>3892</v>
      </c>
      <c r="B1397" t="s">
        <v>3893</v>
      </c>
      <c r="C1397" s="2">
        <v>1199.9891200000002</v>
      </c>
      <c r="D1397" s="2">
        <v>1163.9894464000001</v>
      </c>
      <c r="E1397" s="2">
        <v>1129.0697630080001</v>
      </c>
      <c r="F1397" s="2">
        <v>1095.19767011776</v>
      </c>
      <c r="G1397" s="2">
        <v>1062.3417400142273</v>
      </c>
      <c r="H1397" s="2">
        <v>1030.4714878138004</v>
      </c>
      <c r="I1397" s="2">
        <v>999.55734317938641</v>
      </c>
      <c r="J1397" s="2">
        <v>969.57062288400482</v>
      </c>
      <c r="K1397" s="2">
        <v>940.48350419748465</v>
      </c>
      <c r="L1397" s="2">
        <v>912.26899907156007</v>
      </c>
      <c r="M1397" s="2">
        <v>884.90092909941325</v>
      </c>
      <c r="N1397" s="2">
        <v>858.35390122643082</v>
      </c>
      <c r="O1397" s="2">
        <v>832.60328418963786</v>
      </c>
    </row>
    <row r="1398" spans="1:15" x14ac:dyDescent="0.25">
      <c r="A1398" t="s">
        <v>3894</v>
      </c>
      <c r="B1398" t="s">
        <v>3895</v>
      </c>
      <c r="C1398" s="2">
        <v>1196.632822</v>
      </c>
      <c r="D1398" s="2">
        <v>1160.73383734</v>
      </c>
      <c r="E1398" s="2">
        <v>1125.9118222198001</v>
      </c>
      <c r="F1398" s="2">
        <v>1092.1344675532062</v>
      </c>
      <c r="G1398" s="2">
        <v>1059.37043352661</v>
      </c>
      <c r="H1398" s="2">
        <v>1027.5893205208117</v>
      </c>
      <c r="I1398" s="2">
        <v>996.76164090518739</v>
      </c>
      <c r="J1398" s="2">
        <v>966.85879167803171</v>
      </c>
      <c r="K1398" s="2">
        <v>937.85302792769073</v>
      </c>
      <c r="L1398" s="2">
        <v>909.71743708986003</v>
      </c>
      <c r="M1398" s="2">
        <v>882.42591397716421</v>
      </c>
      <c r="N1398" s="2">
        <v>855.95313655784923</v>
      </c>
      <c r="O1398" s="2">
        <v>830.2745424611137</v>
      </c>
    </row>
    <row r="1399" spans="1:15" x14ac:dyDescent="0.25">
      <c r="A1399" t="s">
        <v>1158</v>
      </c>
      <c r="B1399" t="s">
        <v>3896</v>
      </c>
      <c r="C1399" s="2">
        <v>1194.336088</v>
      </c>
      <c r="D1399" s="2">
        <v>1158.50600536</v>
      </c>
      <c r="E1399" s="2">
        <v>1123.7508251991999</v>
      </c>
      <c r="F1399" s="2">
        <v>1090.0383004432238</v>
      </c>
      <c r="G1399" s="2">
        <v>1057.337151429927</v>
      </c>
      <c r="H1399" s="2">
        <v>1025.6170368870291</v>
      </c>
      <c r="I1399" s="2">
        <v>994.84852578041819</v>
      </c>
      <c r="J1399" s="2">
        <v>965.00307000700559</v>
      </c>
      <c r="K1399" s="2">
        <v>936.05297790679538</v>
      </c>
      <c r="L1399" s="2">
        <v>907.97138856959145</v>
      </c>
      <c r="M1399" s="2">
        <v>880.73224691250368</v>
      </c>
      <c r="N1399" s="2">
        <v>854.31027950512851</v>
      </c>
      <c r="O1399" s="2">
        <v>828.68097111997463</v>
      </c>
    </row>
    <row r="1400" spans="1:15" x14ac:dyDescent="0.25">
      <c r="A1400" t="s">
        <v>3897</v>
      </c>
      <c r="B1400" t="s">
        <v>3889</v>
      </c>
      <c r="C1400" s="2">
        <v>1192.4841280000003</v>
      </c>
      <c r="D1400" s="2">
        <v>1156.7096041600003</v>
      </c>
      <c r="E1400" s="2">
        <v>1122.0083160352003</v>
      </c>
      <c r="F1400" s="2">
        <v>1088.3480665541442</v>
      </c>
      <c r="G1400" s="2">
        <v>1055.6976245575199</v>
      </c>
      <c r="H1400" s="2">
        <v>1024.0266958207942</v>
      </c>
      <c r="I1400" s="2">
        <v>993.30589494617038</v>
      </c>
      <c r="J1400" s="2">
        <v>963.50671809778521</v>
      </c>
      <c r="K1400" s="2">
        <v>934.60151655485163</v>
      </c>
      <c r="L1400" s="2">
        <v>906.56347105820601</v>
      </c>
      <c r="M1400" s="2">
        <v>879.36656692645977</v>
      </c>
      <c r="N1400" s="2">
        <v>852.98556991866599</v>
      </c>
      <c r="O1400" s="2">
        <v>827.39600282110598</v>
      </c>
    </row>
    <row r="1401" spans="1:15" x14ac:dyDescent="0.25">
      <c r="A1401" t="s">
        <v>3898</v>
      </c>
      <c r="B1401" t="s">
        <v>3899</v>
      </c>
      <c r="C1401" s="2">
        <v>1188.3318919999999</v>
      </c>
      <c r="D1401" s="2">
        <v>1152.6819352399998</v>
      </c>
      <c r="E1401" s="2">
        <v>1118.1014771827997</v>
      </c>
      <c r="F1401" s="2">
        <v>1084.5584328673158</v>
      </c>
      <c r="G1401" s="2">
        <v>1052.0216798812962</v>
      </c>
      <c r="H1401" s="2">
        <v>1020.4610294848574</v>
      </c>
      <c r="I1401" s="2">
        <v>989.84719860031157</v>
      </c>
      <c r="J1401" s="2">
        <v>960.15178264230224</v>
      </c>
      <c r="K1401" s="2">
        <v>931.34722916303315</v>
      </c>
      <c r="L1401" s="2">
        <v>903.40681228814208</v>
      </c>
      <c r="M1401" s="2">
        <v>876.30460791949781</v>
      </c>
      <c r="N1401" s="2">
        <v>850.0154696819128</v>
      </c>
      <c r="O1401" s="2">
        <v>824.51500559145541</v>
      </c>
    </row>
    <row r="1402" spans="1:15" x14ac:dyDescent="0.25">
      <c r="A1402" t="s">
        <v>3900</v>
      </c>
      <c r="B1402" t="s">
        <v>3901</v>
      </c>
      <c r="C1402" s="2">
        <v>1187.4565120000002</v>
      </c>
      <c r="D1402" s="2">
        <v>1151.8328166400001</v>
      </c>
      <c r="E1402" s="2">
        <v>1117.2778321408</v>
      </c>
      <c r="F1402" s="2">
        <v>1083.7594971765759</v>
      </c>
      <c r="G1402" s="2">
        <v>1051.2467122612786</v>
      </c>
      <c r="H1402" s="2">
        <v>1019.7093108934403</v>
      </c>
      <c r="I1402" s="2">
        <v>989.118031566637</v>
      </c>
      <c r="J1402" s="2">
        <v>959.44449061963792</v>
      </c>
      <c r="K1402" s="2">
        <v>930.6611559010488</v>
      </c>
      <c r="L1402" s="2">
        <v>902.74132122401727</v>
      </c>
      <c r="M1402" s="2">
        <v>875.65908158729678</v>
      </c>
      <c r="N1402" s="2">
        <v>849.38930913967783</v>
      </c>
      <c r="O1402" s="2">
        <v>823.90762986548748</v>
      </c>
    </row>
    <row r="1403" spans="1:15" x14ac:dyDescent="0.25">
      <c r="A1403" t="s">
        <v>3902</v>
      </c>
      <c r="B1403" t="s">
        <v>3903</v>
      </c>
      <c r="C1403" s="2">
        <v>1181.3278400000002</v>
      </c>
      <c r="D1403" s="2">
        <v>1145.8880048000001</v>
      </c>
      <c r="E1403" s="2">
        <v>1111.5113646560001</v>
      </c>
      <c r="F1403" s="2">
        <v>1078.1660237163201</v>
      </c>
      <c r="G1403" s="2">
        <v>1045.8210430048305</v>
      </c>
      <c r="H1403" s="2">
        <v>1014.4464117146855</v>
      </c>
      <c r="I1403" s="2">
        <v>984.01301936324489</v>
      </c>
      <c r="J1403" s="2">
        <v>954.49262878234754</v>
      </c>
      <c r="K1403" s="2">
        <v>925.85784991887704</v>
      </c>
      <c r="L1403" s="2">
        <v>898.08211442131073</v>
      </c>
      <c r="M1403" s="2">
        <v>871.13965098867141</v>
      </c>
      <c r="N1403" s="2">
        <v>845.00546145901126</v>
      </c>
      <c r="O1403" s="2">
        <v>819.6552976152409</v>
      </c>
    </row>
    <row r="1404" spans="1:15" x14ac:dyDescent="0.25">
      <c r="A1404" t="s">
        <v>3904</v>
      </c>
      <c r="B1404" t="s">
        <v>3905</v>
      </c>
      <c r="C1404" s="2">
        <v>1179.8057920000003</v>
      </c>
      <c r="D1404" s="2">
        <v>1144.4116182400003</v>
      </c>
      <c r="E1404" s="2">
        <v>1110.0792696928002</v>
      </c>
      <c r="F1404" s="2">
        <v>1076.7768916020161</v>
      </c>
      <c r="G1404" s="2">
        <v>1044.4735848539556</v>
      </c>
      <c r="H1404" s="2">
        <v>1013.1393773083369</v>
      </c>
      <c r="I1404" s="2">
        <v>982.74519598908671</v>
      </c>
      <c r="J1404" s="2">
        <v>953.26284010941413</v>
      </c>
      <c r="K1404" s="2">
        <v>924.6649549061317</v>
      </c>
      <c r="L1404" s="2">
        <v>896.92500625894775</v>
      </c>
      <c r="M1404" s="2">
        <v>870.0172560711793</v>
      </c>
      <c r="N1404" s="2">
        <v>843.91673838904387</v>
      </c>
      <c r="O1404" s="2">
        <v>818.59923623737257</v>
      </c>
    </row>
    <row r="1405" spans="1:15" x14ac:dyDescent="0.25">
      <c r="A1405" t="s">
        <v>3906</v>
      </c>
      <c r="B1405" t="s">
        <v>3907</v>
      </c>
      <c r="C1405" s="2">
        <v>1178.5428160000001</v>
      </c>
      <c r="D1405" s="2">
        <v>1143.18653152</v>
      </c>
      <c r="E1405" s="2">
        <v>1108.8909355743999</v>
      </c>
      <c r="F1405" s="2">
        <v>1075.624207507168</v>
      </c>
      <c r="G1405" s="2">
        <v>1043.355481281953</v>
      </c>
      <c r="H1405" s="2">
        <v>1012.0548168434943</v>
      </c>
      <c r="I1405" s="2">
        <v>981.69317233818947</v>
      </c>
      <c r="J1405" s="2">
        <v>952.24237716804373</v>
      </c>
      <c r="K1405" s="2">
        <v>923.67510585300238</v>
      </c>
      <c r="L1405" s="2">
        <v>895.9648526774123</v>
      </c>
      <c r="M1405" s="2">
        <v>869.08590709708994</v>
      </c>
      <c r="N1405" s="2">
        <v>843.01332988417721</v>
      </c>
      <c r="O1405" s="2">
        <v>817.72292998765192</v>
      </c>
    </row>
    <row r="1406" spans="1:15" x14ac:dyDescent="0.25">
      <c r="A1406" t="s">
        <v>3908</v>
      </c>
      <c r="B1406" t="s">
        <v>3909</v>
      </c>
      <c r="C1406" s="2">
        <v>1171.9040960000002</v>
      </c>
      <c r="D1406" s="2">
        <v>1136.7469731200001</v>
      </c>
      <c r="E1406" s="2">
        <v>1102.6445639264</v>
      </c>
      <c r="F1406" s="2">
        <v>1069.565227008608</v>
      </c>
      <c r="G1406" s="2">
        <v>1037.4782701983497</v>
      </c>
      <c r="H1406" s="2">
        <v>1006.3539220923992</v>
      </c>
      <c r="I1406" s="2">
        <v>976.16330442962726</v>
      </c>
      <c r="J1406" s="2">
        <v>946.87840529673838</v>
      </c>
      <c r="K1406" s="2">
        <v>918.47205313783616</v>
      </c>
      <c r="L1406" s="2">
        <v>890.9178915437011</v>
      </c>
      <c r="M1406" s="2">
        <v>864.19035479739</v>
      </c>
      <c r="N1406" s="2">
        <v>838.26464415346823</v>
      </c>
      <c r="O1406" s="2">
        <v>813.11670482886416</v>
      </c>
    </row>
    <row r="1407" spans="1:15" x14ac:dyDescent="0.25">
      <c r="A1407" t="s">
        <v>3910</v>
      </c>
      <c r="B1407" t="s">
        <v>3911</v>
      </c>
      <c r="C1407" s="2">
        <v>1161.3873920000001</v>
      </c>
      <c r="D1407" s="2">
        <v>1126.5457702400001</v>
      </c>
      <c r="E1407" s="2">
        <v>1092.7493971328001</v>
      </c>
      <c r="F1407" s="2">
        <v>1059.9669152188162</v>
      </c>
      <c r="G1407" s="2">
        <v>1028.1679077622516</v>
      </c>
      <c r="H1407" s="2">
        <v>997.32287052938409</v>
      </c>
      <c r="I1407" s="2">
        <v>967.40318441350257</v>
      </c>
      <c r="J1407" s="2">
        <v>938.38108888109753</v>
      </c>
      <c r="K1407" s="2">
        <v>910.2296562146646</v>
      </c>
      <c r="L1407" s="2">
        <v>882.92276652822466</v>
      </c>
      <c r="M1407" s="2">
        <v>856.43508353237792</v>
      </c>
      <c r="N1407" s="2">
        <v>830.74203102640661</v>
      </c>
      <c r="O1407" s="2">
        <v>805.81977009561433</v>
      </c>
    </row>
    <row r="1408" spans="1:15" x14ac:dyDescent="0.25">
      <c r="A1408" t="s">
        <v>3912</v>
      </c>
      <c r="B1408" t="s">
        <v>3913</v>
      </c>
      <c r="C1408" s="2">
        <v>1142.1998720000001</v>
      </c>
      <c r="D1408" s="2">
        <v>1107.9338758400002</v>
      </c>
      <c r="E1408" s="2">
        <v>1074.6958595648002</v>
      </c>
      <c r="F1408" s="2">
        <v>1042.4549837778561</v>
      </c>
      <c r="G1408" s="2">
        <v>1011.1813342645204</v>
      </c>
      <c r="H1408" s="2">
        <v>980.84589423658474</v>
      </c>
      <c r="I1408" s="2">
        <v>951.42051740948716</v>
      </c>
      <c r="J1408" s="2">
        <v>922.87790188720248</v>
      </c>
      <c r="K1408" s="2">
        <v>895.19156483058634</v>
      </c>
      <c r="L1408" s="2">
        <v>868.33581788566869</v>
      </c>
      <c r="M1408" s="2">
        <v>842.28574334909865</v>
      </c>
      <c r="N1408" s="2">
        <v>817.01717104862564</v>
      </c>
      <c r="O1408" s="2">
        <v>792.50665591716688</v>
      </c>
    </row>
    <row r="1409" spans="1:15" x14ac:dyDescent="0.25">
      <c r="A1409" t="s">
        <v>3914</v>
      </c>
      <c r="B1409" t="s">
        <v>3915</v>
      </c>
      <c r="C1409" s="2">
        <v>1137.1965440000004</v>
      </c>
      <c r="D1409" s="2">
        <v>1103.0806476800003</v>
      </c>
      <c r="E1409" s="2">
        <v>1069.9882282496003</v>
      </c>
      <c r="F1409" s="2">
        <v>1037.8885814021123</v>
      </c>
      <c r="G1409" s="2">
        <v>1006.7519239600489</v>
      </c>
      <c r="H1409" s="2">
        <v>976.54936624124741</v>
      </c>
      <c r="I1409" s="2">
        <v>947.25288525400993</v>
      </c>
      <c r="J1409" s="2">
        <v>918.8352986963896</v>
      </c>
      <c r="K1409" s="2">
        <v>891.27023973549785</v>
      </c>
      <c r="L1409" s="2">
        <v>864.53213254343291</v>
      </c>
      <c r="M1409" s="2">
        <v>838.59616856712989</v>
      </c>
      <c r="N1409" s="2">
        <v>813.43828351011598</v>
      </c>
      <c r="O1409" s="2">
        <v>789.03513500481245</v>
      </c>
    </row>
    <row r="1410" spans="1:15" x14ac:dyDescent="0.25">
      <c r="A1410" t="s">
        <v>3916</v>
      </c>
      <c r="B1410" t="s">
        <v>3917</v>
      </c>
      <c r="C1410" s="2">
        <v>1111.3181860000002</v>
      </c>
      <c r="D1410" s="2">
        <v>1077.9786404200001</v>
      </c>
      <c r="E1410" s="2">
        <v>1045.6392812074</v>
      </c>
      <c r="F1410" s="2">
        <v>1014.270102771178</v>
      </c>
      <c r="G1410" s="2">
        <v>983.84199968804262</v>
      </c>
      <c r="H1410" s="2">
        <v>954.32673969740131</v>
      </c>
      <c r="I1410" s="2">
        <v>925.69693750647923</v>
      </c>
      <c r="J1410" s="2">
        <v>897.92602938128482</v>
      </c>
      <c r="K1410" s="2">
        <v>870.98824849984624</v>
      </c>
      <c r="L1410" s="2">
        <v>844.85860104485084</v>
      </c>
      <c r="M1410" s="2">
        <v>819.51284301350529</v>
      </c>
      <c r="N1410" s="2">
        <v>794.92745772310013</v>
      </c>
      <c r="O1410" s="2">
        <v>771.07963399140715</v>
      </c>
    </row>
    <row r="1411" spans="1:15" x14ac:dyDescent="0.25">
      <c r="A1411" t="s">
        <v>3918</v>
      </c>
      <c r="B1411" t="s">
        <v>3919</v>
      </c>
      <c r="C1411" s="2">
        <v>1108.9268300000003</v>
      </c>
      <c r="D1411" s="2">
        <v>1075.6590251000002</v>
      </c>
      <c r="E1411" s="2">
        <v>1043.3892543470001</v>
      </c>
      <c r="F1411" s="2">
        <v>1012.0875767165901</v>
      </c>
      <c r="G1411" s="2">
        <v>981.7249494150924</v>
      </c>
      <c r="H1411" s="2">
        <v>952.27320093263961</v>
      </c>
      <c r="I1411" s="2">
        <v>923.70500490466043</v>
      </c>
      <c r="J1411" s="2">
        <v>895.99385475752058</v>
      </c>
      <c r="K1411" s="2">
        <v>869.11403911479499</v>
      </c>
      <c r="L1411" s="2">
        <v>843.04061794135112</v>
      </c>
      <c r="M1411" s="2">
        <v>817.7493994031106</v>
      </c>
      <c r="N1411" s="2">
        <v>793.21691742101723</v>
      </c>
      <c r="O1411" s="2">
        <v>769.42040989838665</v>
      </c>
    </row>
    <row r="1412" spans="1:15" x14ac:dyDescent="0.25">
      <c r="A1412" t="s">
        <v>3920</v>
      </c>
      <c r="B1412" t="s">
        <v>3921</v>
      </c>
      <c r="C1412" s="2">
        <v>1107.3304000000003</v>
      </c>
      <c r="D1412" s="2">
        <v>1074.1104880000003</v>
      </c>
      <c r="E1412" s="2">
        <v>1041.8871733600001</v>
      </c>
      <c r="F1412" s="2">
        <v>1010.6305581592001</v>
      </c>
      <c r="G1412" s="2">
        <v>980.311641414424</v>
      </c>
      <c r="H1412" s="2">
        <v>950.90229217199123</v>
      </c>
      <c r="I1412" s="2">
        <v>922.37522340683142</v>
      </c>
      <c r="J1412" s="2">
        <v>894.70396670462651</v>
      </c>
      <c r="K1412" s="2">
        <v>867.86284770348766</v>
      </c>
      <c r="L1412" s="2">
        <v>841.82696227238296</v>
      </c>
      <c r="M1412" s="2">
        <v>816.57215340421146</v>
      </c>
      <c r="N1412" s="2">
        <v>792.07498880208504</v>
      </c>
      <c r="O1412" s="2">
        <v>768.31273913802249</v>
      </c>
    </row>
    <row r="1413" spans="1:15" x14ac:dyDescent="0.25">
      <c r="A1413" t="s">
        <v>3922</v>
      </c>
      <c r="B1413" t="s">
        <v>3923</v>
      </c>
      <c r="C1413" s="2">
        <v>1107.1522880000002</v>
      </c>
      <c r="D1413" s="2">
        <v>1073.9377193600003</v>
      </c>
      <c r="E1413" s="2">
        <v>1041.7195877792003</v>
      </c>
      <c r="F1413" s="2">
        <v>1010.4680001458242</v>
      </c>
      <c r="G1413" s="2">
        <v>980.15396014144949</v>
      </c>
      <c r="H1413" s="2">
        <v>950.74934133720603</v>
      </c>
      <c r="I1413" s="2">
        <v>922.2268610970898</v>
      </c>
      <c r="J1413" s="2">
        <v>894.56005526417709</v>
      </c>
      <c r="K1413" s="2">
        <v>867.72325360625177</v>
      </c>
      <c r="L1413" s="2">
        <v>841.69155599806425</v>
      </c>
      <c r="M1413" s="2">
        <v>816.44080931812232</v>
      </c>
      <c r="N1413" s="2">
        <v>791.94758503857861</v>
      </c>
      <c r="O1413" s="2">
        <v>768.1891574874212</v>
      </c>
    </row>
    <row r="1414" spans="1:15" x14ac:dyDescent="0.25">
      <c r="A1414" t="s">
        <v>3924</v>
      </c>
      <c r="B1414" t="s">
        <v>3925</v>
      </c>
      <c r="C1414" s="2">
        <v>1105.0878080000002</v>
      </c>
      <c r="D1414" s="2">
        <v>1071.9351737600002</v>
      </c>
      <c r="E1414" s="2">
        <v>1039.7771185472002</v>
      </c>
      <c r="F1414" s="2">
        <v>1008.5838049907842</v>
      </c>
      <c r="G1414" s="2">
        <v>978.32629084106065</v>
      </c>
      <c r="H1414" s="2">
        <v>948.97650211582879</v>
      </c>
      <c r="I1414" s="2">
        <v>920.50720705235392</v>
      </c>
      <c r="J1414" s="2">
        <v>892.89199084078325</v>
      </c>
      <c r="K1414" s="2">
        <v>866.10523111555972</v>
      </c>
      <c r="L1414" s="2">
        <v>840.12207418209289</v>
      </c>
      <c r="M1414" s="2">
        <v>814.91841195663005</v>
      </c>
      <c r="N1414" s="2">
        <v>790.47085959793117</v>
      </c>
      <c r="O1414" s="2">
        <v>766.75673380999319</v>
      </c>
    </row>
    <row r="1415" spans="1:15" x14ac:dyDescent="0.25">
      <c r="A1415" t="s">
        <v>3926</v>
      </c>
      <c r="B1415" t="s">
        <v>3927</v>
      </c>
      <c r="C1415" s="2">
        <v>1101.0398080000002</v>
      </c>
      <c r="D1415" s="2">
        <v>1068.0086137600001</v>
      </c>
      <c r="E1415" s="2">
        <v>1035.9683553472</v>
      </c>
      <c r="F1415" s="2">
        <v>1004.889304686784</v>
      </c>
      <c r="G1415" s="2">
        <v>974.74262554618053</v>
      </c>
      <c r="H1415" s="2">
        <v>945.50034677979511</v>
      </c>
      <c r="I1415" s="2">
        <v>917.13533637640126</v>
      </c>
      <c r="J1415" s="2">
        <v>889.62127628510916</v>
      </c>
      <c r="K1415" s="2">
        <v>862.93263799655585</v>
      </c>
      <c r="L1415" s="2">
        <v>837.04465885665911</v>
      </c>
      <c r="M1415" s="2">
        <v>811.93331909095934</v>
      </c>
      <c r="N1415" s="2">
        <v>787.57531951823057</v>
      </c>
      <c r="O1415" s="2">
        <v>763.94805993268358</v>
      </c>
    </row>
    <row r="1416" spans="1:15" x14ac:dyDescent="0.25">
      <c r="A1416" t="s">
        <v>3928</v>
      </c>
      <c r="B1416" t="s">
        <v>3929</v>
      </c>
      <c r="C1416" s="2">
        <v>1091.365088</v>
      </c>
      <c r="D1416" s="2">
        <v>1058.6241353600001</v>
      </c>
      <c r="E1416" s="2">
        <v>1026.8654112992001</v>
      </c>
      <c r="F1416" s="2">
        <v>996.05944896022402</v>
      </c>
      <c r="G1416" s="2">
        <v>966.17766549141732</v>
      </c>
      <c r="H1416" s="2">
        <v>937.19233552667481</v>
      </c>
      <c r="I1416" s="2">
        <v>909.07656546087458</v>
      </c>
      <c r="J1416" s="2">
        <v>881.80426849704827</v>
      </c>
      <c r="K1416" s="2">
        <v>855.35014044213676</v>
      </c>
      <c r="L1416" s="2">
        <v>829.68963622887259</v>
      </c>
      <c r="M1416" s="2">
        <v>804.79894714200634</v>
      </c>
      <c r="N1416" s="2">
        <v>780.65497872774608</v>
      </c>
      <c r="O1416" s="2">
        <v>757.23532936591369</v>
      </c>
    </row>
    <row r="1417" spans="1:15" x14ac:dyDescent="0.25">
      <c r="A1417" t="s">
        <v>3930</v>
      </c>
      <c r="B1417" t="s">
        <v>3931</v>
      </c>
      <c r="C1417" s="2">
        <v>1090.3207040000002</v>
      </c>
      <c r="D1417" s="2">
        <v>1057.6110828800001</v>
      </c>
      <c r="E1417" s="2">
        <v>1025.8827503936002</v>
      </c>
      <c r="F1417" s="2">
        <v>995.10626788179218</v>
      </c>
      <c r="G1417" s="2">
        <v>965.25307984533833</v>
      </c>
      <c r="H1417" s="2">
        <v>936.29548744997817</v>
      </c>
      <c r="I1417" s="2">
        <v>908.20662282647879</v>
      </c>
      <c r="J1417" s="2">
        <v>880.96042414168437</v>
      </c>
      <c r="K1417" s="2">
        <v>854.53161141743385</v>
      </c>
      <c r="L1417" s="2">
        <v>828.89566307491077</v>
      </c>
      <c r="M1417" s="2">
        <v>804.02879318266343</v>
      </c>
      <c r="N1417" s="2">
        <v>779.90792938718346</v>
      </c>
      <c r="O1417" s="2">
        <v>756.51069150556793</v>
      </c>
    </row>
    <row r="1418" spans="1:15" x14ac:dyDescent="0.25">
      <c r="A1418" t="s">
        <v>3932</v>
      </c>
      <c r="B1418" t="s">
        <v>3933</v>
      </c>
      <c r="C1418" s="2">
        <v>1080.9779200000003</v>
      </c>
      <c r="D1418" s="2">
        <v>1048.5485824000002</v>
      </c>
      <c r="E1418" s="2">
        <v>1017.0921249280002</v>
      </c>
      <c r="F1418" s="2">
        <v>986.57936118016016</v>
      </c>
      <c r="G1418" s="2">
        <v>956.98198034475536</v>
      </c>
      <c r="H1418" s="2">
        <v>928.27252093441268</v>
      </c>
      <c r="I1418" s="2">
        <v>900.42434530638025</v>
      </c>
      <c r="J1418" s="2">
        <v>873.41161494718881</v>
      </c>
      <c r="K1418" s="2">
        <v>847.2092664987731</v>
      </c>
      <c r="L1418" s="2">
        <v>821.79298850380985</v>
      </c>
      <c r="M1418" s="2">
        <v>797.13919884869551</v>
      </c>
      <c r="N1418" s="2">
        <v>773.2250228832346</v>
      </c>
      <c r="O1418" s="2">
        <v>750.02827219673759</v>
      </c>
    </row>
    <row r="1419" spans="1:15" x14ac:dyDescent="0.25">
      <c r="A1419" t="s">
        <v>1218</v>
      </c>
      <c r="B1419" t="s">
        <v>3934</v>
      </c>
      <c r="C1419" s="2">
        <v>1079.6198160000001</v>
      </c>
      <c r="D1419" s="2">
        <v>1047.2312215200002</v>
      </c>
      <c r="E1419" s="2">
        <v>1015.8142848744002</v>
      </c>
      <c r="F1419" s="2">
        <v>985.33985632816814</v>
      </c>
      <c r="G1419" s="2">
        <v>955.77966063832309</v>
      </c>
      <c r="H1419" s="2">
        <v>927.10627081917335</v>
      </c>
      <c r="I1419" s="2">
        <v>899.29308269459807</v>
      </c>
      <c r="J1419" s="2">
        <v>872.31429021376016</v>
      </c>
      <c r="K1419" s="2">
        <v>846.14486150734729</v>
      </c>
      <c r="L1419" s="2">
        <v>820.76051566212686</v>
      </c>
      <c r="M1419" s="2">
        <v>796.13770019226308</v>
      </c>
      <c r="N1419" s="2">
        <v>772.25356918649516</v>
      </c>
      <c r="O1419" s="2">
        <v>749.08596211090025</v>
      </c>
    </row>
    <row r="1420" spans="1:15" x14ac:dyDescent="0.25">
      <c r="A1420" t="s">
        <v>1154</v>
      </c>
      <c r="B1420" t="s">
        <v>3935</v>
      </c>
      <c r="C1420" s="2">
        <v>1079.1897159999999</v>
      </c>
      <c r="D1420" s="2">
        <v>1046.8140245199997</v>
      </c>
      <c r="E1420" s="2">
        <v>1015.4096037843997</v>
      </c>
      <c r="F1420" s="2">
        <v>984.94731567086762</v>
      </c>
      <c r="G1420" s="2">
        <v>955.39889620074155</v>
      </c>
      <c r="H1420" s="2">
        <v>926.7369293147193</v>
      </c>
      <c r="I1420" s="2">
        <v>898.93482143527774</v>
      </c>
      <c r="J1420" s="2">
        <v>871.96677679221943</v>
      </c>
      <c r="K1420" s="2">
        <v>845.80777348845288</v>
      </c>
      <c r="L1420" s="2">
        <v>820.43354028379929</v>
      </c>
      <c r="M1420" s="2">
        <v>795.82053407528531</v>
      </c>
      <c r="N1420" s="2">
        <v>771.94591805302673</v>
      </c>
      <c r="O1420" s="2">
        <v>748.78754051143596</v>
      </c>
    </row>
    <row r="1421" spans="1:15" x14ac:dyDescent="0.25">
      <c r="A1421" t="s">
        <v>3936</v>
      </c>
      <c r="B1421" t="s">
        <v>3937</v>
      </c>
      <c r="C1421" s="2">
        <v>1076.8570560000001</v>
      </c>
      <c r="D1421" s="2">
        <v>1044.55134432</v>
      </c>
      <c r="E1421" s="2">
        <v>1013.2148039904</v>
      </c>
      <c r="F1421" s="2">
        <v>982.81835987068803</v>
      </c>
      <c r="G1421" s="2">
        <v>953.3338090745674</v>
      </c>
      <c r="H1421" s="2">
        <v>924.73379480233029</v>
      </c>
      <c r="I1421" s="2">
        <v>896.99178095826039</v>
      </c>
      <c r="J1421" s="2">
        <v>870.08202752951252</v>
      </c>
      <c r="K1421" s="2">
        <v>843.97956670362714</v>
      </c>
      <c r="L1421" s="2">
        <v>818.66017970251835</v>
      </c>
      <c r="M1421" s="2">
        <v>794.10037431144281</v>
      </c>
      <c r="N1421" s="2">
        <v>770.27736308209955</v>
      </c>
      <c r="O1421" s="2">
        <v>747.16904218963657</v>
      </c>
    </row>
    <row r="1422" spans="1:15" x14ac:dyDescent="0.25">
      <c r="A1422" t="s">
        <v>3938</v>
      </c>
      <c r="B1422" t="s">
        <v>3939</v>
      </c>
      <c r="C1422" s="2">
        <v>1075.5212160000001</v>
      </c>
      <c r="D1422" s="2">
        <v>1043.2555795200001</v>
      </c>
      <c r="E1422" s="2">
        <v>1011.9579121344001</v>
      </c>
      <c r="F1422" s="2">
        <v>981.59917477036811</v>
      </c>
      <c r="G1422" s="2">
        <v>952.15119952725706</v>
      </c>
      <c r="H1422" s="2">
        <v>923.58666354143929</v>
      </c>
      <c r="I1422" s="2">
        <v>895.87906363519608</v>
      </c>
      <c r="J1422" s="2">
        <v>869.00269172614014</v>
      </c>
      <c r="K1422" s="2">
        <v>842.93261097435595</v>
      </c>
      <c r="L1422" s="2">
        <v>817.64463264512528</v>
      </c>
      <c r="M1422" s="2">
        <v>793.11529366577156</v>
      </c>
      <c r="N1422" s="2">
        <v>769.32183485579844</v>
      </c>
      <c r="O1422" s="2">
        <v>746.24217981012441</v>
      </c>
    </row>
    <row r="1423" spans="1:15" x14ac:dyDescent="0.25">
      <c r="A1423" t="s">
        <v>3940</v>
      </c>
      <c r="B1423" t="s">
        <v>3941</v>
      </c>
      <c r="C1423" s="2">
        <v>1067.3442560000001</v>
      </c>
      <c r="D1423" s="2">
        <v>1035.3239283200001</v>
      </c>
      <c r="E1423" s="2">
        <v>1004.2642104704</v>
      </c>
      <c r="F1423" s="2">
        <v>974.13628415628796</v>
      </c>
      <c r="G1423" s="2">
        <v>944.91219563159927</v>
      </c>
      <c r="H1423" s="2">
        <v>916.56482976265124</v>
      </c>
      <c r="I1423" s="2">
        <v>889.06788486977166</v>
      </c>
      <c r="J1423" s="2">
        <v>862.39584832367848</v>
      </c>
      <c r="K1423" s="2">
        <v>836.52397287396809</v>
      </c>
      <c r="L1423" s="2">
        <v>811.42825368774902</v>
      </c>
      <c r="M1423" s="2">
        <v>787.08540607711655</v>
      </c>
      <c r="N1423" s="2">
        <v>763.47284389480308</v>
      </c>
      <c r="O1423" s="2">
        <v>740.56865857795901</v>
      </c>
    </row>
    <row r="1424" spans="1:15" x14ac:dyDescent="0.25">
      <c r="A1424" t="s">
        <v>3942</v>
      </c>
      <c r="B1424" t="s">
        <v>3943</v>
      </c>
      <c r="C1424" s="2">
        <v>1056.131296</v>
      </c>
      <c r="D1424" s="2">
        <v>1024.4473571199999</v>
      </c>
      <c r="E1424" s="2">
        <v>993.71393640639985</v>
      </c>
      <c r="F1424" s="2">
        <v>963.90251831420778</v>
      </c>
      <c r="G1424" s="2">
        <v>934.98544276478151</v>
      </c>
      <c r="H1424" s="2">
        <v>906.93587948183801</v>
      </c>
      <c r="I1424" s="2">
        <v>879.72780309738289</v>
      </c>
      <c r="J1424" s="2">
        <v>853.33596900446139</v>
      </c>
      <c r="K1424" s="2">
        <v>827.73588993432747</v>
      </c>
      <c r="L1424" s="2">
        <v>802.90381323629765</v>
      </c>
      <c r="M1424" s="2">
        <v>778.8166988392087</v>
      </c>
      <c r="N1424" s="2">
        <v>755.45219787403244</v>
      </c>
      <c r="O1424" s="2">
        <v>732.78863193781149</v>
      </c>
    </row>
    <row r="1425" spans="1:15" x14ac:dyDescent="0.25">
      <c r="A1425" t="s">
        <v>3944</v>
      </c>
      <c r="B1425" t="s">
        <v>3945</v>
      </c>
      <c r="C1425" s="2">
        <v>1051.353644</v>
      </c>
      <c r="D1425" s="2">
        <v>1019.81303468</v>
      </c>
      <c r="E1425" s="2">
        <v>989.21864363959992</v>
      </c>
      <c r="F1425" s="2">
        <v>959.54208433041185</v>
      </c>
      <c r="G1425" s="2">
        <v>930.75582180049946</v>
      </c>
      <c r="H1425" s="2">
        <v>902.83314714648441</v>
      </c>
      <c r="I1425" s="2">
        <v>875.74815273208981</v>
      </c>
      <c r="J1425" s="2">
        <v>849.47570815012705</v>
      </c>
      <c r="K1425" s="2">
        <v>823.99143690562323</v>
      </c>
      <c r="L1425" s="2">
        <v>799.27169379845452</v>
      </c>
      <c r="M1425" s="2">
        <v>775.29354298450085</v>
      </c>
      <c r="N1425" s="2">
        <v>752.03473669496577</v>
      </c>
      <c r="O1425" s="2">
        <v>729.47369459411675</v>
      </c>
    </row>
    <row r="1426" spans="1:15" x14ac:dyDescent="0.25">
      <c r="A1426" t="s">
        <v>3946</v>
      </c>
      <c r="B1426" t="s">
        <v>3945</v>
      </c>
      <c r="C1426" s="2">
        <v>1051.353644</v>
      </c>
      <c r="D1426" s="2">
        <v>1019.81303468</v>
      </c>
      <c r="E1426" s="2">
        <v>989.21864363959992</v>
      </c>
      <c r="F1426" s="2">
        <v>959.54208433041185</v>
      </c>
      <c r="G1426" s="2">
        <v>930.75582180049946</v>
      </c>
      <c r="H1426" s="2">
        <v>902.83314714648441</v>
      </c>
      <c r="I1426" s="2">
        <v>875.74815273208981</v>
      </c>
      <c r="J1426" s="2">
        <v>849.47570815012705</v>
      </c>
      <c r="K1426" s="2">
        <v>823.99143690562323</v>
      </c>
      <c r="L1426" s="2">
        <v>799.27169379845452</v>
      </c>
      <c r="M1426" s="2">
        <v>775.29354298450085</v>
      </c>
      <c r="N1426" s="2">
        <v>752.03473669496577</v>
      </c>
      <c r="O1426" s="2">
        <v>729.47369459411675</v>
      </c>
    </row>
    <row r="1427" spans="1:15" x14ac:dyDescent="0.25">
      <c r="A1427" t="s">
        <v>3947</v>
      </c>
      <c r="B1427" t="s">
        <v>3948</v>
      </c>
      <c r="C1427" s="2">
        <v>1046.6139420000002</v>
      </c>
      <c r="D1427" s="2">
        <v>1015.2155237400001</v>
      </c>
      <c r="E1427" s="2">
        <v>984.75905802780005</v>
      </c>
      <c r="F1427" s="2">
        <v>955.21628628696601</v>
      </c>
      <c r="G1427" s="2">
        <v>926.55979769835699</v>
      </c>
      <c r="H1427" s="2">
        <v>898.7630037674063</v>
      </c>
      <c r="I1427" s="2">
        <v>871.80011365438406</v>
      </c>
      <c r="J1427" s="2">
        <v>845.64611024475255</v>
      </c>
      <c r="K1427" s="2">
        <v>820.27672693740999</v>
      </c>
      <c r="L1427" s="2">
        <v>795.6684251292877</v>
      </c>
      <c r="M1427" s="2">
        <v>771.79837237540903</v>
      </c>
      <c r="N1427" s="2">
        <v>748.64442120414674</v>
      </c>
      <c r="O1427" s="2">
        <v>726.18508856802237</v>
      </c>
    </row>
    <row r="1428" spans="1:15" x14ac:dyDescent="0.25">
      <c r="A1428" t="s">
        <v>3949</v>
      </c>
      <c r="B1428" t="s">
        <v>3948</v>
      </c>
      <c r="C1428" s="2">
        <v>1046.6139420000002</v>
      </c>
      <c r="D1428" s="2">
        <v>1015.2155237400001</v>
      </c>
      <c r="E1428" s="2">
        <v>984.75905802780005</v>
      </c>
      <c r="F1428" s="2">
        <v>955.21628628696601</v>
      </c>
      <c r="G1428" s="2">
        <v>926.55979769835699</v>
      </c>
      <c r="H1428" s="2">
        <v>898.7630037674063</v>
      </c>
      <c r="I1428" s="2">
        <v>871.80011365438406</v>
      </c>
      <c r="J1428" s="2">
        <v>845.64611024475255</v>
      </c>
      <c r="K1428" s="2">
        <v>820.27672693740999</v>
      </c>
      <c r="L1428" s="2">
        <v>795.6684251292877</v>
      </c>
      <c r="M1428" s="2">
        <v>771.79837237540903</v>
      </c>
      <c r="N1428" s="2">
        <v>748.64442120414674</v>
      </c>
      <c r="O1428" s="2">
        <v>726.18508856802237</v>
      </c>
    </row>
    <row r="1429" spans="1:15" x14ac:dyDescent="0.25">
      <c r="A1429" t="s">
        <v>3950</v>
      </c>
      <c r="B1429" t="s">
        <v>3948</v>
      </c>
      <c r="C1429" s="2">
        <v>1046.6139420000002</v>
      </c>
      <c r="D1429" s="2">
        <v>1015.2155237400001</v>
      </c>
      <c r="E1429" s="2">
        <v>984.75905802780005</v>
      </c>
      <c r="F1429" s="2">
        <v>955.21628628696601</v>
      </c>
      <c r="G1429" s="2">
        <v>926.55979769835699</v>
      </c>
      <c r="H1429" s="2">
        <v>898.7630037674063</v>
      </c>
      <c r="I1429" s="2">
        <v>871.80011365438406</v>
      </c>
      <c r="J1429" s="2">
        <v>845.64611024475255</v>
      </c>
      <c r="K1429" s="2">
        <v>820.27672693740999</v>
      </c>
      <c r="L1429" s="2">
        <v>795.6684251292877</v>
      </c>
      <c r="M1429" s="2">
        <v>771.79837237540903</v>
      </c>
      <c r="N1429" s="2">
        <v>748.64442120414674</v>
      </c>
      <c r="O1429" s="2">
        <v>726.18508856802237</v>
      </c>
    </row>
    <row r="1430" spans="1:15" x14ac:dyDescent="0.25">
      <c r="A1430" t="s">
        <v>3951</v>
      </c>
      <c r="B1430" t="s">
        <v>3952</v>
      </c>
      <c r="C1430" s="2">
        <v>1041.4183340000002</v>
      </c>
      <c r="D1430" s="2">
        <v>1010.1757839800001</v>
      </c>
      <c r="E1430" s="2">
        <v>979.87051046060014</v>
      </c>
      <c r="F1430" s="2">
        <v>950.47439514678206</v>
      </c>
      <c r="G1430" s="2">
        <v>921.96016329237852</v>
      </c>
      <c r="H1430" s="2">
        <v>894.30135839360719</v>
      </c>
      <c r="I1430" s="2">
        <v>867.4723176417989</v>
      </c>
      <c r="J1430" s="2">
        <v>841.44814811254491</v>
      </c>
      <c r="K1430" s="2">
        <v>816.20470366916857</v>
      </c>
      <c r="L1430" s="2">
        <v>791.71856255909347</v>
      </c>
      <c r="M1430" s="2">
        <v>767.96700568232063</v>
      </c>
      <c r="N1430" s="2">
        <v>744.92799551185101</v>
      </c>
      <c r="O1430" s="2">
        <v>722.58015564649543</v>
      </c>
    </row>
    <row r="1431" spans="1:15" x14ac:dyDescent="0.25">
      <c r="A1431" t="s">
        <v>3953</v>
      </c>
      <c r="B1431" t="s">
        <v>3954</v>
      </c>
      <c r="C1431" s="2">
        <v>1041.1456000000001</v>
      </c>
      <c r="D1431" s="2">
        <v>1009.911232</v>
      </c>
      <c r="E1431" s="2">
        <v>979.61389503999999</v>
      </c>
      <c r="F1431" s="2">
        <v>950.22547818879991</v>
      </c>
      <c r="G1431" s="2">
        <v>921.7187138431359</v>
      </c>
      <c r="H1431" s="2">
        <v>894.06715242784185</v>
      </c>
      <c r="I1431" s="2">
        <v>867.24513785500653</v>
      </c>
      <c r="J1431" s="2">
        <v>841.22778371935635</v>
      </c>
      <c r="K1431" s="2">
        <v>815.99095020777565</v>
      </c>
      <c r="L1431" s="2">
        <v>791.51122170154235</v>
      </c>
      <c r="M1431" s="2">
        <v>767.76588505049608</v>
      </c>
      <c r="N1431" s="2">
        <v>744.73290849898115</v>
      </c>
      <c r="O1431" s="2">
        <v>722.39092124401168</v>
      </c>
    </row>
    <row r="1432" spans="1:15" x14ac:dyDescent="0.25">
      <c r="A1432" t="s">
        <v>3955</v>
      </c>
      <c r="B1432" t="s">
        <v>3956</v>
      </c>
      <c r="C1432" s="2">
        <v>1023.715418</v>
      </c>
      <c r="D1432" s="2">
        <v>993.00395545999993</v>
      </c>
      <c r="E1432" s="2">
        <v>963.21383679619987</v>
      </c>
      <c r="F1432" s="2">
        <v>934.31742169231381</v>
      </c>
      <c r="G1432" s="2">
        <v>906.28789904154439</v>
      </c>
      <c r="H1432" s="2">
        <v>879.09926207029798</v>
      </c>
      <c r="I1432" s="2">
        <v>852.72628420818899</v>
      </c>
      <c r="J1432" s="2">
        <v>827.14449568194334</v>
      </c>
      <c r="K1432" s="2">
        <v>802.33016081148503</v>
      </c>
      <c r="L1432" s="2">
        <v>778.26025598714045</v>
      </c>
      <c r="M1432" s="2">
        <v>754.91244830752623</v>
      </c>
      <c r="N1432" s="2">
        <v>732.26507485830041</v>
      </c>
      <c r="O1432" s="2">
        <v>710.29712261255133</v>
      </c>
    </row>
    <row r="1433" spans="1:15" x14ac:dyDescent="0.25">
      <c r="A1433" t="s">
        <v>3957</v>
      </c>
      <c r="B1433" t="s">
        <v>3956</v>
      </c>
      <c r="C1433" s="2">
        <v>1023.715418</v>
      </c>
      <c r="D1433" s="2">
        <v>993.00395545999993</v>
      </c>
      <c r="E1433" s="2">
        <v>963.21383679619987</v>
      </c>
      <c r="F1433" s="2">
        <v>934.31742169231381</v>
      </c>
      <c r="G1433" s="2">
        <v>906.28789904154439</v>
      </c>
      <c r="H1433" s="2">
        <v>879.09926207029798</v>
      </c>
      <c r="I1433" s="2">
        <v>852.72628420818899</v>
      </c>
      <c r="J1433" s="2">
        <v>827.14449568194334</v>
      </c>
      <c r="K1433" s="2">
        <v>802.33016081148503</v>
      </c>
      <c r="L1433" s="2">
        <v>778.26025598714045</v>
      </c>
      <c r="M1433" s="2">
        <v>754.91244830752623</v>
      </c>
      <c r="N1433" s="2">
        <v>732.26507485830041</v>
      </c>
      <c r="O1433" s="2">
        <v>710.29712261255133</v>
      </c>
    </row>
    <row r="1434" spans="1:15" x14ac:dyDescent="0.25">
      <c r="A1434" t="s">
        <v>3958</v>
      </c>
      <c r="B1434" t="s">
        <v>3956</v>
      </c>
      <c r="C1434" s="2">
        <v>1023.715418</v>
      </c>
      <c r="D1434" s="2">
        <v>993.00395545999993</v>
      </c>
      <c r="E1434" s="2">
        <v>963.21383679619987</v>
      </c>
      <c r="F1434" s="2">
        <v>934.31742169231381</v>
      </c>
      <c r="G1434" s="2">
        <v>906.28789904154439</v>
      </c>
      <c r="H1434" s="2">
        <v>879.09926207029798</v>
      </c>
      <c r="I1434" s="2">
        <v>852.72628420818899</v>
      </c>
      <c r="J1434" s="2">
        <v>827.14449568194334</v>
      </c>
      <c r="K1434" s="2">
        <v>802.33016081148503</v>
      </c>
      <c r="L1434" s="2">
        <v>778.26025598714045</v>
      </c>
      <c r="M1434" s="2">
        <v>754.91244830752623</v>
      </c>
      <c r="N1434" s="2">
        <v>732.26507485830041</v>
      </c>
      <c r="O1434" s="2">
        <v>710.29712261255133</v>
      </c>
    </row>
    <row r="1435" spans="1:15" x14ac:dyDescent="0.25">
      <c r="A1435" t="s">
        <v>3959</v>
      </c>
      <c r="B1435" t="s">
        <v>3960</v>
      </c>
      <c r="C1435" s="2">
        <v>1020.0555200000001</v>
      </c>
      <c r="D1435" s="2">
        <v>989.45385440000007</v>
      </c>
      <c r="E1435" s="2">
        <v>959.77023876800001</v>
      </c>
      <c r="F1435" s="2">
        <v>930.97713160495994</v>
      </c>
      <c r="G1435" s="2">
        <v>903.04781765681116</v>
      </c>
      <c r="H1435" s="2">
        <v>875.95638312710685</v>
      </c>
      <c r="I1435" s="2">
        <v>849.67769163329365</v>
      </c>
      <c r="J1435" s="2">
        <v>824.18736088429478</v>
      </c>
      <c r="K1435" s="2">
        <v>799.46174005776595</v>
      </c>
      <c r="L1435" s="2">
        <v>775.47788785603291</v>
      </c>
      <c r="M1435" s="2">
        <v>752.21355122035186</v>
      </c>
      <c r="N1435" s="2">
        <v>729.64714468374132</v>
      </c>
      <c r="O1435" s="2">
        <v>707.75773034322901</v>
      </c>
    </row>
    <row r="1436" spans="1:15" x14ac:dyDescent="0.25">
      <c r="A1436" t="s">
        <v>3961</v>
      </c>
      <c r="B1436" t="s">
        <v>3962</v>
      </c>
      <c r="C1436" s="2">
        <v>1012.7286400000003</v>
      </c>
      <c r="D1436" s="2">
        <v>982.34678080000026</v>
      </c>
      <c r="E1436" s="2">
        <v>952.87637737600028</v>
      </c>
      <c r="F1436" s="2">
        <v>924.29008605472029</v>
      </c>
      <c r="G1436" s="2">
        <v>896.56138347307865</v>
      </c>
      <c r="H1436" s="2">
        <v>869.66454196888628</v>
      </c>
      <c r="I1436" s="2">
        <v>843.57460570981971</v>
      </c>
      <c r="J1436" s="2">
        <v>818.26736753852515</v>
      </c>
      <c r="K1436" s="2">
        <v>793.71934651236938</v>
      </c>
      <c r="L1436" s="2">
        <v>769.90776611699823</v>
      </c>
      <c r="M1436" s="2">
        <v>746.81053313348832</v>
      </c>
      <c r="N1436" s="2">
        <v>724.4062171394836</v>
      </c>
      <c r="O1436" s="2">
        <v>702.67403062529911</v>
      </c>
    </row>
    <row r="1437" spans="1:15" x14ac:dyDescent="0.25">
      <c r="A1437" t="s">
        <v>3963</v>
      </c>
      <c r="B1437" t="s">
        <v>3964</v>
      </c>
      <c r="C1437" s="2">
        <v>1008.2596480000002</v>
      </c>
      <c r="D1437" s="2">
        <v>978.01185856000018</v>
      </c>
      <c r="E1437" s="2">
        <v>948.67150280320016</v>
      </c>
      <c r="F1437" s="2">
        <v>920.21135771910417</v>
      </c>
      <c r="G1437" s="2">
        <v>892.60501698753103</v>
      </c>
      <c r="H1437" s="2">
        <v>865.82686647790513</v>
      </c>
      <c r="I1437" s="2">
        <v>839.85206048356793</v>
      </c>
      <c r="J1437" s="2">
        <v>814.65649866906085</v>
      </c>
      <c r="K1437" s="2">
        <v>790.216803708989</v>
      </c>
      <c r="L1437" s="2">
        <v>766.51029959771927</v>
      </c>
      <c r="M1437" s="2">
        <v>743.51499060978767</v>
      </c>
      <c r="N1437" s="2">
        <v>721.20954089149404</v>
      </c>
      <c r="O1437" s="2">
        <v>699.57325466474924</v>
      </c>
    </row>
    <row r="1438" spans="1:15" x14ac:dyDescent="0.25">
      <c r="A1438" t="s">
        <v>3965</v>
      </c>
      <c r="B1438" t="s">
        <v>3966</v>
      </c>
      <c r="C1438" s="2">
        <v>999.71583800000008</v>
      </c>
      <c r="D1438" s="2">
        <v>969.72436286000004</v>
      </c>
      <c r="E1438" s="2">
        <v>940.63263197419997</v>
      </c>
      <c r="F1438" s="2">
        <v>912.41365301497399</v>
      </c>
      <c r="G1438" s="2">
        <v>885.04124342452474</v>
      </c>
      <c r="H1438" s="2">
        <v>858.49000612178895</v>
      </c>
      <c r="I1438" s="2">
        <v>832.7353059381353</v>
      </c>
      <c r="J1438" s="2">
        <v>807.75324675999127</v>
      </c>
      <c r="K1438" s="2">
        <v>783.52064935719147</v>
      </c>
      <c r="L1438" s="2">
        <v>760.01502987647575</v>
      </c>
      <c r="M1438" s="2">
        <v>737.2145789801815</v>
      </c>
      <c r="N1438" s="2">
        <v>715.098141610776</v>
      </c>
      <c r="O1438" s="2">
        <v>693.64519736245268</v>
      </c>
    </row>
    <row r="1439" spans="1:15" x14ac:dyDescent="0.25">
      <c r="A1439" t="s">
        <v>3967</v>
      </c>
      <c r="B1439" t="s">
        <v>3968</v>
      </c>
      <c r="C1439" s="2">
        <v>995.07936000000018</v>
      </c>
      <c r="D1439" s="2">
        <v>965.22697920000019</v>
      </c>
      <c r="E1439" s="2">
        <v>936.27016982400016</v>
      </c>
      <c r="F1439" s="2">
        <v>908.18206472928011</v>
      </c>
      <c r="G1439" s="2">
        <v>880.93660278740174</v>
      </c>
      <c r="H1439" s="2">
        <v>854.50850470377964</v>
      </c>
      <c r="I1439" s="2">
        <v>828.87324956266627</v>
      </c>
      <c r="J1439" s="2">
        <v>804.00705207578631</v>
      </c>
      <c r="K1439" s="2">
        <v>779.88684051351265</v>
      </c>
      <c r="L1439" s="2">
        <v>756.49023529810722</v>
      </c>
      <c r="M1439" s="2">
        <v>733.79552823916401</v>
      </c>
      <c r="N1439" s="2">
        <v>711.78166239198913</v>
      </c>
      <c r="O1439" s="2">
        <v>690.42821252022941</v>
      </c>
    </row>
    <row r="1440" spans="1:15" x14ac:dyDescent="0.25">
      <c r="A1440" t="s">
        <v>3969</v>
      </c>
      <c r="B1440" t="s">
        <v>3970</v>
      </c>
      <c r="C1440" s="2">
        <v>993.68684800000017</v>
      </c>
      <c r="D1440" s="2">
        <v>963.87624256000015</v>
      </c>
      <c r="E1440" s="2">
        <v>934.95995528320009</v>
      </c>
      <c r="F1440" s="2">
        <v>906.91115662470406</v>
      </c>
      <c r="G1440" s="2">
        <v>879.70382192596287</v>
      </c>
      <c r="H1440" s="2">
        <v>853.312707268184</v>
      </c>
      <c r="I1440" s="2">
        <v>827.71332605013845</v>
      </c>
      <c r="J1440" s="2">
        <v>802.88192626863429</v>
      </c>
      <c r="K1440" s="2">
        <v>778.79546848057521</v>
      </c>
      <c r="L1440" s="2">
        <v>755.43160442615795</v>
      </c>
      <c r="M1440" s="2">
        <v>732.76865629337317</v>
      </c>
      <c r="N1440" s="2">
        <v>710.78559660457199</v>
      </c>
      <c r="O1440" s="2">
        <v>689.46202870643481</v>
      </c>
    </row>
    <row r="1441" spans="1:15" x14ac:dyDescent="0.25">
      <c r="A1441" t="s">
        <v>3971</v>
      </c>
      <c r="B1441" t="s">
        <v>3972</v>
      </c>
      <c r="C1441" s="2">
        <v>989.19356800000014</v>
      </c>
      <c r="D1441" s="2">
        <v>959.51776096000015</v>
      </c>
      <c r="E1441" s="2">
        <v>930.73222813120015</v>
      </c>
      <c r="F1441" s="2">
        <v>902.8102612872641</v>
      </c>
      <c r="G1441" s="2">
        <v>875.72595344864612</v>
      </c>
      <c r="H1441" s="2">
        <v>849.45417484518669</v>
      </c>
      <c r="I1441" s="2">
        <v>823.97054959983109</v>
      </c>
      <c r="J1441" s="2">
        <v>799.25143311183615</v>
      </c>
      <c r="K1441" s="2">
        <v>775.27389011848106</v>
      </c>
      <c r="L1441" s="2">
        <v>752.0156734149266</v>
      </c>
      <c r="M1441" s="2">
        <v>729.45520321247875</v>
      </c>
      <c r="N1441" s="2">
        <v>707.5715471161044</v>
      </c>
      <c r="O1441" s="2">
        <v>686.34440070262121</v>
      </c>
    </row>
    <row r="1442" spans="1:15" x14ac:dyDescent="0.25">
      <c r="A1442" t="s">
        <v>3973</v>
      </c>
      <c r="B1442" t="s">
        <v>3974</v>
      </c>
      <c r="C1442" s="2">
        <v>983.37203800000009</v>
      </c>
      <c r="D1442" s="2">
        <v>953.87087686000007</v>
      </c>
      <c r="E1442" s="2">
        <v>925.25475055420009</v>
      </c>
      <c r="F1442" s="2">
        <v>897.49710803757409</v>
      </c>
      <c r="G1442" s="2">
        <v>870.57219479644687</v>
      </c>
      <c r="H1442" s="2">
        <v>844.45502895255345</v>
      </c>
      <c r="I1442" s="2">
        <v>819.12137808397688</v>
      </c>
      <c r="J1442" s="2">
        <v>794.54773674145758</v>
      </c>
      <c r="K1442" s="2">
        <v>770.71130463921384</v>
      </c>
      <c r="L1442" s="2">
        <v>747.58996550003735</v>
      </c>
      <c r="M1442" s="2">
        <v>725.16226653503622</v>
      </c>
      <c r="N1442" s="2">
        <v>703.40739853898515</v>
      </c>
      <c r="O1442" s="2">
        <v>682.30517658281553</v>
      </c>
    </row>
    <row r="1443" spans="1:15" x14ac:dyDescent="0.25">
      <c r="A1443" t="s">
        <v>3975</v>
      </c>
      <c r="B1443" t="s">
        <v>3976</v>
      </c>
      <c r="C1443" s="2">
        <v>974.91627200000005</v>
      </c>
      <c r="D1443" s="2">
        <v>945.66878384000006</v>
      </c>
      <c r="E1443" s="2">
        <v>917.2987203248</v>
      </c>
      <c r="F1443" s="2">
        <v>889.779758715056</v>
      </c>
      <c r="G1443" s="2">
        <v>863.08636595360429</v>
      </c>
      <c r="H1443" s="2">
        <v>837.19377497499613</v>
      </c>
      <c r="I1443" s="2">
        <v>812.07796172574626</v>
      </c>
      <c r="J1443" s="2">
        <v>787.71562287397387</v>
      </c>
      <c r="K1443" s="2">
        <v>764.08415418775462</v>
      </c>
      <c r="L1443" s="2">
        <v>741.16162956212202</v>
      </c>
      <c r="M1443" s="2">
        <v>718.92678067525833</v>
      </c>
      <c r="N1443" s="2">
        <v>697.35897725500058</v>
      </c>
      <c r="O1443" s="2">
        <v>676.43820793735051</v>
      </c>
    </row>
    <row r="1444" spans="1:15" x14ac:dyDescent="0.25">
      <c r="A1444" t="s">
        <v>3977</v>
      </c>
      <c r="B1444" t="s">
        <v>3976</v>
      </c>
      <c r="C1444" s="2">
        <v>974.91627200000005</v>
      </c>
      <c r="D1444" s="2">
        <v>945.66878384000006</v>
      </c>
      <c r="E1444" s="2">
        <v>917.2987203248</v>
      </c>
      <c r="F1444" s="2">
        <v>889.779758715056</v>
      </c>
      <c r="G1444" s="2">
        <v>863.08636595360429</v>
      </c>
      <c r="H1444" s="2">
        <v>837.19377497499613</v>
      </c>
      <c r="I1444" s="2">
        <v>812.07796172574626</v>
      </c>
      <c r="J1444" s="2">
        <v>787.71562287397387</v>
      </c>
      <c r="K1444" s="2">
        <v>764.08415418775462</v>
      </c>
      <c r="L1444" s="2">
        <v>741.16162956212202</v>
      </c>
      <c r="M1444" s="2">
        <v>718.92678067525833</v>
      </c>
      <c r="N1444" s="2">
        <v>697.35897725500058</v>
      </c>
      <c r="O1444" s="2">
        <v>676.43820793735051</v>
      </c>
    </row>
    <row r="1445" spans="1:15" x14ac:dyDescent="0.25">
      <c r="A1445" t="s">
        <v>3978</v>
      </c>
      <c r="B1445" t="s">
        <v>3976</v>
      </c>
      <c r="C1445" s="2">
        <v>974.91627200000005</v>
      </c>
      <c r="D1445" s="2">
        <v>945.66878384000006</v>
      </c>
      <c r="E1445" s="2">
        <v>917.2987203248</v>
      </c>
      <c r="F1445" s="2">
        <v>889.779758715056</v>
      </c>
      <c r="G1445" s="2">
        <v>863.08636595360429</v>
      </c>
      <c r="H1445" s="2">
        <v>837.19377497499613</v>
      </c>
      <c r="I1445" s="2">
        <v>812.07796172574626</v>
      </c>
      <c r="J1445" s="2">
        <v>787.71562287397387</v>
      </c>
      <c r="K1445" s="2">
        <v>764.08415418775462</v>
      </c>
      <c r="L1445" s="2">
        <v>741.16162956212202</v>
      </c>
      <c r="M1445" s="2">
        <v>718.92678067525833</v>
      </c>
      <c r="N1445" s="2">
        <v>697.35897725500058</v>
      </c>
      <c r="O1445" s="2">
        <v>676.43820793735051</v>
      </c>
    </row>
    <row r="1446" spans="1:15" x14ac:dyDescent="0.25">
      <c r="A1446" t="s">
        <v>3979</v>
      </c>
      <c r="B1446" t="s">
        <v>3980</v>
      </c>
      <c r="C1446" s="2">
        <v>958.65545600000019</v>
      </c>
      <c r="D1446" s="2">
        <v>929.89579232000017</v>
      </c>
      <c r="E1446" s="2">
        <v>901.99891855040016</v>
      </c>
      <c r="F1446" s="2">
        <v>874.93895099388817</v>
      </c>
      <c r="G1446" s="2">
        <v>848.6907824640715</v>
      </c>
      <c r="H1446" s="2">
        <v>823.23005899014936</v>
      </c>
      <c r="I1446" s="2">
        <v>798.53315722044488</v>
      </c>
      <c r="J1446" s="2">
        <v>774.57716250383146</v>
      </c>
      <c r="K1446" s="2">
        <v>751.33984762871648</v>
      </c>
      <c r="L1446" s="2">
        <v>728.79965219985502</v>
      </c>
      <c r="M1446" s="2">
        <v>706.93566263385935</v>
      </c>
      <c r="N1446" s="2">
        <v>685.7275927548435</v>
      </c>
      <c r="O1446" s="2">
        <v>665.1557649721982</v>
      </c>
    </row>
    <row r="1447" spans="1:15" x14ac:dyDescent="0.25">
      <c r="A1447" t="s">
        <v>3981</v>
      </c>
      <c r="B1447" t="s">
        <v>3982</v>
      </c>
      <c r="C1447" s="2">
        <v>953.54890400000011</v>
      </c>
      <c r="D1447" s="2">
        <v>924.94243688000006</v>
      </c>
      <c r="E1447" s="2">
        <v>897.19416377360005</v>
      </c>
      <c r="F1447" s="2">
        <v>870.27833886039207</v>
      </c>
      <c r="G1447" s="2">
        <v>844.1699886945803</v>
      </c>
      <c r="H1447" s="2">
        <v>818.8448890337429</v>
      </c>
      <c r="I1447" s="2">
        <v>794.27954236273058</v>
      </c>
      <c r="J1447" s="2">
        <v>770.45115609184859</v>
      </c>
      <c r="K1447" s="2">
        <v>747.33762140909312</v>
      </c>
      <c r="L1447" s="2">
        <v>724.91749276682026</v>
      </c>
      <c r="M1447" s="2">
        <v>703.16996798381558</v>
      </c>
      <c r="N1447" s="2">
        <v>682.0748689443011</v>
      </c>
      <c r="O1447" s="2">
        <v>661.61262287597208</v>
      </c>
    </row>
    <row r="1448" spans="1:15" x14ac:dyDescent="0.25">
      <c r="A1448" t="s">
        <v>3983</v>
      </c>
      <c r="B1448" t="s">
        <v>3984</v>
      </c>
      <c r="C1448" s="2">
        <v>946.84794600000021</v>
      </c>
      <c r="D1448" s="2">
        <v>918.44250762000013</v>
      </c>
      <c r="E1448" s="2">
        <v>890.88923239140013</v>
      </c>
      <c r="F1448" s="2">
        <v>864.16255541965813</v>
      </c>
      <c r="G1448" s="2">
        <v>838.23767875706835</v>
      </c>
      <c r="H1448" s="2">
        <v>813.09054839435623</v>
      </c>
      <c r="I1448" s="2">
        <v>788.69783194252557</v>
      </c>
      <c r="J1448" s="2">
        <v>765.03689698424978</v>
      </c>
      <c r="K1448" s="2">
        <v>742.08579007472224</v>
      </c>
      <c r="L1448" s="2">
        <v>719.8232163724806</v>
      </c>
      <c r="M1448" s="2">
        <v>698.22851988130617</v>
      </c>
      <c r="N1448" s="2">
        <v>677.28166428486702</v>
      </c>
      <c r="O1448" s="2">
        <v>656.96321435632103</v>
      </c>
    </row>
    <row r="1449" spans="1:15" x14ac:dyDescent="0.25">
      <c r="A1449" t="s">
        <v>3985</v>
      </c>
      <c r="B1449" t="s">
        <v>3984</v>
      </c>
      <c r="C1449" s="2">
        <v>946.84794600000021</v>
      </c>
      <c r="D1449" s="2">
        <v>918.44250762000013</v>
      </c>
      <c r="E1449" s="2">
        <v>890.88923239140013</v>
      </c>
      <c r="F1449" s="2">
        <v>864.16255541965813</v>
      </c>
      <c r="G1449" s="2">
        <v>838.23767875706835</v>
      </c>
      <c r="H1449" s="2">
        <v>813.09054839435623</v>
      </c>
      <c r="I1449" s="2">
        <v>788.69783194252557</v>
      </c>
      <c r="J1449" s="2">
        <v>765.03689698424978</v>
      </c>
      <c r="K1449" s="2">
        <v>742.08579007472224</v>
      </c>
      <c r="L1449" s="2">
        <v>719.8232163724806</v>
      </c>
      <c r="M1449" s="2">
        <v>698.22851988130617</v>
      </c>
      <c r="N1449" s="2">
        <v>677.28166428486702</v>
      </c>
      <c r="O1449" s="2">
        <v>656.96321435632103</v>
      </c>
    </row>
    <row r="1450" spans="1:15" x14ac:dyDescent="0.25">
      <c r="A1450" t="s">
        <v>3986</v>
      </c>
      <c r="B1450" t="s">
        <v>3987</v>
      </c>
      <c r="C1450" s="2">
        <v>945.97054200000014</v>
      </c>
      <c r="D1450" s="2">
        <v>917.59142574000009</v>
      </c>
      <c r="E1450" s="2">
        <v>890.0636829678001</v>
      </c>
      <c r="F1450" s="2">
        <v>863.36177247876606</v>
      </c>
      <c r="G1450" s="2">
        <v>837.46091930440309</v>
      </c>
      <c r="H1450" s="2">
        <v>812.33709172527097</v>
      </c>
      <c r="I1450" s="2">
        <v>787.96697897351282</v>
      </c>
      <c r="J1450" s="2">
        <v>764.32796960430744</v>
      </c>
      <c r="K1450" s="2">
        <v>741.39813051617818</v>
      </c>
      <c r="L1450" s="2">
        <v>719.15618660069276</v>
      </c>
      <c r="M1450" s="2">
        <v>697.58150100267198</v>
      </c>
      <c r="N1450" s="2">
        <v>676.65405597259178</v>
      </c>
      <c r="O1450" s="2">
        <v>656.35443429341399</v>
      </c>
    </row>
    <row r="1451" spans="1:15" x14ac:dyDescent="0.25">
      <c r="A1451" t="s">
        <v>3988</v>
      </c>
      <c r="B1451" t="s">
        <v>3989</v>
      </c>
      <c r="C1451" s="2">
        <v>945.66137600000013</v>
      </c>
      <c r="D1451" s="2">
        <v>917.29153472000007</v>
      </c>
      <c r="E1451" s="2">
        <v>889.77278867840005</v>
      </c>
      <c r="F1451" s="2">
        <v>863.07960501804803</v>
      </c>
      <c r="G1451" s="2">
        <v>837.18721686750655</v>
      </c>
      <c r="H1451" s="2">
        <v>812.07160036148139</v>
      </c>
      <c r="I1451" s="2">
        <v>787.70945235063698</v>
      </c>
      <c r="J1451" s="2">
        <v>764.07816878011784</v>
      </c>
      <c r="K1451" s="2">
        <v>741.15582371671428</v>
      </c>
      <c r="L1451" s="2">
        <v>718.92114900521278</v>
      </c>
      <c r="M1451" s="2">
        <v>697.35351453505643</v>
      </c>
      <c r="N1451" s="2">
        <v>676.43290909900475</v>
      </c>
      <c r="O1451" s="2">
        <v>656.13992182603454</v>
      </c>
    </row>
    <row r="1452" spans="1:15" x14ac:dyDescent="0.25">
      <c r="A1452" t="s">
        <v>3990</v>
      </c>
      <c r="B1452" t="s">
        <v>3991</v>
      </c>
      <c r="C1452" s="2">
        <v>944.80927200000008</v>
      </c>
      <c r="D1452" s="2">
        <v>916.46499384000003</v>
      </c>
      <c r="E1452" s="2">
        <v>888.97104402479999</v>
      </c>
      <c r="F1452" s="2">
        <v>862.30191270405601</v>
      </c>
      <c r="G1452" s="2">
        <v>836.4328553229343</v>
      </c>
      <c r="H1452" s="2">
        <v>811.3398696632463</v>
      </c>
      <c r="I1452" s="2">
        <v>786.9996735733489</v>
      </c>
      <c r="J1452" s="2">
        <v>763.38968336614846</v>
      </c>
      <c r="K1452" s="2">
        <v>740.48799286516396</v>
      </c>
      <c r="L1452" s="2">
        <v>718.27335307920907</v>
      </c>
      <c r="M1452" s="2">
        <v>696.72515248683283</v>
      </c>
      <c r="N1452" s="2">
        <v>675.82339791222785</v>
      </c>
      <c r="O1452" s="2">
        <v>655.54869597486095</v>
      </c>
    </row>
    <row r="1453" spans="1:15" x14ac:dyDescent="0.25">
      <c r="A1453" t="s">
        <v>3992</v>
      </c>
      <c r="B1453" t="s">
        <v>3993</v>
      </c>
      <c r="C1453" s="2">
        <v>935.14467200000013</v>
      </c>
      <c r="D1453" s="2">
        <v>907.09033184000009</v>
      </c>
      <c r="E1453" s="2">
        <v>879.87762188480008</v>
      </c>
      <c r="F1453" s="2">
        <v>853.48129322825605</v>
      </c>
      <c r="G1453" s="2">
        <v>827.87685443140833</v>
      </c>
      <c r="H1453" s="2">
        <v>803.04054879846603</v>
      </c>
      <c r="I1453" s="2">
        <v>778.94933233451206</v>
      </c>
      <c r="J1453" s="2">
        <v>755.58085236447664</v>
      </c>
      <c r="K1453" s="2">
        <v>732.91342679354227</v>
      </c>
      <c r="L1453" s="2">
        <v>710.926023989736</v>
      </c>
      <c r="M1453" s="2">
        <v>689.59824327004389</v>
      </c>
      <c r="N1453" s="2">
        <v>668.91029597194256</v>
      </c>
      <c r="O1453" s="2">
        <v>648.84298709278426</v>
      </c>
    </row>
    <row r="1454" spans="1:15" x14ac:dyDescent="0.25">
      <c r="A1454" t="s">
        <v>3994</v>
      </c>
      <c r="B1454" t="s">
        <v>3995</v>
      </c>
      <c r="C1454" s="2">
        <v>933.37721399999998</v>
      </c>
      <c r="D1454" s="2">
        <v>905.3758975799999</v>
      </c>
      <c r="E1454" s="2">
        <v>878.21462065259993</v>
      </c>
      <c r="F1454" s="2">
        <v>851.86818203302187</v>
      </c>
      <c r="G1454" s="2">
        <v>826.31213657203114</v>
      </c>
      <c r="H1454" s="2">
        <v>801.52277247487018</v>
      </c>
      <c r="I1454" s="2">
        <v>777.47708930062402</v>
      </c>
      <c r="J1454" s="2">
        <v>754.15277662160531</v>
      </c>
      <c r="K1454" s="2">
        <v>731.52819332295712</v>
      </c>
      <c r="L1454" s="2">
        <v>709.58234752326837</v>
      </c>
      <c r="M1454" s="2">
        <v>688.29487709757029</v>
      </c>
      <c r="N1454" s="2">
        <v>667.64603078464313</v>
      </c>
      <c r="O1454" s="2">
        <v>647.61664986110384</v>
      </c>
    </row>
    <row r="1455" spans="1:15" x14ac:dyDescent="0.25">
      <c r="A1455" t="s">
        <v>3996</v>
      </c>
      <c r="B1455" t="s">
        <v>3995</v>
      </c>
      <c r="C1455" s="2">
        <v>933.37721399999998</v>
      </c>
      <c r="D1455" s="2">
        <v>905.3758975799999</v>
      </c>
      <c r="E1455" s="2">
        <v>878.21462065259993</v>
      </c>
      <c r="F1455" s="2">
        <v>851.86818203302187</v>
      </c>
      <c r="G1455" s="2">
        <v>826.31213657203114</v>
      </c>
      <c r="H1455" s="2">
        <v>801.52277247487018</v>
      </c>
      <c r="I1455" s="2">
        <v>777.47708930062402</v>
      </c>
      <c r="J1455" s="2">
        <v>754.15277662160531</v>
      </c>
      <c r="K1455" s="2">
        <v>731.52819332295712</v>
      </c>
      <c r="L1455" s="2">
        <v>709.58234752326837</v>
      </c>
      <c r="M1455" s="2">
        <v>688.29487709757029</v>
      </c>
      <c r="N1455" s="2">
        <v>667.64603078464313</v>
      </c>
      <c r="O1455" s="2">
        <v>647.61664986110384</v>
      </c>
    </row>
    <row r="1456" spans="1:15" x14ac:dyDescent="0.25">
      <c r="A1456" t="s">
        <v>3997</v>
      </c>
      <c r="B1456" t="s">
        <v>3995</v>
      </c>
      <c r="C1456" s="2">
        <v>933.37721399999998</v>
      </c>
      <c r="D1456" s="2">
        <v>905.3758975799999</v>
      </c>
      <c r="E1456" s="2">
        <v>878.21462065259993</v>
      </c>
      <c r="F1456" s="2">
        <v>851.86818203302187</v>
      </c>
      <c r="G1456" s="2">
        <v>826.31213657203114</v>
      </c>
      <c r="H1456" s="2">
        <v>801.52277247487018</v>
      </c>
      <c r="I1456" s="2">
        <v>777.47708930062402</v>
      </c>
      <c r="J1456" s="2">
        <v>754.15277662160531</v>
      </c>
      <c r="K1456" s="2">
        <v>731.52819332295712</v>
      </c>
      <c r="L1456" s="2">
        <v>709.58234752326837</v>
      </c>
      <c r="M1456" s="2">
        <v>688.29487709757029</v>
      </c>
      <c r="N1456" s="2">
        <v>667.64603078464313</v>
      </c>
      <c r="O1456" s="2">
        <v>647.61664986110384</v>
      </c>
    </row>
    <row r="1457" spans="1:15" x14ac:dyDescent="0.25">
      <c r="A1457" t="s">
        <v>3998</v>
      </c>
      <c r="B1457" t="s">
        <v>3999</v>
      </c>
      <c r="C1457" s="2">
        <v>933.09334800000011</v>
      </c>
      <c r="D1457" s="2">
        <v>905.10054756000011</v>
      </c>
      <c r="E1457" s="2">
        <v>877.94753113320007</v>
      </c>
      <c r="F1457" s="2">
        <v>851.60910519920401</v>
      </c>
      <c r="G1457" s="2">
        <v>826.06083204322783</v>
      </c>
      <c r="H1457" s="2">
        <v>801.27900708193101</v>
      </c>
      <c r="I1457" s="2">
        <v>777.24063686947306</v>
      </c>
      <c r="J1457" s="2">
        <v>753.9234177633889</v>
      </c>
      <c r="K1457" s="2">
        <v>731.30571523048718</v>
      </c>
      <c r="L1457" s="2">
        <v>709.36654377357252</v>
      </c>
      <c r="M1457" s="2">
        <v>688.08554746036532</v>
      </c>
      <c r="N1457" s="2">
        <v>667.44298103655433</v>
      </c>
      <c r="O1457" s="2">
        <v>647.41969160545773</v>
      </c>
    </row>
    <row r="1458" spans="1:15" x14ac:dyDescent="0.25">
      <c r="A1458" t="s">
        <v>4000</v>
      </c>
      <c r="B1458" t="s">
        <v>4001</v>
      </c>
      <c r="C1458" s="2">
        <v>920.94732400000009</v>
      </c>
      <c r="D1458" s="2">
        <v>893.31890428000008</v>
      </c>
      <c r="E1458" s="2">
        <v>866.5193371516001</v>
      </c>
      <c r="F1458" s="2">
        <v>840.52375703705206</v>
      </c>
      <c r="G1458" s="2">
        <v>815.3080443259405</v>
      </c>
      <c r="H1458" s="2">
        <v>790.84880299616225</v>
      </c>
      <c r="I1458" s="2">
        <v>767.12333890627735</v>
      </c>
      <c r="J1458" s="2">
        <v>744.10963873908906</v>
      </c>
      <c r="K1458" s="2">
        <v>721.78634957691634</v>
      </c>
      <c r="L1458" s="2">
        <v>700.13275908960884</v>
      </c>
      <c r="M1458" s="2">
        <v>679.12877631692061</v>
      </c>
      <c r="N1458" s="2">
        <v>658.75491302741295</v>
      </c>
      <c r="O1458" s="2">
        <v>638.99226563659056</v>
      </c>
    </row>
    <row r="1459" spans="1:15" x14ac:dyDescent="0.25">
      <c r="A1459" t="s">
        <v>4002</v>
      </c>
      <c r="B1459" t="s">
        <v>4001</v>
      </c>
      <c r="C1459" s="2">
        <v>920.94732400000009</v>
      </c>
      <c r="D1459" s="2">
        <v>893.31890428000008</v>
      </c>
      <c r="E1459" s="2">
        <v>866.5193371516001</v>
      </c>
      <c r="F1459" s="2">
        <v>840.52375703705206</v>
      </c>
      <c r="G1459" s="2">
        <v>815.3080443259405</v>
      </c>
      <c r="H1459" s="2">
        <v>790.84880299616225</v>
      </c>
      <c r="I1459" s="2">
        <v>767.12333890627735</v>
      </c>
      <c r="J1459" s="2">
        <v>744.10963873908906</v>
      </c>
      <c r="K1459" s="2">
        <v>721.78634957691634</v>
      </c>
      <c r="L1459" s="2">
        <v>700.13275908960884</v>
      </c>
      <c r="M1459" s="2">
        <v>679.12877631692061</v>
      </c>
      <c r="N1459" s="2">
        <v>658.75491302741295</v>
      </c>
      <c r="O1459" s="2">
        <v>638.99226563659056</v>
      </c>
    </row>
    <row r="1460" spans="1:15" x14ac:dyDescent="0.25">
      <c r="A1460" t="s">
        <v>4003</v>
      </c>
      <c r="B1460" t="s">
        <v>4001</v>
      </c>
      <c r="C1460" s="2">
        <v>920.94732400000009</v>
      </c>
      <c r="D1460" s="2">
        <v>893.31890428000008</v>
      </c>
      <c r="E1460" s="2">
        <v>866.5193371516001</v>
      </c>
      <c r="F1460" s="2">
        <v>840.52375703705206</v>
      </c>
      <c r="G1460" s="2">
        <v>815.3080443259405</v>
      </c>
      <c r="H1460" s="2">
        <v>790.84880299616225</v>
      </c>
      <c r="I1460" s="2">
        <v>767.12333890627735</v>
      </c>
      <c r="J1460" s="2">
        <v>744.10963873908906</v>
      </c>
      <c r="K1460" s="2">
        <v>721.78634957691634</v>
      </c>
      <c r="L1460" s="2">
        <v>700.13275908960884</v>
      </c>
      <c r="M1460" s="2">
        <v>679.12877631692061</v>
      </c>
      <c r="N1460" s="2">
        <v>658.75491302741295</v>
      </c>
      <c r="O1460" s="2">
        <v>638.99226563659056</v>
      </c>
    </row>
    <row r="1461" spans="1:15" x14ac:dyDescent="0.25">
      <c r="A1461" t="s">
        <v>4004</v>
      </c>
      <c r="B1461" t="s">
        <v>4005</v>
      </c>
      <c r="C1461" s="2">
        <v>904.42035199999998</v>
      </c>
      <c r="D1461" s="2">
        <v>877.28774143999999</v>
      </c>
      <c r="E1461" s="2">
        <v>850.96910919679999</v>
      </c>
      <c r="F1461" s="2">
        <v>825.44003592089598</v>
      </c>
      <c r="G1461" s="2">
        <v>800.67683484326903</v>
      </c>
      <c r="H1461" s="2">
        <v>776.65652979797096</v>
      </c>
      <c r="I1461" s="2">
        <v>753.35683390403176</v>
      </c>
      <c r="J1461" s="2">
        <v>730.7561288869108</v>
      </c>
      <c r="K1461" s="2">
        <v>708.83344502030343</v>
      </c>
      <c r="L1461" s="2">
        <v>687.56844166969427</v>
      </c>
      <c r="M1461" s="2">
        <v>666.94138841960341</v>
      </c>
      <c r="N1461" s="2">
        <v>646.93314676701527</v>
      </c>
      <c r="O1461" s="2">
        <v>627.52515236400484</v>
      </c>
    </row>
    <row r="1462" spans="1:15" x14ac:dyDescent="0.25">
      <c r="A1462" t="s">
        <v>4006</v>
      </c>
      <c r="B1462" t="s">
        <v>4007</v>
      </c>
      <c r="C1462" s="2">
        <v>904.20783200000005</v>
      </c>
      <c r="D1462" s="2">
        <v>877.08159704000002</v>
      </c>
      <c r="E1462" s="2">
        <v>850.7691491288</v>
      </c>
      <c r="F1462" s="2">
        <v>825.24607465493602</v>
      </c>
      <c r="G1462" s="2">
        <v>800.48869241528791</v>
      </c>
      <c r="H1462" s="2">
        <v>776.47403164282923</v>
      </c>
      <c r="I1462" s="2">
        <v>753.17981069354437</v>
      </c>
      <c r="J1462" s="2">
        <v>730.58441637273802</v>
      </c>
      <c r="K1462" s="2">
        <v>708.6668838815558</v>
      </c>
      <c r="L1462" s="2">
        <v>687.40687736510915</v>
      </c>
      <c r="M1462" s="2">
        <v>666.78467104415586</v>
      </c>
      <c r="N1462" s="2">
        <v>646.78113091283114</v>
      </c>
      <c r="O1462" s="2">
        <v>627.37769698544616</v>
      </c>
    </row>
    <row r="1463" spans="1:15" x14ac:dyDescent="0.25">
      <c r="A1463" t="s">
        <v>4008</v>
      </c>
      <c r="B1463" t="s">
        <v>4007</v>
      </c>
      <c r="C1463" s="2">
        <v>904.20783200000005</v>
      </c>
      <c r="D1463" s="2">
        <v>877.08159704000002</v>
      </c>
      <c r="E1463" s="2">
        <v>850.7691491288</v>
      </c>
      <c r="F1463" s="2">
        <v>825.24607465493602</v>
      </c>
      <c r="G1463" s="2">
        <v>800.48869241528791</v>
      </c>
      <c r="H1463" s="2">
        <v>776.47403164282923</v>
      </c>
      <c r="I1463" s="2">
        <v>753.17981069354437</v>
      </c>
      <c r="J1463" s="2">
        <v>730.58441637273802</v>
      </c>
      <c r="K1463" s="2">
        <v>708.6668838815558</v>
      </c>
      <c r="L1463" s="2">
        <v>687.40687736510915</v>
      </c>
      <c r="M1463" s="2">
        <v>666.78467104415586</v>
      </c>
      <c r="N1463" s="2">
        <v>646.78113091283114</v>
      </c>
      <c r="O1463" s="2">
        <v>627.37769698544616</v>
      </c>
    </row>
    <row r="1464" spans="1:15" x14ac:dyDescent="0.25">
      <c r="A1464" t="s">
        <v>4009</v>
      </c>
      <c r="B1464" t="s">
        <v>4010</v>
      </c>
      <c r="C1464" s="2">
        <v>898.54771600000004</v>
      </c>
      <c r="D1464" s="2">
        <v>871.59128452000004</v>
      </c>
      <c r="E1464" s="2">
        <v>845.44354598439998</v>
      </c>
      <c r="F1464" s="2">
        <v>820.08023960486798</v>
      </c>
      <c r="G1464" s="2">
        <v>795.47783241672187</v>
      </c>
      <c r="H1464" s="2">
        <v>771.61349744422023</v>
      </c>
      <c r="I1464" s="2">
        <v>748.46509252089356</v>
      </c>
      <c r="J1464" s="2">
        <v>726.01113974526675</v>
      </c>
      <c r="K1464" s="2">
        <v>704.23080555290869</v>
      </c>
      <c r="L1464" s="2">
        <v>683.1038813863214</v>
      </c>
      <c r="M1464" s="2">
        <v>662.61076494473173</v>
      </c>
      <c r="N1464" s="2">
        <v>642.73244199638975</v>
      </c>
      <c r="O1464" s="2">
        <v>623.45046873649801</v>
      </c>
    </row>
    <row r="1465" spans="1:15" x14ac:dyDescent="0.25">
      <c r="A1465" t="s">
        <v>4011</v>
      </c>
      <c r="B1465" t="s">
        <v>4012</v>
      </c>
      <c r="C1465" s="2">
        <v>895.94384000000025</v>
      </c>
      <c r="D1465" s="2">
        <v>869.06552480000028</v>
      </c>
      <c r="E1465" s="2">
        <v>842.99355905600021</v>
      </c>
      <c r="F1465" s="2">
        <v>817.70375228432022</v>
      </c>
      <c r="G1465" s="2">
        <v>793.17263971579064</v>
      </c>
      <c r="H1465" s="2">
        <v>769.37746052431692</v>
      </c>
      <c r="I1465" s="2">
        <v>746.29613670858737</v>
      </c>
      <c r="J1465" s="2">
        <v>723.90725260732972</v>
      </c>
      <c r="K1465" s="2">
        <v>702.19003502910982</v>
      </c>
      <c r="L1465" s="2">
        <v>681.12433397823656</v>
      </c>
      <c r="M1465" s="2">
        <v>660.69060395888948</v>
      </c>
      <c r="N1465" s="2">
        <v>640.86988584012283</v>
      </c>
      <c r="O1465" s="2">
        <v>621.64378926491918</v>
      </c>
    </row>
    <row r="1466" spans="1:15" x14ac:dyDescent="0.25">
      <c r="A1466" t="s">
        <v>4013</v>
      </c>
      <c r="B1466" t="s">
        <v>4014</v>
      </c>
      <c r="C1466" s="2">
        <v>891.45106599999997</v>
      </c>
      <c r="D1466" s="2">
        <v>864.70753401999991</v>
      </c>
      <c r="E1466" s="2">
        <v>838.76630799939994</v>
      </c>
      <c r="F1466" s="2">
        <v>813.6033187594179</v>
      </c>
      <c r="G1466" s="2">
        <v>789.19521919663532</v>
      </c>
      <c r="H1466" s="2">
        <v>765.51936262073627</v>
      </c>
      <c r="I1466" s="2">
        <v>742.55378174211421</v>
      </c>
      <c r="J1466" s="2">
        <v>720.27716828985081</v>
      </c>
      <c r="K1466" s="2">
        <v>698.66885324115526</v>
      </c>
      <c r="L1466" s="2">
        <v>677.70878764392057</v>
      </c>
      <c r="M1466" s="2">
        <v>657.37752401460295</v>
      </c>
      <c r="N1466" s="2">
        <v>637.65619829416482</v>
      </c>
      <c r="O1466" s="2">
        <v>618.52651234533982</v>
      </c>
    </row>
    <row r="1467" spans="1:15" x14ac:dyDescent="0.25">
      <c r="A1467" t="s">
        <v>4015</v>
      </c>
      <c r="B1467" t="s">
        <v>4016</v>
      </c>
      <c r="C1467" s="2">
        <v>884.21678400000019</v>
      </c>
      <c r="D1467" s="2">
        <v>857.69028048000018</v>
      </c>
      <c r="E1467" s="2">
        <v>831.95957206560013</v>
      </c>
      <c r="F1467" s="2">
        <v>807.00078490363205</v>
      </c>
      <c r="G1467" s="2">
        <v>782.79076135652303</v>
      </c>
      <c r="H1467" s="2">
        <v>759.30703851582734</v>
      </c>
      <c r="I1467" s="2">
        <v>736.52782736035249</v>
      </c>
      <c r="J1467" s="2">
        <v>714.43199253954185</v>
      </c>
      <c r="K1467" s="2">
        <v>692.99903276335556</v>
      </c>
      <c r="L1467" s="2">
        <v>672.20906178045482</v>
      </c>
      <c r="M1467" s="2">
        <v>652.0427899270411</v>
      </c>
      <c r="N1467" s="2">
        <v>632.48150622922981</v>
      </c>
      <c r="O1467" s="2">
        <v>613.50706104235292</v>
      </c>
    </row>
    <row r="1468" spans="1:15" x14ac:dyDescent="0.25">
      <c r="A1468" t="s">
        <v>4017</v>
      </c>
      <c r="B1468" t="s">
        <v>4018</v>
      </c>
      <c r="C1468" s="2">
        <v>884.21678400000019</v>
      </c>
      <c r="D1468" s="2">
        <v>857.69028048000018</v>
      </c>
      <c r="E1468" s="2">
        <v>831.95957206560013</v>
      </c>
      <c r="F1468" s="2">
        <v>807.00078490363205</v>
      </c>
      <c r="G1468" s="2">
        <v>782.79076135652303</v>
      </c>
      <c r="H1468" s="2">
        <v>759.30703851582734</v>
      </c>
      <c r="I1468" s="2">
        <v>736.52782736035249</v>
      </c>
      <c r="J1468" s="2">
        <v>714.43199253954185</v>
      </c>
      <c r="K1468" s="2">
        <v>692.99903276335556</v>
      </c>
      <c r="L1468" s="2">
        <v>672.20906178045482</v>
      </c>
      <c r="M1468" s="2">
        <v>652.0427899270411</v>
      </c>
      <c r="N1468" s="2">
        <v>632.48150622922981</v>
      </c>
      <c r="O1468" s="2">
        <v>613.50706104235292</v>
      </c>
    </row>
    <row r="1469" spans="1:15" x14ac:dyDescent="0.25">
      <c r="A1469" t="s">
        <v>4019</v>
      </c>
      <c r="B1469" t="s">
        <v>4020</v>
      </c>
      <c r="C1469" s="2">
        <v>882.10777600000017</v>
      </c>
      <c r="D1469" s="2">
        <v>855.64454272000012</v>
      </c>
      <c r="E1469" s="2">
        <v>829.97520643840005</v>
      </c>
      <c r="F1469" s="2">
        <v>805.07595024524801</v>
      </c>
      <c r="G1469" s="2">
        <v>780.92367173789057</v>
      </c>
      <c r="H1469" s="2">
        <v>757.49596158575389</v>
      </c>
      <c r="I1469" s="2">
        <v>734.77108273818124</v>
      </c>
      <c r="J1469" s="2">
        <v>712.7279502560358</v>
      </c>
      <c r="K1469" s="2">
        <v>691.3461117483547</v>
      </c>
      <c r="L1469" s="2">
        <v>670.60572839590407</v>
      </c>
      <c r="M1469" s="2">
        <v>650.48755654402692</v>
      </c>
      <c r="N1469" s="2">
        <v>630.97292984770604</v>
      </c>
      <c r="O1469" s="2">
        <v>612.0437419522749</v>
      </c>
    </row>
    <row r="1470" spans="1:15" x14ac:dyDescent="0.25">
      <c r="A1470" t="s">
        <v>4021</v>
      </c>
      <c r="B1470" t="s">
        <v>4022</v>
      </c>
      <c r="C1470" s="2">
        <v>876.9182400000002</v>
      </c>
      <c r="D1470" s="2">
        <v>850.61069280000015</v>
      </c>
      <c r="E1470" s="2">
        <v>825.09237201600013</v>
      </c>
      <c r="F1470" s="2">
        <v>800.33960085552008</v>
      </c>
      <c r="G1470" s="2">
        <v>776.3294128298545</v>
      </c>
      <c r="H1470" s="2">
        <v>753.03953044495881</v>
      </c>
      <c r="I1470" s="2">
        <v>730.44834453161002</v>
      </c>
      <c r="J1470" s="2">
        <v>708.53489419566165</v>
      </c>
      <c r="K1470" s="2">
        <v>687.27884736979183</v>
      </c>
      <c r="L1470" s="2">
        <v>666.66048194869802</v>
      </c>
      <c r="M1470" s="2">
        <v>646.66066749023707</v>
      </c>
      <c r="N1470" s="2">
        <v>627.26084746552999</v>
      </c>
      <c r="O1470" s="2">
        <v>608.44302204156406</v>
      </c>
    </row>
    <row r="1471" spans="1:15" x14ac:dyDescent="0.25">
      <c r="A1471" t="s">
        <v>4023</v>
      </c>
      <c r="B1471" t="s">
        <v>4024</v>
      </c>
      <c r="C1471" s="2">
        <v>868.42351200000007</v>
      </c>
      <c r="D1471" s="2">
        <v>842.37080664000007</v>
      </c>
      <c r="E1471" s="2">
        <v>817.09968244080005</v>
      </c>
      <c r="F1471" s="2">
        <v>792.58669196757603</v>
      </c>
      <c r="G1471" s="2">
        <v>768.80909120854869</v>
      </c>
      <c r="H1471" s="2">
        <v>745.7448184722922</v>
      </c>
      <c r="I1471" s="2">
        <v>723.37247391812343</v>
      </c>
      <c r="J1471" s="2">
        <v>701.67129970057977</v>
      </c>
      <c r="K1471" s="2">
        <v>680.62116070956233</v>
      </c>
      <c r="L1471" s="2">
        <v>660.20252588827543</v>
      </c>
      <c r="M1471" s="2">
        <v>640.39645011162713</v>
      </c>
      <c r="N1471" s="2">
        <v>621.18455660827829</v>
      </c>
      <c r="O1471" s="2">
        <v>602.54901991002987</v>
      </c>
    </row>
    <row r="1472" spans="1:15" x14ac:dyDescent="0.25">
      <c r="A1472" t="s">
        <v>4025</v>
      </c>
      <c r="B1472" t="s">
        <v>4024</v>
      </c>
      <c r="C1472" s="2">
        <v>868.42351200000007</v>
      </c>
      <c r="D1472" s="2">
        <v>842.37080664000007</v>
      </c>
      <c r="E1472" s="2">
        <v>817.09968244080005</v>
      </c>
      <c r="F1472" s="2">
        <v>792.58669196757603</v>
      </c>
      <c r="G1472" s="2">
        <v>768.80909120854869</v>
      </c>
      <c r="H1472" s="2">
        <v>745.7448184722922</v>
      </c>
      <c r="I1472" s="2">
        <v>723.37247391812343</v>
      </c>
      <c r="J1472" s="2">
        <v>701.67129970057977</v>
      </c>
      <c r="K1472" s="2">
        <v>680.62116070956233</v>
      </c>
      <c r="L1472" s="2">
        <v>660.20252588827543</v>
      </c>
      <c r="M1472" s="2">
        <v>640.39645011162713</v>
      </c>
      <c r="N1472" s="2">
        <v>621.18455660827829</v>
      </c>
      <c r="O1472" s="2">
        <v>602.54901991002987</v>
      </c>
    </row>
    <row r="1473" spans="1:15" x14ac:dyDescent="0.25">
      <c r="A1473" t="s">
        <v>4026</v>
      </c>
      <c r="B1473" t="s">
        <v>4027</v>
      </c>
      <c r="C1473" s="2">
        <v>866.44201600000019</v>
      </c>
      <c r="D1473" s="2">
        <v>840.44875552000019</v>
      </c>
      <c r="E1473" s="2">
        <v>815.2352928544002</v>
      </c>
      <c r="F1473" s="2">
        <v>790.77823406876814</v>
      </c>
      <c r="G1473" s="2">
        <v>767.05488704670506</v>
      </c>
      <c r="H1473" s="2">
        <v>744.04324043530391</v>
      </c>
      <c r="I1473" s="2">
        <v>721.72194322224482</v>
      </c>
      <c r="J1473" s="2">
        <v>700.07028492557743</v>
      </c>
      <c r="K1473" s="2">
        <v>679.06817637781012</v>
      </c>
      <c r="L1473" s="2">
        <v>658.69613108647582</v>
      </c>
      <c r="M1473" s="2">
        <v>638.93524715388151</v>
      </c>
      <c r="N1473" s="2">
        <v>619.76718973926506</v>
      </c>
      <c r="O1473" s="2">
        <v>601.17417404708715</v>
      </c>
    </row>
    <row r="1474" spans="1:15" x14ac:dyDescent="0.25">
      <c r="A1474" t="s">
        <v>4028</v>
      </c>
      <c r="B1474" t="s">
        <v>4029</v>
      </c>
      <c r="C1474" s="2">
        <v>866.44201600000019</v>
      </c>
      <c r="D1474" s="2">
        <v>840.44875552000019</v>
      </c>
      <c r="E1474" s="2">
        <v>815.2352928544002</v>
      </c>
      <c r="F1474" s="2">
        <v>790.77823406876814</v>
      </c>
      <c r="G1474" s="2">
        <v>767.05488704670506</v>
      </c>
      <c r="H1474" s="2">
        <v>744.04324043530391</v>
      </c>
      <c r="I1474" s="2">
        <v>721.72194322224482</v>
      </c>
      <c r="J1474" s="2">
        <v>700.07028492557743</v>
      </c>
      <c r="K1474" s="2">
        <v>679.06817637781012</v>
      </c>
      <c r="L1474" s="2">
        <v>658.69613108647582</v>
      </c>
      <c r="M1474" s="2">
        <v>638.93524715388151</v>
      </c>
      <c r="N1474" s="2">
        <v>619.76718973926506</v>
      </c>
      <c r="O1474" s="2">
        <v>601.17417404708715</v>
      </c>
    </row>
    <row r="1475" spans="1:15" x14ac:dyDescent="0.25">
      <c r="A1475" t="s">
        <v>4030</v>
      </c>
      <c r="B1475" t="s">
        <v>4031</v>
      </c>
      <c r="C1475" s="2">
        <v>865.73766400000011</v>
      </c>
      <c r="D1475" s="2">
        <v>839.76553408000007</v>
      </c>
      <c r="E1475" s="2">
        <v>814.57256805760005</v>
      </c>
      <c r="F1475" s="2">
        <v>790.13539101587207</v>
      </c>
      <c r="G1475" s="2">
        <v>766.43132928539592</v>
      </c>
      <c r="H1475" s="2">
        <v>743.43838940683406</v>
      </c>
      <c r="I1475" s="2">
        <v>721.13523772462906</v>
      </c>
      <c r="J1475" s="2">
        <v>699.50118059289014</v>
      </c>
      <c r="K1475" s="2">
        <v>678.51614517510336</v>
      </c>
      <c r="L1475" s="2">
        <v>658.16066081985025</v>
      </c>
      <c r="M1475" s="2">
        <v>638.41584099525471</v>
      </c>
      <c r="N1475" s="2">
        <v>619.263365765397</v>
      </c>
      <c r="O1475" s="2">
        <v>600.68546479243503</v>
      </c>
    </row>
    <row r="1476" spans="1:15" x14ac:dyDescent="0.25">
      <c r="A1476" t="s">
        <v>4032</v>
      </c>
      <c r="B1476" t="s">
        <v>4033</v>
      </c>
      <c r="C1476" s="2">
        <v>860.77481600000021</v>
      </c>
      <c r="D1476" s="2">
        <v>834.95157152000013</v>
      </c>
      <c r="E1476" s="2">
        <v>809.90302437440005</v>
      </c>
      <c r="F1476" s="2">
        <v>785.60593364316799</v>
      </c>
      <c r="G1476" s="2">
        <v>762.03775563387296</v>
      </c>
      <c r="H1476" s="2">
        <v>739.17662296485673</v>
      </c>
      <c r="I1476" s="2">
        <v>717.00132427591097</v>
      </c>
      <c r="J1476" s="2">
        <v>695.49128454763365</v>
      </c>
      <c r="K1476" s="2">
        <v>674.6265460112046</v>
      </c>
      <c r="L1476" s="2">
        <v>654.38774963086848</v>
      </c>
      <c r="M1476" s="2">
        <v>634.75611714194247</v>
      </c>
      <c r="N1476" s="2">
        <v>615.71343362768414</v>
      </c>
      <c r="O1476" s="2">
        <v>597.24203061885362</v>
      </c>
    </row>
    <row r="1477" spans="1:15" x14ac:dyDescent="0.25">
      <c r="A1477" t="s">
        <v>4034</v>
      </c>
      <c r="B1477" t="s">
        <v>4035</v>
      </c>
      <c r="C1477" s="2">
        <v>850.33350600000017</v>
      </c>
      <c r="D1477" s="2">
        <v>824.82350082000016</v>
      </c>
      <c r="E1477" s="2">
        <v>800.07879579540008</v>
      </c>
      <c r="F1477" s="2">
        <v>776.07643192153807</v>
      </c>
      <c r="G1477" s="2">
        <v>752.7941389638919</v>
      </c>
      <c r="H1477" s="2">
        <v>730.21031479497515</v>
      </c>
      <c r="I1477" s="2">
        <v>708.30400535112585</v>
      </c>
      <c r="J1477" s="2">
        <v>687.05488519059202</v>
      </c>
      <c r="K1477" s="2">
        <v>666.44323863487421</v>
      </c>
      <c r="L1477" s="2">
        <v>646.44994147582793</v>
      </c>
      <c r="M1477" s="2">
        <v>627.05644323155309</v>
      </c>
      <c r="N1477" s="2">
        <v>608.24474993460649</v>
      </c>
      <c r="O1477" s="2">
        <v>589.99740743656832</v>
      </c>
    </row>
    <row r="1478" spans="1:15" x14ac:dyDescent="0.25">
      <c r="A1478" t="s">
        <v>4036</v>
      </c>
      <c r="B1478" t="s">
        <v>4037</v>
      </c>
      <c r="C1478" s="2">
        <v>846.36798400000009</v>
      </c>
      <c r="D1478" s="2">
        <v>820.97694448000004</v>
      </c>
      <c r="E1478" s="2">
        <v>796.34763614560006</v>
      </c>
      <c r="F1478" s="2">
        <v>772.457207061232</v>
      </c>
      <c r="G1478" s="2">
        <v>749.28349084939498</v>
      </c>
      <c r="H1478" s="2">
        <v>726.80498612391307</v>
      </c>
      <c r="I1478" s="2">
        <v>705.00083654019568</v>
      </c>
      <c r="J1478" s="2">
        <v>683.85081144398976</v>
      </c>
      <c r="K1478" s="2">
        <v>663.33528710067003</v>
      </c>
      <c r="L1478" s="2">
        <v>643.43522848764997</v>
      </c>
      <c r="M1478" s="2">
        <v>624.13217163302045</v>
      </c>
      <c r="N1478" s="2">
        <v>605.40820648402985</v>
      </c>
      <c r="O1478" s="2">
        <v>587.24596028950896</v>
      </c>
    </row>
    <row r="1479" spans="1:15" x14ac:dyDescent="0.25">
      <c r="A1479" t="s">
        <v>4038</v>
      </c>
      <c r="B1479" t="s">
        <v>4016</v>
      </c>
      <c r="C1479" s="2">
        <v>846.36798400000009</v>
      </c>
      <c r="D1479" s="2">
        <v>820.97694448000004</v>
      </c>
      <c r="E1479" s="2">
        <v>796.34763614560006</v>
      </c>
      <c r="F1479" s="2">
        <v>772.457207061232</v>
      </c>
      <c r="G1479" s="2">
        <v>749.28349084939498</v>
      </c>
      <c r="H1479" s="2">
        <v>726.80498612391307</v>
      </c>
      <c r="I1479" s="2">
        <v>705.00083654019568</v>
      </c>
      <c r="J1479" s="2">
        <v>683.85081144398976</v>
      </c>
      <c r="K1479" s="2">
        <v>663.33528710067003</v>
      </c>
      <c r="L1479" s="2">
        <v>643.43522848764997</v>
      </c>
      <c r="M1479" s="2">
        <v>624.13217163302045</v>
      </c>
      <c r="N1479" s="2">
        <v>605.40820648402985</v>
      </c>
      <c r="O1479" s="2">
        <v>587.24596028950896</v>
      </c>
    </row>
    <row r="1480" spans="1:15" x14ac:dyDescent="0.25">
      <c r="A1480" t="s">
        <v>4039</v>
      </c>
      <c r="B1480" t="s">
        <v>4018</v>
      </c>
      <c r="C1480" s="2">
        <v>846.36798400000009</v>
      </c>
      <c r="D1480" s="2">
        <v>820.97694448000004</v>
      </c>
      <c r="E1480" s="2">
        <v>796.34763614560006</v>
      </c>
      <c r="F1480" s="2">
        <v>772.457207061232</v>
      </c>
      <c r="G1480" s="2">
        <v>749.28349084939498</v>
      </c>
      <c r="H1480" s="2">
        <v>726.80498612391307</v>
      </c>
      <c r="I1480" s="2">
        <v>705.00083654019568</v>
      </c>
      <c r="J1480" s="2">
        <v>683.85081144398976</v>
      </c>
      <c r="K1480" s="2">
        <v>663.33528710067003</v>
      </c>
      <c r="L1480" s="2">
        <v>643.43522848764997</v>
      </c>
      <c r="M1480" s="2">
        <v>624.13217163302045</v>
      </c>
      <c r="N1480" s="2">
        <v>605.40820648402985</v>
      </c>
      <c r="O1480" s="2">
        <v>587.24596028950896</v>
      </c>
    </row>
    <row r="1481" spans="1:15" x14ac:dyDescent="0.25">
      <c r="A1481" t="s">
        <v>4040</v>
      </c>
      <c r="B1481" t="s">
        <v>4041</v>
      </c>
      <c r="C1481" s="2">
        <v>842.31644200000005</v>
      </c>
      <c r="D1481" s="2">
        <v>817.04694874000006</v>
      </c>
      <c r="E1481" s="2">
        <v>792.53554027780001</v>
      </c>
      <c r="F1481" s="2">
        <v>768.75947406946602</v>
      </c>
      <c r="G1481" s="2">
        <v>745.696689847382</v>
      </c>
      <c r="H1481" s="2">
        <v>723.32578915196052</v>
      </c>
      <c r="I1481" s="2">
        <v>701.62601547740167</v>
      </c>
      <c r="J1481" s="2">
        <v>680.57723501307964</v>
      </c>
      <c r="K1481" s="2">
        <v>660.15991796268725</v>
      </c>
      <c r="L1481" s="2">
        <v>640.35512042380662</v>
      </c>
      <c r="M1481" s="2">
        <v>621.14446681109246</v>
      </c>
      <c r="N1481" s="2">
        <v>602.51013280675966</v>
      </c>
      <c r="O1481" s="2">
        <v>584.43482882255682</v>
      </c>
    </row>
    <row r="1482" spans="1:15" x14ac:dyDescent="0.25">
      <c r="A1482" t="s">
        <v>4042</v>
      </c>
      <c r="B1482" t="s">
        <v>4041</v>
      </c>
      <c r="C1482" s="2">
        <v>842.31644200000005</v>
      </c>
      <c r="D1482" s="2">
        <v>817.04694874000006</v>
      </c>
      <c r="E1482" s="2">
        <v>792.53554027780001</v>
      </c>
      <c r="F1482" s="2">
        <v>768.75947406946602</v>
      </c>
      <c r="G1482" s="2">
        <v>745.696689847382</v>
      </c>
      <c r="H1482" s="2">
        <v>723.32578915196052</v>
      </c>
      <c r="I1482" s="2">
        <v>701.62601547740167</v>
      </c>
      <c r="J1482" s="2">
        <v>680.57723501307964</v>
      </c>
      <c r="K1482" s="2">
        <v>660.15991796268725</v>
      </c>
      <c r="L1482" s="2">
        <v>640.35512042380662</v>
      </c>
      <c r="M1482" s="2">
        <v>621.14446681109246</v>
      </c>
      <c r="N1482" s="2">
        <v>602.51013280675966</v>
      </c>
      <c r="O1482" s="2">
        <v>584.43482882255682</v>
      </c>
    </row>
    <row r="1483" spans="1:15" x14ac:dyDescent="0.25">
      <c r="A1483" t="s">
        <v>4043</v>
      </c>
      <c r="B1483" t="s">
        <v>4044</v>
      </c>
      <c r="C1483" s="2">
        <v>835.82193200000006</v>
      </c>
      <c r="D1483" s="2">
        <v>810.74727404000009</v>
      </c>
      <c r="E1483" s="2">
        <v>786.4248558188001</v>
      </c>
      <c r="F1483" s="2">
        <v>762.83211014423603</v>
      </c>
      <c r="G1483" s="2">
        <v>739.9471468399089</v>
      </c>
      <c r="H1483" s="2">
        <v>717.74873243471166</v>
      </c>
      <c r="I1483" s="2">
        <v>696.21627046167032</v>
      </c>
      <c r="J1483" s="2">
        <v>675.32978234782024</v>
      </c>
      <c r="K1483" s="2">
        <v>655.06988887738567</v>
      </c>
      <c r="L1483" s="2">
        <v>635.41779221106412</v>
      </c>
      <c r="M1483" s="2">
        <v>616.35525844473216</v>
      </c>
      <c r="N1483" s="2">
        <v>597.86460069139014</v>
      </c>
      <c r="O1483" s="2">
        <v>579.92866267064846</v>
      </c>
    </row>
    <row r="1484" spans="1:15" x14ac:dyDescent="0.25">
      <c r="A1484" t="s">
        <v>4045</v>
      </c>
      <c r="B1484" t="s">
        <v>4044</v>
      </c>
      <c r="C1484" s="2">
        <v>835.82193200000006</v>
      </c>
      <c r="D1484" s="2">
        <v>810.74727404000009</v>
      </c>
      <c r="E1484" s="2">
        <v>786.4248558188001</v>
      </c>
      <c r="F1484" s="2">
        <v>762.83211014423603</v>
      </c>
      <c r="G1484" s="2">
        <v>739.9471468399089</v>
      </c>
      <c r="H1484" s="2">
        <v>717.74873243471166</v>
      </c>
      <c r="I1484" s="2">
        <v>696.21627046167032</v>
      </c>
      <c r="J1484" s="2">
        <v>675.32978234782024</v>
      </c>
      <c r="K1484" s="2">
        <v>655.06988887738567</v>
      </c>
      <c r="L1484" s="2">
        <v>635.41779221106412</v>
      </c>
      <c r="M1484" s="2">
        <v>616.35525844473216</v>
      </c>
      <c r="N1484" s="2">
        <v>597.86460069139014</v>
      </c>
      <c r="O1484" s="2">
        <v>579.92866267064846</v>
      </c>
    </row>
    <row r="1485" spans="1:15" x14ac:dyDescent="0.25">
      <c r="A1485" t="s">
        <v>4046</v>
      </c>
      <c r="B1485" t="s">
        <v>4044</v>
      </c>
      <c r="C1485" s="2">
        <v>835.82193200000006</v>
      </c>
      <c r="D1485" s="2">
        <v>810.74727404000009</v>
      </c>
      <c r="E1485" s="2">
        <v>786.4248558188001</v>
      </c>
      <c r="F1485" s="2">
        <v>762.83211014423603</v>
      </c>
      <c r="G1485" s="2">
        <v>739.9471468399089</v>
      </c>
      <c r="H1485" s="2">
        <v>717.74873243471166</v>
      </c>
      <c r="I1485" s="2">
        <v>696.21627046167032</v>
      </c>
      <c r="J1485" s="2">
        <v>675.32978234782024</v>
      </c>
      <c r="K1485" s="2">
        <v>655.06988887738567</v>
      </c>
      <c r="L1485" s="2">
        <v>635.41779221106412</v>
      </c>
      <c r="M1485" s="2">
        <v>616.35525844473216</v>
      </c>
      <c r="N1485" s="2">
        <v>597.86460069139014</v>
      </c>
      <c r="O1485" s="2">
        <v>579.92866267064846</v>
      </c>
    </row>
    <row r="1486" spans="1:15" x14ac:dyDescent="0.25">
      <c r="A1486" t="s">
        <v>4047</v>
      </c>
      <c r="B1486" t="s">
        <v>4044</v>
      </c>
      <c r="C1486" s="2">
        <v>835.82193200000006</v>
      </c>
      <c r="D1486" s="2">
        <v>810.74727404000009</v>
      </c>
      <c r="E1486" s="2">
        <v>786.4248558188001</v>
      </c>
      <c r="F1486" s="2">
        <v>762.83211014423603</v>
      </c>
      <c r="G1486" s="2">
        <v>739.9471468399089</v>
      </c>
      <c r="H1486" s="2">
        <v>717.74873243471166</v>
      </c>
      <c r="I1486" s="2">
        <v>696.21627046167032</v>
      </c>
      <c r="J1486" s="2">
        <v>675.32978234782024</v>
      </c>
      <c r="K1486" s="2">
        <v>655.06988887738567</v>
      </c>
      <c r="L1486" s="2">
        <v>635.41779221106412</v>
      </c>
      <c r="M1486" s="2">
        <v>616.35525844473216</v>
      </c>
      <c r="N1486" s="2">
        <v>597.86460069139014</v>
      </c>
      <c r="O1486" s="2">
        <v>579.92866267064846</v>
      </c>
    </row>
    <row r="1487" spans="1:15" x14ac:dyDescent="0.25">
      <c r="A1487" t="s">
        <v>4048</v>
      </c>
      <c r="B1487" t="s">
        <v>4049</v>
      </c>
      <c r="C1487" s="2">
        <v>830.93599600000005</v>
      </c>
      <c r="D1487" s="2">
        <v>806.00791612</v>
      </c>
      <c r="E1487" s="2">
        <v>781.82767863640004</v>
      </c>
      <c r="F1487" s="2">
        <v>758.37284827730798</v>
      </c>
      <c r="G1487" s="2">
        <v>735.62166282898875</v>
      </c>
      <c r="H1487" s="2">
        <v>713.55301294411902</v>
      </c>
      <c r="I1487" s="2">
        <v>692.14642255579543</v>
      </c>
      <c r="J1487" s="2">
        <v>671.38202987912155</v>
      </c>
      <c r="K1487" s="2">
        <v>651.24056898274785</v>
      </c>
      <c r="L1487" s="2">
        <v>631.70335191326535</v>
      </c>
      <c r="M1487" s="2">
        <v>612.75225135586743</v>
      </c>
      <c r="N1487" s="2">
        <v>594.36968381519137</v>
      </c>
      <c r="O1487" s="2">
        <v>576.53859330073556</v>
      </c>
    </row>
    <row r="1488" spans="1:15" x14ac:dyDescent="0.25">
      <c r="A1488" t="s">
        <v>4050</v>
      </c>
      <c r="B1488" t="s">
        <v>4049</v>
      </c>
      <c r="C1488" s="2">
        <v>830.93599600000005</v>
      </c>
      <c r="D1488" s="2">
        <v>806.00791612</v>
      </c>
      <c r="E1488" s="2">
        <v>781.82767863640004</v>
      </c>
      <c r="F1488" s="2">
        <v>758.37284827730798</v>
      </c>
      <c r="G1488" s="2">
        <v>735.62166282898875</v>
      </c>
      <c r="H1488" s="2">
        <v>713.55301294411902</v>
      </c>
      <c r="I1488" s="2">
        <v>692.14642255579543</v>
      </c>
      <c r="J1488" s="2">
        <v>671.38202987912155</v>
      </c>
      <c r="K1488" s="2">
        <v>651.24056898274785</v>
      </c>
      <c r="L1488" s="2">
        <v>631.70335191326535</v>
      </c>
      <c r="M1488" s="2">
        <v>612.75225135586743</v>
      </c>
      <c r="N1488" s="2">
        <v>594.36968381519137</v>
      </c>
      <c r="O1488" s="2">
        <v>576.53859330073556</v>
      </c>
    </row>
    <row r="1489" spans="1:15" x14ac:dyDescent="0.25">
      <c r="A1489" t="s">
        <v>4051</v>
      </c>
      <c r="B1489" t="s">
        <v>4052</v>
      </c>
      <c r="C1489" s="2">
        <v>830.93599600000005</v>
      </c>
      <c r="D1489" s="2">
        <v>806.00791612</v>
      </c>
      <c r="E1489" s="2">
        <v>781.82767863640004</v>
      </c>
      <c r="F1489" s="2">
        <v>758.37284827730798</v>
      </c>
      <c r="G1489" s="2">
        <v>735.62166282898875</v>
      </c>
      <c r="H1489" s="2">
        <v>713.55301294411902</v>
      </c>
      <c r="I1489" s="2">
        <v>692.14642255579543</v>
      </c>
      <c r="J1489" s="2">
        <v>671.38202987912155</v>
      </c>
      <c r="K1489" s="2">
        <v>651.24056898274785</v>
      </c>
      <c r="L1489" s="2">
        <v>631.70335191326535</v>
      </c>
      <c r="M1489" s="2">
        <v>612.75225135586743</v>
      </c>
      <c r="N1489" s="2">
        <v>594.36968381519137</v>
      </c>
      <c r="O1489" s="2">
        <v>576.53859330073556</v>
      </c>
    </row>
    <row r="1490" spans="1:15" x14ac:dyDescent="0.25">
      <c r="A1490" t="s">
        <v>4053</v>
      </c>
      <c r="B1490" t="s">
        <v>4054</v>
      </c>
      <c r="C1490" s="2">
        <v>830.93599600000005</v>
      </c>
      <c r="D1490" s="2">
        <v>806.00791612</v>
      </c>
      <c r="E1490" s="2">
        <v>781.82767863640004</v>
      </c>
      <c r="F1490" s="2">
        <v>758.37284827730798</v>
      </c>
      <c r="G1490" s="2">
        <v>735.62166282898875</v>
      </c>
      <c r="H1490" s="2">
        <v>713.55301294411902</v>
      </c>
      <c r="I1490" s="2">
        <v>692.14642255579543</v>
      </c>
      <c r="J1490" s="2">
        <v>671.38202987912155</v>
      </c>
      <c r="K1490" s="2">
        <v>651.24056898274785</v>
      </c>
      <c r="L1490" s="2">
        <v>631.70335191326535</v>
      </c>
      <c r="M1490" s="2">
        <v>612.75225135586743</v>
      </c>
      <c r="N1490" s="2">
        <v>594.36968381519137</v>
      </c>
      <c r="O1490" s="2">
        <v>576.53859330073556</v>
      </c>
    </row>
    <row r="1491" spans="1:15" x14ac:dyDescent="0.25">
      <c r="A1491" t="s">
        <v>4055</v>
      </c>
      <c r="B1491" t="s">
        <v>4056</v>
      </c>
      <c r="C1491" s="2">
        <v>829.85619200000019</v>
      </c>
      <c r="D1491" s="2">
        <v>804.9605062400002</v>
      </c>
      <c r="E1491" s="2">
        <v>780.81169105280014</v>
      </c>
      <c r="F1491" s="2">
        <v>757.38734032121613</v>
      </c>
      <c r="G1491" s="2">
        <v>734.66572011157962</v>
      </c>
      <c r="H1491" s="2">
        <v>712.62574850823216</v>
      </c>
      <c r="I1491" s="2">
        <v>691.24697605298513</v>
      </c>
      <c r="J1491" s="2">
        <v>670.50956677139561</v>
      </c>
      <c r="K1491" s="2">
        <v>650.39427976825368</v>
      </c>
      <c r="L1491" s="2">
        <v>630.88245137520607</v>
      </c>
      <c r="M1491" s="2">
        <v>611.95597783394987</v>
      </c>
      <c r="N1491" s="2">
        <v>593.59729849893131</v>
      </c>
      <c r="O1491" s="2">
        <v>575.78937954396338</v>
      </c>
    </row>
    <row r="1492" spans="1:15" x14ac:dyDescent="0.25">
      <c r="A1492" t="s">
        <v>4057</v>
      </c>
      <c r="B1492" t="s">
        <v>4058</v>
      </c>
      <c r="C1492" s="2">
        <v>829.85619200000019</v>
      </c>
      <c r="D1492" s="2">
        <v>804.9605062400002</v>
      </c>
      <c r="E1492" s="2">
        <v>780.81169105280014</v>
      </c>
      <c r="F1492" s="2">
        <v>757.38734032121613</v>
      </c>
      <c r="G1492" s="2">
        <v>734.66572011157962</v>
      </c>
      <c r="H1492" s="2">
        <v>712.62574850823216</v>
      </c>
      <c r="I1492" s="2">
        <v>691.24697605298513</v>
      </c>
      <c r="J1492" s="2">
        <v>670.50956677139561</v>
      </c>
      <c r="K1492" s="2">
        <v>650.39427976825368</v>
      </c>
      <c r="L1492" s="2">
        <v>630.88245137520607</v>
      </c>
      <c r="M1492" s="2">
        <v>611.95597783394987</v>
      </c>
      <c r="N1492" s="2">
        <v>593.59729849893131</v>
      </c>
      <c r="O1492" s="2">
        <v>575.78937954396338</v>
      </c>
    </row>
    <row r="1493" spans="1:15" x14ac:dyDescent="0.25">
      <c r="A1493" t="s">
        <v>4059</v>
      </c>
      <c r="B1493" t="s">
        <v>4060</v>
      </c>
      <c r="C1493" s="2">
        <v>826.94972800000016</v>
      </c>
      <c r="D1493" s="2">
        <v>802.14123616000018</v>
      </c>
      <c r="E1493" s="2">
        <v>778.07699907520021</v>
      </c>
      <c r="F1493" s="2">
        <v>754.73468910294423</v>
      </c>
      <c r="G1493" s="2">
        <v>732.0926484298559</v>
      </c>
      <c r="H1493" s="2">
        <v>710.12986897696021</v>
      </c>
      <c r="I1493" s="2">
        <v>688.82597290765136</v>
      </c>
      <c r="J1493" s="2">
        <v>668.16119372042181</v>
      </c>
      <c r="K1493" s="2">
        <v>648.11635790880916</v>
      </c>
      <c r="L1493" s="2">
        <v>628.67286717154491</v>
      </c>
      <c r="M1493" s="2">
        <v>609.81268115639853</v>
      </c>
      <c r="N1493" s="2">
        <v>591.51830072170651</v>
      </c>
      <c r="O1493" s="2">
        <v>573.77275170005532</v>
      </c>
    </row>
    <row r="1494" spans="1:15" x14ac:dyDescent="0.25">
      <c r="A1494" t="s">
        <v>4061</v>
      </c>
      <c r="B1494" t="s">
        <v>4060</v>
      </c>
      <c r="C1494" s="2">
        <v>826.94972800000016</v>
      </c>
      <c r="D1494" s="2">
        <v>802.14123616000018</v>
      </c>
      <c r="E1494" s="2">
        <v>778.07699907520021</v>
      </c>
      <c r="F1494" s="2">
        <v>754.73468910294423</v>
      </c>
      <c r="G1494" s="2">
        <v>732.0926484298559</v>
      </c>
      <c r="H1494" s="2">
        <v>710.12986897696021</v>
      </c>
      <c r="I1494" s="2">
        <v>688.82597290765136</v>
      </c>
      <c r="J1494" s="2">
        <v>668.16119372042181</v>
      </c>
      <c r="K1494" s="2">
        <v>648.11635790880916</v>
      </c>
      <c r="L1494" s="2">
        <v>628.67286717154491</v>
      </c>
      <c r="M1494" s="2">
        <v>609.81268115639853</v>
      </c>
      <c r="N1494" s="2">
        <v>591.51830072170651</v>
      </c>
      <c r="O1494" s="2">
        <v>573.77275170005532</v>
      </c>
    </row>
    <row r="1495" spans="1:15" x14ac:dyDescent="0.25">
      <c r="A1495" t="s">
        <v>4062</v>
      </c>
      <c r="B1495" t="s">
        <v>4063</v>
      </c>
      <c r="C1495" s="2">
        <v>824.84577999999999</v>
      </c>
      <c r="D1495" s="2">
        <v>800.10040659999993</v>
      </c>
      <c r="E1495" s="2">
        <v>776.09739440199996</v>
      </c>
      <c r="F1495" s="2">
        <v>752.81447256993999</v>
      </c>
      <c r="G1495" s="2">
        <v>730.23003839284172</v>
      </c>
      <c r="H1495" s="2">
        <v>708.32313724105643</v>
      </c>
      <c r="I1495" s="2">
        <v>687.07344312382475</v>
      </c>
      <c r="J1495" s="2">
        <v>666.46123983011</v>
      </c>
      <c r="K1495" s="2">
        <v>646.46740263520667</v>
      </c>
      <c r="L1495" s="2">
        <v>627.07338055615048</v>
      </c>
      <c r="M1495" s="2">
        <v>608.26117913946598</v>
      </c>
      <c r="N1495" s="2">
        <v>590.013343765282</v>
      </c>
      <c r="O1495" s="2">
        <v>572.31294345232357</v>
      </c>
    </row>
    <row r="1496" spans="1:15" x14ac:dyDescent="0.25">
      <c r="A1496" t="s">
        <v>4064</v>
      </c>
      <c r="B1496" t="s">
        <v>4063</v>
      </c>
      <c r="C1496" s="2">
        <v>824.84577999999999</v>
      </c>
      <c r="D1496" s="2">
        <v>800.10040659999993</v>
      </c>
      <c r="E1496" s="2">
        <v>776.09739440199996</v>
      </c>
      <c r="F1496" s="2">
        <v>752.81447256993999</v>
      </c>
      <c r="G1496" s="2">
        <v>730.23003839284172</v>
      </c>
      <c r="H1496" s="2">
        <v>708.32313724105643</v>
      </c>
      <c r="I1496" s="2">
        <v>687.07344312382475</v>
      </c>
      <c r="J1496" s="2">
        <v>666.46123983011</v>
      </c>
      <c r="K1496" s="2">
        <v>646.46740263520667</v>
      </c>
      <c r="L1496" s="2">
        <v>627.07338055615048</v>
      </c>
      <c r="M1496" s="2">
        <v>608.26117913946598</v>
      </c>
      <c r="N1496" s="2">
        <v>590.013343765282</v>
      </c>
      <c r="O1496" s="2">
        <v>572.31294345232357</v>
      </c>
    </row>
    <row r="1497" spans="1:15" x14ac:dyDescent="0.25">
      <c r="A1497" t="s">
        <v>4065</v>
      </c>
      <c r="B1497" t="s">
        <v>4063</v>
      </c>
      <c r="C1497" s="2">
        <v>824.84577999999999</v>
      </c>
      <c r="D1497" s="2">
        <v>800.10040659999993</v>
      </c>
      <c r="E1497" s="2">
        <v>776.09739440199996</v>
      </c>
      <c r="F1497" s="2">
        <v>752.81447256993999</v>
      </c>
      <c r="G1497" s="2">
        <v>730.23003839284172</v>
      </c>
      <c r="H1497" s="2">
        <v>708.32313724105643</v>
      </c>
      <c r="I1497" s="2">
        <v>687.07344312382475</v>
      </c>
      <c r="J1497" s="2">
        <v>666.46123983011</v>
      </c>
      <c r="K1497" s="2">
        <v>646.46740263520667</v>
      </c>
      <c r="L1497" s="2">
        <v>627.07338055615048</v>
      </c>
      <c r="M1497" s="2">
        <v>608.26117913946598</v>
      </c>
      <c r="N1497" s="2">
        <v>590.013343765282</v>
      </c>
      <c r="O1497" s="2">
        <v>572.31294345232357</v>
      </c>
    </row>
    <row r="1498" spans="1:15" x14ac:dyDescent="0.25">
      <c r="A1498" t="s">
        <v>4066</v>
      </c>
      <c r="B1498" t="s">
        <v>4067</v>
      </c>
      <c r="C1498" s="2">
        <v>822.95840000000021</v>
      </c>
      <c r="D1498" s="2">
        <v>798.26964800000019</v>
      </c>
      <c r="E1498" s="2">
        <v>774.3215585600002</v>
      </c>
      <c r="F1498" s="2">
        <v>751.09191180320022</v>
      </c>
      <c r="G1498" s="2">
        <v>728.5591544491042</v>
      </c>
      <c r="H1498" s="2">
        <v>706.70237981563105</v>
      </c>
      <c r="I1498" s="2">
        <v>685.50130842116209</v>
      </c>
      <c r="J1498" s="2">
        <v>664.93626916852725</v>
      </c>
      <c r="K1498" s="2">
        <v>644.98818109347144</v>
      </c>
      <c r="L1498" s="2">
        <v>625.63853566066723</v>
      </c>
      <c r="M1498" s="2">
        <v>606.86937959084719</v>
      </c>
      <c r="N1498" s="2">
        <v>588.66329820312171</v>
      </c>
      <c r="O1498" s="2">
        <v>571.00339925702804</v>
      </c>
    </row>
    <row r="1499" spans="1:15" x14ac:dyDescent="0.25">
      <c r="A1499" t="s">
        <v>4068</v>
      </c>
      <c r="B1499" t="s">
        <v>4069</v>
      </c>
      <c r="C1499" s="2">
        <v>816.31259600000021</v>
      </c>
      <c r="D1499" s="2">
        <v>791.82321812000021</v>
      </c>
      <c r="E1499" s="2">
        <v>768.06852157640014</v>
      </c>
      <c r="F1499" s="2">
        <v>745.0264659291081</v>
      </c>
      <c r="G1499" s="2">
        <v>722.67567195123479</v>
      </c>
      <c r="H1499" s="2">
        <v>700.99540179269775</v>
      </c>
      <c r="I1499" s="2">
        <v>679.96553973891685</v>
      </c>
      <c r="J1499" s="2">
        <v>659.56657354674928</v>
      </c>
      <c r="K1499" s="2">
        <v>639.77957634034681</v>
      </c>
      <c r="L1499" s="2">
        <v>620.58618905013634</v>
      </c>
      <c r="M1499" s="2">
        <v>601.96860337863222</v>
      </c>
      <c r="N1499" s="2">
        <v>583.9095452772732</v>
      </c>
      <c r="O1499" s="2">
        <v>566.39225891895501</v>
      </c>
    </row>
    <row r="1500" spans="1:15" x14ac:dyDescent="0.25">
      <c r="A1500" t="s">
        <v>4070</v>
      </c>
      <c r="B1500" t="s">
        <v>4069</v>
      </c>
      <c r="C1500" s="2">
        <v>816.31259600000021</v>
      </c>
      <c r="D1500" s="2">
        <v>791.82321812000021</v>
      </c>
      <c r="E1500" s="2">
        <v>768.06852157640014</v>
      </c>
      <c r="F1500" s="2">
        <v>745.0264659291081</v>
      </c>
      <c r="G1500" s="2">
        <v>722.67567195123479</v>
      </c>
      <c r="H1500" s="2">
        <v>700.99540179269775</v>
      </c>
      <c r="I1500" s="2">
        <v>679.96553973891685</v>
      </c>
      <c r="J1500" s="2">
        <v>659.56657354674928</v>
      </c>
      <c r="K1500" s="2">
        <v>639.77957634034681</v>
      </c>
      <c r="L1500" s="2">
        <v>620.58618905013634</v>
      </c>
      <c r="M1500" s="2">
        <v>601.96860337863222</v>
      </c>
      <c r="N1500" s="2">
        <v>583.9095452772732</v>
      </c>
      <c r="O1500" s="2">
        <v>566.39225891895501</v>
      </c>
    </row>
    <row r="1501" spans="1:15" x14ac:dyDescent="0.25">
      <c r="A1501" t="s">
        <v>4071</v>
      </c>
      <c r="B1501" t="s">
        <v>4069</v>
      </c>
      <c r="C1501" s="2">
        <v>816.31259600000021</v>
      </c>
      <c r="D1501" s="2">
        <v>791.82321812000021</v>
      </c>
      <c r="E1501" s="2">
        <v>768.06852157640014</v>
      </c>
      <c r="F1501" s="2">
        <v>745.0264659291081</v>
      </c>
      <c r="G1501" s="2">
        <v>722.67567195123479</v>
      </c>
      <c r="H1501" s="2">
        <v>700.99540179269775</v>
      </c>
      <c r="I1501" s="2">
        <v>679.96553973891685</v>
      </c>
      <c r="J1501" s="2">
        <v>659.56657354674928</v>
      </c>
      <c r="K1501" s="2">
        <v>639.77957634034681</v>
      </c>
      <c r="L1501" s="2">
        <v>620.58618905013634</v>
      </c>
      <c r="M1501" s="2">
        <v>601.96860337863222</v>
      </c>
      <c r="N1501" s="2">
        <v>583.9095452772732</v>
      </c>
      <c r="O1501" s="2">
        <v>566.39225891895501</v>
      </c>
    </row>
    <row r="1502" spans="1:15" x14ac:dyDescent="0.25">
      <c r="A1502" t="s">
        <v>1156</v>
      </c>
      <c r="B1502" t="s">
        <v>4072</v>
      </c>
      <c r="C1502" s="2">
        <v>811.18681600000014</v>
      </c>
      <c r="D1502" s="2">
        <v>786.85121152000011</v>
      </c>
      <c r="E1502" s="2">
        <v>763.24567517440005</v>
      </c>
      <c r="F1502" s="2">
        <v>740.34830491916807</v>
      </c>
      <c r="G1502" s="2">
        <v>718.13785577159297</v>
      </c>
      <c r="H1502" s="2">
        <v>696.59372009844515</v>
      </c>
      <c r="I1502" s="2">
        <v>675.69590849549172</v>
      </c>
      <c r="J1502" s="2">
        <v>655.42503124062694</v>
      </c>
      <c r="K1502" s="2">
        <v>635.76228030340815</v>
      </c>
      <c r="L1502" s="2">
        <v>616.68941189430586</v>
      </c>
      <c r="M1502" s="2">
        <v>598.18872953747666</v>
      </c>
      <c r="N1502" s="2">
        <v>580.24306765135236</v>
      </c>
      <c r="O1502" s="2">
        <v>562.83577562181176</v>
      </c>
    </row>
    <row r="1503" spans="1:15" x14ac:dyDescent="0.25">
      <c r="A1503" t="s">
        <v>4073</v>
      </c>
      <c r="B1503" t="s">
        <v>4074</v>
      </c>
      <c r="C1503" s="2">
        <v>807.38979200000006</v>
      </c>
      <c r="D1503" s="2">
        <v>783.16809824000006</v>
      </c>
      <c r="E1503" s="2">
        <v>759.67305529280009</v>
      </c>
      <c r="F1503" s="2">
        <v>736.88286363401608</v>
      </c>
      <c r="G1503" s="2">
        <v>714.77637772499554</v>
      </c>
      <c r="H1503" s="2">
        <v>693.33308639324571</v>
      </c>
      <c r="I1503" s="2">
        <v>672.53309380144833</v>
      </c>
      <c r="J1503" s="2">
        <v>652.35710098740492</v>
      </c>
      <c r="K1503" s="2">
        <v>632.78638795778272</v>
      </c>
      <c r="L1503" s="2">
        <v>613.80279631904921</v>
      </c>
      <c r="M1503" s="2">
        <v>595.38871242947766</v>
      </c>
      <c r="N1503" s="2">
        <v>577.52705105659334</v>
      </c>
      <c r="O1503" s="2">
        <v>560.20123952489553</v>
      </c>
    </row>
    <row r="1504" spans="1:15" x14ac:dyDescent="0.25">
      <c r="A1504" t="s">
        <v>4075</v>
      </c>
      <c r="B1504" t="s">
        <v>4041</v>
      </c>
      <c r="C1504" s="2">
        <v>805.03537400000016</v>
      </c>
      <c r="D1504" s="2">
        <v>780.88431278000019</v>
      </c>
      <c r="E1504" s="2">
        <v>757.45778339660012</v>
      </c>
      <c r="F1504" s="2">
        <v>734.73404989470214</v>
      </c>
      <c r="G1504" s="2">
        <v>712.69202839786101</v>
      </c>
      <c r="H1504" s="2">
        <v>691.31126754592515</v>
      </c>
      <c r="I1504" s="2">
        <v>670.57192951954733</v>
      </c>
      <c r="J1504" s="2">
        <v>650.45477163396083</v>
      </c>
      <c r="K1504" s="2">
        <v>630.94112848494194</v>
      </c>
      <c r="L1504" s="2">
        <v>612.0128946303937</v>
      </c>
      <c r="M1504" s="2">
        <v>593.65250779148187</v>
      </c>
      <c r="N1504" s="2">
        <v>575.84293255773741</v>
      </c>
      <c r="O1504" s="2">
        <v>558.56764458100531</v>
      </c>
    </row>
    <row r="1505" spans="1:15" x14ac:dyDescent="0.25">
      <c r="A1505" t="s">
        <v>4076</v>
      </c>
      <c r="B1505" t="s">
        <v>4041</v>
      </c>
      <c r="C1505" s="2">
        <v>805.03537400000016</v>
      </c>
      <c r="D1505" s="2">
        <v>780.88431278000019</v>
      </c>
      <c r="E1505" s="2">
        <v>757.45778339660012</v>
      </c>
      <c r="F1505" s="2">
        <v>734.73404989470214</v>
      </c>
      <c r="G1505" s="2">
        <v>712.69202839786101</v>
      </c>
      <c r="H1505" s="2">
        <v>691.31126754592515</v>
      </c>
      <c r="I1505" s="2">
        <v>670.57192951954733</v>
      </c>
      <c r="J1505" s="2">
        <v>650.45477163396083</v>
      </c>
      <c r="K1505" s="2">
        <v>630.94112848494194</v>
      </c>
      <c r="L1505" s="2">
        <v>612.0128946303937</v>
      </c>
      <c r="M1505" s="2">
        <v>593.65250779148187</v>
      </c>
      <c r="N1505" s="2">
        <v>575.84293255773741</v>
      </c>
      <c r="O1505" s="2">
        <v>558.56764458100531</v>
      </c>
    </row>
    <row r="1506" spans="1:15" x14ac:dyDescent="0.25">
      <c r="A1506" t="s">
        <v>4077</v>
      </c>
      <c r="B1506" t="s">
        <v>4041</v>
      </c>
      <c r="C1506" s="2">
        <v>805.03537400000016</v>
      </c>
      <c r="D1506" s="2">
        <v>780.88431278000019</v>
      </c>
      <c r="E1506" s="2">
        <v>757.45778339660012</v>
      </c>
      <c r="F1506" s="2">
        <v>734.73404989470214</v>
      </c>
      <c r="G1506" s="2">
        <v>712.69202839786101</v>
      </c>
      <c r="H1506" s="2">
        <v>691.31126754592515</v>
      </c>
      <c r="I1506" s="2">
        <v>670.57192951954733</v>
      </c>
      <c r="J1506" s="2">
        <v>650.45477163396083</v>
      </c>
      <c r="K1506" s="2">
        <v>630.94112848494194</v>
      </c>
      <c r="L1506" s="2">
        <v>612.0128946303937</v>
      </c>
      <c r="M1506" s="2">
        <v>593.65250779148187</v>
      </c>
      <c r="N1506" s="2">
        <v>575.84293255773741</v>
      </c>
      <c r="O1506" s="2">
        <v>558.56764458100531</v>
      </c>
    </row>
    <row r="1507" spans="1:15" x14ac:dyDescent="0.25">
      <c r="A1507" t="s">
        <v>4078</v>
      </c>
      <c r="B1507" t="s">
        <v>4079</v>
      </c>
      <c r="C1507" s="2">
        <v>798.50038400000005</v>
      </c>
      <c r="D1507" s="2">
        <v>774.54537248000008</v>
      </c>
      <c r="E1507" s="2">
        <v>751.30901130560005</v>
      </c>
      <c r="F1507" s="2">
        <v>728.76974096643198</v>
      </c>
      <c r="G1507" s="2">
        <v>706.90664873743901</v>
      </c>
      <c r="H1507" s="2">
        <v>685.69944927531583</v>
      </c>
      <c r="I1507" s="2">
        <v>665.12846579705638</v>
      </c>
      <c r="J1507" s="2">
        <v>645.17461182314469</v>
      </c>
      <c r="K1507" s="2">
        <v>625.81937346845029</v>
      </c>
      <c r="L1507" s="2">
        <v>607.04479226439673</v>
      </c>
      <c r="M1507" s="2">
        <v>588.83344849646483</v>
      </c>
      <c r="N1507" s="2">
        <v>571.16844504157086</v>
      </c>
      <c r="O1507" s="2">
        <v>554.0333916903237</v>
      </c>
    </row>
    <row r="1508" spans="1:15" x14ac:dyDescent="0.25">
      <c r="A1508" t="s">
        <v>4080</v>
      </c>
      <c r="B1508" t="s">
        <v>4081</v>
      </c>
      <c r="C1508" s="2">
        <v>796.73545600000011</v>
      </c>
      <c r="D1508" s="2">
        <v>772.83339232000014</v>
      </c>
      <c r="E1508" s="2">
        <v>749.64839055040011</v>
      </c>
      <c r="F1508" s="2">
        <v>727.1589388338881</v>
      </c>
      <c r="G1508" s="2">
        <v>705.34417066887147</v>
      </c>
      <c r="H1508" s="2">
        <v>684.18384554880527</v>
      </c>
      <c r="I1508" s="2">
        <v>663.65833018234105</v>
      </c>
      <c r="J1508" s="2">
        <v>643.74858027687083</v>
      </c>
      <c r="K1508" s="2">
        <v>624.43612286856467</v>
      </c>
      <c r="L1508" s="2">
        <v>605.70303918250772</v>
      </c>
      <c r="M1508" s="2">
        <v>587.5319480070325</v>
      </c>
      <c r="N1508" s="2">
        <v>569.90598956682152</v>
      </c>
      <c r="O1508" s="2">
        <v>552.80880987981686</v>
      </c>
    </row>
    <row r="1509" spans="1:15" x14ac:dyDescent="0.25">
      <c r="A1509" t="s">
        <v>4082</v>
      </c>
      <c r="B1509" t="s">
        <v>4083</v>
      </c>
      <c r="C1509" s="2">
        <v>796.73545600000011</v>
      </c>
      <c r="D1509" s="2">
        <v>772.83339232000014</v>
      </c>
      <c r="E1509" s="2">
        <v>749.64839055040011</v>
      </c>
      <c r="F1509" s="2">
        <v>727.1589388338881</v>
      </c>
      <c r="G1509" s="2">
        <v>705.34417066887147</v>
      </c>
      <c r="H1509" s="2">
        <v>684.18384554880527</v>
      </c>
      <c r="I1509" s="2">
        <v>663.65833018234105</v>
      </c>
      <c r="J1509" s="2">
        <v>643.74858027687083</v>
      </c>
      <c r="K1509" s="2">
        <v>624.43612286856467</v>
      </c>
      <c r="L1509" s="2">
        <v>605.70303918250772</v>
      </c>
      <c r="M1509" s="2">
        <v>587.5319480070325</v>
      </c>
      <c r="N1509" s="2">
        <v>569.90598956682152</v>
      </c>
      <c r="O1509" s="2">
        <v>552.80880987981686</v>
      </c>
    </row>
    <row r="1510" spans="1:15" x14ac:dyDescent="0.25">
      <c r="A1510" t="s">
        <v>4084</v>
      </c>
      <c r="B1510" t="s">
        <v>4085</v>
      </c>
      <c r="C1510" s="2">
        <v>795.71536000000026</v>
      </c>
      <c r="D1510" s="2">
        <v>771.84389920000024</v>
      </c>
      <c r="E1510" s="2">
        <v>748.68858222400024</v>
      </c>
      <c r="F1510" s="2">
        <v>726.22792475728022</v>
      </c>
      <c r="G1510" s="2">
        <v>704.44108701456184</v>
      </c>
      <c r="H1510" s="2">
        <v>683.30785440412501</v>
      </c>
      <c r="I1510" s="2">
        <v>662.8086187720013</v>
      </c>
      <c r="J1510" s="2">
        <v>642.92436020884122</v>
      </c>
      <c r="K1510" s="2">
        <v>623.63662940257598</v>
      </c>
      <c r="L1510" s="2">
        <v>604.92753052049864</v>
      </c>
      <c r="M1510" s="2">
        <v>586.7797046048837</v>
      </c>
      <c r="N1510" s="2">
        <v>569.17631346673716</v>
      </c>
      <c r="O1510" s="2">
        <v>552.10102406273506</v>
      </c>
    </row>
    <row r="1511" spans="1:15" x14ac:dyDescent="0.25">
      <c r="A1511" t="s">
        <v>4086</v>
      </c>
      <c r="B1511" t="s">
        <v>4087</v>
      </c>
      <c r="C1511" s="2">
        <v>795.71536000000026</v>
      </c>
      <c r="D1511" s="2">
        <v>771.84389920000024</v>
      </c>
      <c r="E1511" s="2">
        <v>748.68858222400024</v>
      </c>
      <c r="F1511" s="2">
        <v>726.22792475728022</v>
      </c>
      <c r="G1511" s="2">
        <v>704.44108701456184</v>
      </c>
      <c r="H1511" s="2">
        <v>683.30785440412501</v>
      </c>
      <c r="I1511" s="2">
        <v>662.8086187720013</v>
      </c>
      <c r="J1511" s="2">
        <v>642.92436020884122</v>
      </c>
      <c r="K1511" s="2">
        <v>623.63662940257598</v>
      </c>
      <c r="L1511" s="2">
        <v>604.92753052049864</v>
      </c>
      <c r="M1511" s="2">
        <v>586.7797046048837</v>
      </c>
      <c r="N1511" s="2">
        <v>569.17631346673716</v>
      </c>
      <c r="O1511" s="2">
        <v>552.10102406273506</v>
      </c>
    </row>
    <row r="1512" spans="1:15" x14ac:dyDescent="0.25">
      <c r="A1512" t="s">
        <v>4088</v>
      </c>
      <c r="B1512" t="s">
        <v>4089</v>
      </c>
      <c r="C1512" s="2">
        <v>794.26567000000011</v>
      </c>
      <c r="D1512" s="2">
        <v>770.4376999000001</v>
      </c>
      <c r="E1512" s="2">
        <v>747.32456890300011</v>
      </c>
      <c r="F1512" s="2">
        <v>724.90483183591004</v>
      </c>
      <c r="G1512" s="2">
        <v>703.15768688083267</v>
      </c>
      <c r="H1512" s="2">
        <v>682.06295627440772</v>
      </c>
      <c r="I1512" s="2">
        <v>661.60106758617553</v>
      </c>
      <c r="J1512" s="2">
        <v>641.75303555859023</v>
      </c>
      <c r="K1512" s="2">
        <v>622.50044449183247</v>
      </c>
      <c r="L1512" s="2">
        <v>603.82543115707745</v>
      </c>
      <c r="M1512" s="2">
        <v>585.71066822236514</v>
      </c>
      <c r="N1512" s="2">
        <v>568.13934817569418</v>
      </c>
      <c r="O1512" s="2">
        <v>551.09516773042333</v>
      </c>
    </row>
    <row r="1513" spans="1:15" x14ac:dyDescent="0.25">
      <c r="A1513" t="s">
        <v>4090</v>
      </c>
      <c r="B1513" t="s">
        <v>4091</v>
      </c>
      <c r="C1513" s="2">
        <v>793.0011760000001</v>
      </c>
      <c r="D1513" s="2">
        <v>769.21114072000012</v>
      </c>
      <c r="E1513" s="2">
        <v>746.13480649840005</v>
      </c>
      <c r="F1513" s="2">
        <v>723.75076230344803</v>
      </c>
      <c r="G1513" s="2">
        <v>702.03823943434452</v>
      </c>
      <c r="H1513" s="2">
        <v>680.97709225131416</v>
      </c>
      <c r="I1513" s="2">
        <v>660.54777948377478</v>
      </c>
      <c r="J1513" s="2">
        <v>640.73134609926149</v>
      </c>
      <c r="K1513" s="2">
        <v>621.5094057162836</v>
      </c>
      <c r="L1513" s="2">
        <v>602.86412354479512</v>
      </c>
      <c r="M1513" s="2">
        <v>584.7781998384512</v>
      </c>
      <c r="N1513" s="2">
        <v>567.23485384329763</v>
      </c>
      <c r="O1513" s="2">
        <v>550.21780822799872</v>
      </c>
    </row>
    <row r="1514" spans="1:15" x14ac:dyDescent="0.25">
      <c r="A1514" t="s">
        <v>4092</v>
      </c>
      <c r="B1514" t="s">
        <v>4091</v>
      </c>
      <c r="C1514" s="2">
        <v>793.0011760000001</v>
      </c>
      <c r="D1514" s="2">
        <v>769.21114072000012</v>
      </c>
      <c r="E1514" s="2">
        <v>746.13480649840005</v>
      </c>
      <c r="F1514" s="2">
        <v>723.75076230344803</v>
      </c>
      <c r="G1514" s="2">
        <v>702.03823943434452</v>
      </c>
      <c r="H1514" s="2">
        <v>680.97709225131416</v>
      </c>
      <c r="I1514" s="2">
        <v>660.54777948377478</v>
      </c>
      <c r="J1514" s="2">
        <v>640.73134609926149</v>
      </c>
      <c r="K1514" s="2">
        <v>621.5094057162836</v>
      </c>
      <c r="L1514" s="2">
        <v>602.86412354479512</v>
      </c>
      <c r="M1514" s="2">
        <v>584.7781998384512</v>
      </c>
      <c r="N1514" s="2">
        <v>567.23485384329763</v>
      </c>
      <c r="O1514" s="2">
        <v>550.21780822799872</v>
      </c>
    </row>
    <row r="1515" spans="1:15" x14ac:dyDescent="0.25">
      <c r="A1515" t="s">
        <v>4093</v>
      </c>
      <c r="B1515" t="s">
        <v>4091</v>
      </c>
      <c r="C1515" s="2">
        <v>793.0011760000001</v>
      </c>
      <c r="D1515" s="2">
        <v>769.21114072000012</v>
      </c>
      <c r="E1515" s="2">
        <v>746.13480649840005</v>
      </c>
      <c r="F1515" s="2">
        <v>723.75076230344803</v>
      </c>
      <c r="G1515" s="2">
        <v>702.03823943434452</v>
      </c>
      <c r="H1515" s="2">
        <v>680.97709225131416</v>
      </c>
      <c r="I1515" s="2">
        <v>660.54777948377478</v>
      </c>
      <c r="J1515" s="2">
        <v>640.73134609926149</v>
      </c>
      <c r="K1515" s="2">
        <v>621.5094057162836</v>
      </c>
      <c r="L1515" s="2">
        <v>602.86412354479512</v>
      </c>
      <c r="M1515" s="2">
        <v>584.7781998384512</v>
      </c>
      <c r="N1515" s="2">
        <v>567.23485384329763</v>
      </c>
      <c r="O1515" s="2">
        <v>550.21780822799872</v>
      </c>
    </row>
    <row r="1516" spans="1:15" x14ac:dyDescent="0.25">
      <c r="A1516" t="s">
        <v>4094</v>
      </c>
      <c r="B1516" t="s">
        <v>4095</v>
      </c>
      <c r="C1516" s="2">
        <v>789.64336000000026</v>
      </c>
      <c r="D1516" s="2">
        <v>765.95405920000019</v>
      </c>
      <c r="E1516" s="2">
        <v>742.97543742400012</v>
      </c>
      <c r="F1516" s="2">
        <v>720.68617430128006</v>
      </c>
      <c r="G1516" s="2">
        <v>699.06558907224166</v>
      </c>
      <c r="H1516" s="2">
        <v>678.09362140007443</v>
      </c>
      <c r="I1516" s="2">
        <v>657.75081275807213</v>
      </c>
      <c r="J1516" s="2">
        <v>638.01828837532992</v>
      </c>
      <c r="K1516" s="2">
        <v>618.87773972407001</v>
      </c>
      <c r="L1516" s="2">
        <v>600.31140753234786</v>
      </c>
      <c r="M1516" s="2">
        <v>582.30206530637736</v>
      </c>
      <c r="N1516" s="2">
        <v>564.83300334718604</v>
      </c>
      <c r="O1516" s="2">
        <v>547.88801324677047</v>
      </c>
    </row>
    <row r="1517" spans="1:15" x14ac:dyDescent="0.25">
      <c r="A1517" t="s">
        <v>4096</v>
      </c>
      <c r="B1517" t="s">
        <v>4097</v>
      </c>
      <c r="C1517" s="2">
        <v>789.64336000000026</v>
      </c>
      <c r="D1517" s="2">
        <v>765.95405920000019</v>
      </c>
      <c r="E1517" s="2">
        <v>742.97543742400012</v>
      </c>
      <c r="F1517" s="2">
        <v>720.68617430128006</v>
      </c>
      <c r="G1517" s="2">
        <v>699.06558907224166</v>
      </c>
      <c r="H1517" s="2">
        <v>678.09362140007443</v>
      </c>
      <c r="I1517" s="2">
        <v>657.75081275807213</v>
      </c>
      <c r="J1517" s="2">
        <v>638.01828837532992</v>
      </c>
      <c r="K1517" s="2">
        <v>618.87773972407001</v>
      </c>
      <c r="L1517" s="2">
        <v>600.31140753234786</v>
      </c>
      <c r="M1517" s="2">
        <v>582.30206530637736</v>
      </c>
      <c r="N1517" s="2">
        <v>564.83300334718604</v>
      </c>
      <c r="O1517" s="2">
        <v>547.88801324677047</v>
      </c>
    </row>
    <row r="1518" spans="1:15" x14ac:dyDescent="0.25">
      <c r="A1518" t="s">
        <v>4098</v>
      </c>
      <c r="B1518" t="s">
        <v>4099</v>
      </c>
      <c r="C1518" s="2">
        <v>789.00377600000002</v>
      </c>
      <c r="D1518" s="2">
        <v>765.33366272000001</v>
      </c>
      <c r="E1518" s="2">
        <v>742.37365283839995</v>
      </c>
      <c r="F1518" s="2">
        <v>720.10244325324788</v>
      </c>
      <c r="G1518" s="2">
        <v>698.49936995565042</v>
      </c>
      <c r="H1518" s="2">
        <v>677.54438885698085</v>
      </c>
      <c r="I1518" s="2">
        <v>657.21805719127144</v>
      </c>
      <c r="J1518" s="2">
        <v>637.50151547553332</v>
      </c>
      <c r="K1518" s="2">
        <v>618.37647001126732</v>
      </c>
      <c r="L1518" s="2">
        <v>599.82517591092926</v>
      </c>
      <c r="M1518" s="2">
        <v>581.83042063360142</v>
      </c>
      <c r="N1518" s="2">
        <v>564.37550801459338</v>
      </c>
      <c r="O1518" s="2">
        <v>547.44424277415555</v>
      </c>
    </row>
    <row r="1519" spans="1:15" x14ac:dyDescent="0.25">
      <c r="A1519" t="s">
        <v>4100</v>
      </c>
      <c r="B1519" t="s">
        <v>4101</v>
      </c>
      <c r="C1519" s="2">
        <v>786.70451200000025</v>
      </c>
      <c r="D1519" s="2">
        <v>763.10337664000019</v>
      </c>
      <c r="E1519" s="2">
        <v>740.21027534080019</v>
      </c>
      <c r="F1519" s="2">
        <v>718.00396708057622</v>
      </c>
      <c r="G1519" s="2">
        <v>696.46384806815888</v>
      </c>
      <c r="H1519" s="2">
        <v>675.56993262611411</v>
      </c>
      <c r="I1519" s="2">
        <v>655.30283464733066</v>
      </c>
      <c r="J1519" s="2">
        <v>635.64374960791076</v>
      </c>
      <c r="K1519" s="2">
        <v>616.57443711967346</v>
      </c>
      <c r="L1519" s="2">
        <v>598.07720400608321</v>
      </c>
      <c r="M1519" s="2">
        <v>580.13488788590064</v>
      </c>
      <c r="N1519" s="2">
        <v>562.73084124932359</v>
      </c>
      <c r="O1519" s="2">
        <v>545.84891601184381</v>
      </c>
    </row>
    <row r="1520" spans="1:15" x14ac:dyDescent="0.25">
      <c r="A1520" t="s">
        <v>4102</v>
      </c>
      <c r="B1520" t="s">
        <v>4103</v>
      </c>
      <c r="C1520" s="2">
        <v>785.93033200000002</v>
      </c>
      <c r="D1520" s="2">
        <v>762.35242203999996</v>
      </c>
      <c r="E1520" s="2">
        <v>739.48184937879989</v>
      </c>
      <c r="F1520" s="2">
        <v>717.29739389743588</v>
      </c>
      <c r="G1520" s="2">
        <v>695.77847208051276</v>
      </c>
      <c r="H1520" s="2">
        <v>674.9051179180974</v>
      </c>
      <c r="I1520" s="2">
        <v>654.65796438055452</v>
      </c>
      <c r="J1520" s="2">
        <v>635.01822544913784</v>
      </c>
      <c r="K1520" s="2">
        <v>615.96767868566371</v>
      </c>
      <c r="L1520" s="2">
        <v>597.48864832509378</v>
      </c>
      <c r="M1520" s="2">
        <v>579.5639888753409</v>
      </c>
      <c r="N1520" s="2">
        <v>562.17706920908063</v>
      </c>
      <c r="O1520" s="2">
        <v>545.31175713280822</v>
      </c>
    </row>
    <row r="1521" spans="1:15" x14ac:dyDescent="0.25">
      <c r="A1521" t="s">
        <v>4104</v>
      </c>
      <c r="B1521" t="s">
        <v>4105</v>
      </c>
      <c r="C1521" s="2">
        <v>781.74115800000015</v>
      </c>
      <c r="D1521" s="2">
        <v>758.28892326000016</v>
      </c>
      <c r="E1521" s="2">
        <v>735.54025556220017</v>
      </c>
      <c r="F1521" s="2">
        <v>713.47404789533414</v>
      </c>
      <c r="G1521" s="2">
        <v>692.06982645847404</v>
      </c>
      <c r="H1521" s="2">
        <v>671.30773166471977</v>
      </c>
      <c r="I1521" s="2">
        <v>651.16849971477814</v>
      </c>
      <c r="J1521" s="2">
        <v>631.63344472333472</v>
      </c>
      <c r="K1521" s="2">
        <v>612.68444138163466</v>
      </c>
      <c r="L1521" s="2">
        <v>594.30390814018563</v>
      </c>
      <c r="M1521" s="2">
        <v>576.47479089598005</v>
      </c>
      <c r="N1521" s="2">
        <v>559.18054716910058</v>
      </c>
      <c r="O1521" s="2">
        <v>542.4051307540276</v>
      </c>
    </row>
    <row r="1522" spans="1:15" x14ac:dyDescent="0.25">
      <c r="A1522" t="s">
        <v>4106</v>
      </c>
      <c r="B1522" t="s">
        <v>4105</v>
      </c>
      <c r="C1522" s="2">
        <v>781.74115800000015</v>
      </c>
      <c r="D1522" s="2">
        <v>758.28892326000016</v>
      </c>
      <c r="E1522" s="2">
        <v>735.54025556220017</v>
      </c>
      <c r="F1522" s="2">
        <v>713.47404789533414</v>
      </c>
      <c r="G1522" s="2">
        <v>692.06982645847404</v>
      </c>
      <c r="H1522" s="2">
        <v>671.30773166471977</v>
      </c>
      <c r="I1522" s="2">
        <v>651.16849971477814</v>
      </c>
      <c r="J1522" s="2">
        <v>631.63344472333472</v>
      </c>
      <c r="K1522" s="2">
        <v>612.68444138163466</v>
      </c>
      <c r="L1522" s="2">
        <v>594.30390814018563</v>
      </c>
      <c r="M1522" s="2">
        <v>576.47479089598005</v>
      </c>
      <c r="N1522" s="2">
        <v>559.18054716910058</v>
      </c>
      <c r="O1522" s="2">
        <v>542.4051307540276</v>
      </c>
    </row>
    <row r="1523" spans="1:15" x14ac:dyDescent="0.25">
      <c r="A1523" t="s">
        <v>4107</v>
      </c>
      <c r="B1523" t="s">
        <v>4105</v>
      </c>
      <c r="C1523" s="2">
        <v>781.74115800000015</v>
      </c>
      <c r="D1523" s="2">
        <v>758.28892326000016</v>
      </c>
      <c r="E1523" s="2">
        <v>735.54025556220017</v>
      </c>
      <c r="F1523" s="2">
        <v>713.47404789533414</v>
      </c>
      <c r="G1523" s="2">
        <v>692.06982645847404</v>
      </c>
      <c r="H1523" s="2">
        <v>671.30773166471977</v>
      </c>
      <c r="I1523" s="2">
        <v>651.16849971477814</v>
      </c>
      <c r="J1523" s="2">
        <v>631.63344472333472</v>
      </c>
      <c r="K1523" s="2">
        <v>612.68444138163466</v>
      </c>
      <c r="L1523" s="2">
        <v>594.30390814018563</v>
      </c>
      <c r="M1523" s="2">
        <v>576.47479089598005</v>
      </c>
      <c r="N1523" s="2">
        <v>559.18054716910058</v>
      </c>
      <c r="O1523" s="2">
        <v>542.4051307540276</v>
      </c>
    </row>
    <row r="1524" spans="1:15" x14ac:dyDescent="0.25">
      <c r="A1524" t="s">
        <v>4108</v>
      </c>
      <c r="B1524" t="s">
        <v>4109</v>
      </c>
      <c r="C1524" s="2">
        <v>781.60403200000007</v>
      </c>
      <c r="D1524" s="2">
        <v>758.15591104000009</v>
      </c>
      <c r="E1524" s="2">
        <v>735.41123370880007</v>
      </c>
      <c r="F1524" s="2">
        <v>713.34889669753602</v>
      </c>
      <c r="G1524" s="2">
        <v>691.94842979660996</v>
      </c>
      <c r="H1524" s="2">
        <v>671.18997690271169</v>
      </c>
      <c r="I1524" s="2">
        <v>651.05427759563031</v>
      </c>
      <c r="J1524" s="2">
        <v>631.52264926776138</v>
      </c>
      <c r="K1524" s="2">
        <v>612.57696978972854</v>
      </c>
      <c r="L1524" s="2">
        <v>594.19966069603663</v>
      </c>
      <c r="M1524" s="2">
        <v>576.37367087515554</v>
      </c>
      <c r="N1524" s="2">
        <v>559.08246074890087</v>
      </c>
      <c r="O1524" s="2">
        <v>542.30998692643379</v>
      </c>
    </row>
    <row r="1525" spans="1:15" x14ac:dyDescent="0.25">
      <c r="A1525" t="s">
        <v>4110</v>
      </c>
      <c r="B1525" t="s">
        <v>4111</v>
      </c>
      <c r="C1525" s="2">
        <v>781.14256000000012</v>
      </c>
      <c r="D1525" s="2">
        <v>757.7082832000001</v>
      </c>
      <c r="E1525" s="2">
        <v>734.97703470400006</v>
      </c>
      <c r="F1525" s="2">
        <v>712.92772366288</v>
      </c>
      <c r="G1525" s="2">
        <v>691.53989195299357</v>
      </c>
      <c r="H1525" s="2">
        <v>670.79369519440377</v>
      </c>
      <c r="I1525" s="2">
        <v>650.66988433857159</v>
      </c>
      <c r="J1525" s="2">
        <v>631.14978780841443</v>
      </c>
      <c r="K1525" s="2">
        <v>612.21529417416195</v>
      </c>
      <c r="L1525" s="2">
        <v>593.84883534893709</v>
      </c>
      <c r="M1525" s="2">
        <v>576.03337028846897</v>
      </c>
      <c r="N1525" s="2">
        <v>558.75236917981488</v>
      </c>
      <c r="O1525" s="2">
        <v>541.9897981044204</v>
      </c>
    </row>
    <row r="1526" spans="1:15" x14ac:dyDescent="0.25">
      <c r="A1526" t="s">
        <v>1168</v>
      </c>
      <c r="B1526" t="s">
        <v>4112</v>
      </c>
      <c r="C1526" s="2">
        <v>779.42722000000003</v>
      </c>
      <c r="D1526" s="2">
        <v>756.04440339999996</v>
      </c>
      <c r="E1526" s="2">
        <v>733.36307129799991</v>
      </c>
      <c r="F1526" s="2">
        <v>711.36217915905991</v>
      </c>
      <c r="G1526" s="2">
        <v>690.02131378428805</v>
      </c>
      <c r="H1526" s="2">
        <v>669.32067437075943</v>
      </c>
      <c r="I1526" s="2">
        <v>649.24105413963662</v>
      </c>
      <c r="J1526" s="2">
        <v>629.76382251544749</v>
      </c>
      <c r="K1526" s="2">
        <v>610.87090783998406</v>
      </c>
      <c r="L1526" s="2">
        <v>592.54478060478448</v>
      </c>
      <c r="M1526" s="2">
        <v>574.76843718664088</v>
      </c>
      <c r="N1526" s="2">
        <v>557.52538407104169</v>
      </c>
      <c r="O1526" s="2">
        <v>540.79962254891041</v>
      </c>
    </row>
    <row r="1527" spans="1:15" x14ac:dyDescent="0.25">
      <c r="A1527" t="s">
        <v>4113</v>
      </c>
      <c r="B1527" t="s">
        <v>4114</v>
      </c>
      <c r="C1527" s="2">
        <v>779.08314000000018</v>
      </c>
      <c r="D1527" s="2">
        <v>755.71064580000018</v>
      </c>
      <c r="E1527" s="2">
        <v>733.03932642600012</v>
      </c>
      <c r="F1527" s="2">
        <v>711.04814663322009</v>
      </c>
      <c r="G1527" s="2">
        <v>689.71670223422348</v>
      </c>
      <c r="H1527" s="2">
        <v>669.02520116719677</v>
      </c>
      <c r="I1527" s="2">
        <v>648.95444513218081</v>
      </c>
      <c r="J1527" s="2">
        <v>629.48581177821541</v>
      </c>
      <c r="K1527" s="2">
        <v>610.60123742486894</v>
      </c>
      <c r="L1527" s="2">
        <v>592.28320030212285</v>
      </c>
      <c r="M1527" s="2">
        <v>574.51470429305914</v>
      </c>
      <c r="N1527" s="2">
        <v>557.27926316426738</v>
      </c>
      <c r="O1527" s="2">
        <v>540.56088526933934</v>
      </c>
    </row>
    <row r="1528" spans="1:15" x14ac:dyDescent="0.25">
      <c r="A1528" t="s">
        <v>4115</v>
      </c>
      <c r="B1528" t="s">
        <v>4016</v>
      </c>
      <c r="C1528" s="2">
        <v>773.62087000000008</v>
      </c>
      <c r="D1528" s="2">
        <v>750.41224390000002</v>
      </c>
      <c r="E1528" s="2">
        <v>727.89987658300004</v>
      </c>
      <c r="F1528" s="2">
        <v>706.06288028551</v>
      </c>
      <c r="G1528" s="2">
        <v>684.88099387694467</v>
      </c>
      <c r="H1528" s="2">
        <v>664.33456406063635</v>
      </c>
      <c r="I1528" s="2">
        <v>644.40452713881723</v>
      </c>
      <c r="J1528" s="2">
        <v>625.0723913246527</v>
      </c>
      <c r="K1528" s="2">
        <v>606.32021958491305</v>
      </c>
      <c r="L1528" s="2">
        <v>588.13061299736569</v>
      </c>
      <c r="M1528" s="2">
        <v>570.48669460744475</v>
      </c>
      <c r="N1528" s="2">
        <v>553.37209376922135</v>
      </c>
      <c r="O1528" s="2">
        <v>536.77093095614475</v>
      </c>
    </row>
    <row r="1529" spans="1:15" x14ac:dyDescent="0.25">
      <c r="A1529" t="s">
        <v>4116</v>
      </c>
      <c r="B1529" t="s">
        <v>4016</v>
      </c>
      <c r="C1529" s="2">
        <v>773.62087000000008</v>
      </c>
      <c r="D1529" s="2">
        <v>750.41224390000002</v>
      </c>
      <c r="E1529" s="2">
        <v>727.89987658300004</v>
      </c>
      <c r="F1529" s="2">
        <v>706.06288028551</v>
      </c>
      <c r="G1529" s="2">
        <v>684.88099387694467</v>
      </c>
      <c r="H1529" s="2">
        <v>664.33456406063635</v>
      </c>
      <c r="I1529" s="2">
        <v>644.40452713881723</v>
      </c>
      <c r="J1529" s="2">
        <v>625.0723913246527</v>
      </c>
      <c r="K1529" s="2">
        <v>606.32021958491305</v>
      </c>
      <c r="L1529" s="2">
        <v>588.13061299736569</v>
      </c>
      <c r="M1529" s="2">
        <v>570.48669460744475</v>
      </c>
      <c r="N1529" s="2">
        <v>553.37209376922135</v>
      </c>
      <c r="O1529" s="2">
        <v>536.77093095614475</v>
      </c>
    </row>
    <row r="1530" spans="1:15" x14ac:dyDescent="0.25">
      <c r="A1530" t="s">
        <v>4117</v>
      </c>
      <c r="B1530" t="s">
        <v>4118</v>
      </c>
      <c r="C1530" s="2">
        <v>770.36678400000005</v>
      </c>
      <c r="D1530" s="2">
        <v>747.25578048</v>
      </c>
      <c r="E1530" s="2">
        <v>724.83810706559996</v>
      </c>
      <c r="F1530" s="2">
        <v>703.09296385363189</v>
      </c>
      <c r="G1530" s="2">
        <v>682.00017493802295</v>
      </c>
      <c r="H1530" s="2">
        <v>661.54016968988219</v>
      </c>
      <c r="I1530" s="2">
        <v>641.69396459918573</v>
      </c>
      <c r="J1530" s="2">
        <v>622.44314566121011</v>
      </c>
      <c r="K1530" s="2">
        <v>603.76985129137381</v>
      </c>
      <c r="L1530" s="2">
        <v>585.65675575263253</v>
      </c>
      <c r="M1530" s="2">
        <v>568.08705308005358</v>
      </c>
      <c r="N1530" s="2">
        <v>551.04444148765197</v>
      </c>
      <c r="O1530" s="2">
        <v>534.51310824302243</v>
      </c>
    </row>
    <row r="1531" spans="1:15" x14ac:dyDescent="0.25">
      <c r="A1531" t="s">
        <v>4119</v>
      </c>
      <c r="B1531" t="s">
        <v>4120</v>
      </c>
      <c r="C1531" s="2">
        <v>767.84083200000009</v>
      </c>
      <c r="D1531" s="2">
        <v>744.80560704000004</v>
      </c>
      <c r="E1531" s="2">
        <v>722.46143882880006</v>
      </c>
      <c r="F1531" s="2">
        <v>700.78759566393603</v>
      </c>
      <c r="G1531" s="2">
        <v>679.76396779401796</v>
      </c>
      <c r="H1531" s="2">
        <v>659.37104876019737</v>
      </c>
      <c r="I1531" s="2">
        <v>639.58991729739148</v>
      </c>
      <c r="J1531" s="2">
        <v>620.40221977846977</v>
      </c>
      <c r="K1531" s="2">
        <v>601.79015318511563</v>
      </c>
      <c r="L1531" s="2">
        <v>583.73644858956209</v>
      </c>
      <c r="M1531" s="2">
        <v>566.2243551318752</v>
      </c>
      <c r="N1531" s="2">
        <v>549.23762447791898</v>
      </c>
      <c r="O1531" s="2">
        <v>532.76049574358137</v>
      </c>
    </row>
    <row r="1532" spans="1:15" x14ac:dyDescent="0.25">
      <c r="A1532" t="s">
        <v>4121</v>
      </c>
      <c r="B1532" t="s">
        <v>4120</v>
      </c>
      <c r="C1532" s="2">
        <v>767.84083200000009</v>
      </c>
      <c r="D1532" s="2">
        <v>744.80560704000004</v>
      </c>
      <c r="E1532" s="2">
        <v>722.46143882880006</v>
      </c>
      <c r="F1532" s="2">
        <v>700.78759566393603</v>
      </c>
      <c r="G1532" s="2">
        <v>679.76396779401796</v>
      </c>
      <c r="H1532" s="2">
        <v>659.37104876019737</v>
      </c>
      <c r="I1532" s="2">
        <v>639.58991729739148</v>
      </c>
      <c r="J1532" s="2">
        <v>620.40221977846977</v>
      </c>
      <c r="K1532" s="2">
        <v>601.79015318511563</v>
      </c>
      <c r="L1532" s="2">
        <v>583.73644858956209</v>
      </c>
      <c r="M1532" s="2">
        <v>566.2243551318752</v>
      </c>
      <c r="N1532" s="2">
        <v>549.23762447791898</v>
      </c>
      <c r="O1532" s="2">
        <v>532.76049574358137</v>
      </c>
    </row>
    <row r="1533" spans="1:15" x14ac:dyDescent="0.25">
      <c r="A1533" t="s">
        <v>4122</v>
      </c>
      <c r="B1533" t="s">
        <v>4120</v>
      </c>
      <c r="C1533" s="2">
        <v>767.84083200000009</v>
      </c>
      <c r="D1533" s="2">
        <v>744.80560704000004</v>
      </c>
      <c r="E1533" s="2">
        <v>722.46143882880006</v>
      </c>
      <c r="F1533" s="2">
        <v>700.78759566393603</v>
      </c>
      <c r="G1533" s="2">
        <v>679.76396779401796</v>
      </c>
      <c r="H1533" s="2">
        <v>659.37104876019737</v>
      </c>
      <c r="I1533" s="2">
        <v>639.58991729739148</v>
      </c>
      <c r="J1533" s="2">
        <v>620.40221977846977</v>
      </c>
      <c r="K1533" s="2">
        <v>601.79015318511563</v>
      </c>
      <c r="L1533" s="2">
        <v>583.73644858956209</v>
      </c>
      <c r="M1533" s="2">
        <v>566.2243551318752</v>
      </c>
      <c r="N1533" s="2">
        <v>549.23762447791898</v>
      </c>
      <c r="O1533" s="2">
        <v>532.76049574358137</v>
      </c>
    </row>
    <row r="1534" spans="1:15" x14ac:dyDescent="0.25">
      <c r="A1534" t="s">
        <v>4123</v>
      </c>
      <c r="B1534" t="s">
        <v>4124</v>
      </c>
      <c r="C1534" s="2">
        <v>763.88998400000014</v>
      </c>
      <c r="D1534" s="2">
        <v>740.97328448000007</v>
      </c>
      <c r="E1534" s="2">
        <v>718.74408594560009</v>
      </c>
      <c r="F1534" s="2">
        <v>697.18176336723207</v>
      </c>
      <c r="G1534" s="2">
        <v>676.26631046621503</v>
      </c>
      <c r="H1534" s="2">
        <v>655.97832115222855</v>
      </c>
      <c r="I1534" s="2">
        <v>636.2989715176617</v>
      </c>
      <c r="J1534" s="2">
        <v>617.21000237213184</v>
      </c>
      <c r="K1534" s="2">
        <v>598.69370230096786</v>
      </c>
      <c r="L1534" s="2">
        <v>580.73289123193877</v>
      </c>
      <c r="M1534" s="2">
        <v>563.3109044949806</v>
      </c>
      <c r="N1534" s="2">
        <v>546.41157736013122</v>
      </c>
      <c r="O1534" s="2">
        <v>530.01923003932723</v>
      </c>
    </row>
    <row r="1535" spans="1:15" x14ac:dyDescent="0.25">
      <c r="A1535" t="s">
        <v>4125</v>
      </c>
      <c r="B1535" t="s">
        <v>4126</v>
      </c>
      <c r="C1535" s="2">
        <v>763.88998400000014</v>
      </c>
      <c r="D1535" s="2">
        <v>740.97328448000007</v>
      </c>
      <c r="E1535" s="2">
        <v>718.74408594560009</v>
      </c>
      <c r="F1535" s="2">
        <v>697.18176336723207</v>
      </c>
      <c r="G1535" s="2">
        <v>676.26631046621503</v>
      </c>
      <c r="H1535" s="2">
        <v>655.97832115222855</v>
      </c>
      <c r="I1535" s="2">
        <v>636.2989715176617</v>
      </c>
      <c r="J1535" s="2">
        <v>617.21000237213184</v>
      </c>
      <c r="K1535" s="2">
        <v>598.69370230096786</v>
      </c>
      <c r="L1535" s="2">
        <v>580.73289123193877</v>
      </c>
      <c r="M1535" s="2">
        <v>563.3109044949806</v>
      </c>
      <c r="N1535" s="2">
        <v>546.41157736013122</v>
      </c>
      <c r="O1535" s="2">
        <v>530.01923003932723</v>
      </c>
    </row>
    <row r="1536" spans="1:15" x14ac:dyDescent="0.25">
      <c r="A1536" t="s">
        <v>4127</v>
      </c>
      <c r="B1536" t="s">
        <v>4128</v>
      </c>
      <c r="C1536" s="2">
        <v>761.52595200000019</v>
      </c>
      <c r="D1536" s="2">
        <v>738.6801734400002</v>
      </c>
      <c r="E1536" s="2">
        <v>716.51976823680013</v>
      </c>
      <c r="F1536" s="2">
        <v>695.02417518969617</v>
      </c>
      <c r="G1536" s="2">
        <v>674.17344993400525</v>
      </c>
      <c r="H1536" s="2">
        <v>653.94824643598508</v>
      </c>
      <c r="I1536" s="2">
        <v>634.32979904290551</v>
      </c>
      <c r="J1536" s="2">
        <v>615.29990507161835</v>
      </c>
      <c r="K1536" s="2">
        <v>596.84090791946983</v>
      </c>
      <c r="L1536" s="2">
        <v>578.93568068188574</v>
      </c>
      <c r="M1536" s="2">
        <v>561.56761026142919</v>
      </c>
      <c r="N1536" s="2">
        <v>544.72058195358625</v>
      </c>
      <c r="O1536" s="2">
        <v>528.37896449497862</v>
      </c>
    </row>
    <row r="1537" spans="1:15" x14ac:dyDescent="0.25">
      <c r="A1537" t="s">
        <v>4129</v>
      </c>
      <c r="B1537" t="s">
        <v>4016</v>
      </c>
      <c r="C1537" s="2">
        <v>757.75018</v>
      </c>
      <c r="D1537" s="2">
        <v>735.01767459999996</v>
      </c>
      <c r="E1537" s="2">
        <v>712.967144362</v>
      </c>
      <c r="F1537" s="2">
        <v>691.57813003113995</v>
      </c>
      <c r="G1537" s="2">
        <v>670.83078613020575</v>
      </c>
      <c r="H1537" s="2">
        <v>650.70586254629961</v>
      </c>
      <c r="I1537" s="2">
        <v>631.18468666991066</v>
      </c>
      <c r="J1537" s="2">
        <v>612.24914606981338</v>
      </c>
      <c r="K1537" s="2">
        <v>593.88167168771895</v>
      </c>
      <c r="L1537" s="2">
        <v>576.06522153708738</v>
      </c>
      <c r="M1537" s="2">
        <v>558.78326489097469</v>
      </c>
      <c r="N1537" s="2">
        <v>542.01976694424548</v>
      </c>
      <c r="O1537" s="2">
        <v>525.75917393591806</v>
      </c>
    </row>
    <row r="1538" spans="1:15" x14ac:dyDescent="0.25">
      <c r="A1538" t="s">
        <v>4130</v>
      </c>
      <c r="B1538" t="s">
        <v>4131</v>
      </c>
      <c r="C1538" s="2">
        <v>757.75018</v>
      </c>
      <c r="D1538" s="2">
        <v>735.01767459999996</v>
      </c>
      <c r="E1538" s="2">
        <v>712.967144362</v>
      </c>
      <c r="F1538" s="2">
        <v>691.57813003113995</v>
      </c>
      <c r="G1538" s="2">
        <v>670.83078613020575</v>
      </c>
      <c r="H1538" s="2">
        <v>650.70586254629961</v>
      </c>
      <c r="I1538" s="2">
        <v>631.18468666991066</v>
      </c>
      <c r="J1538" s="2">
        <v>612.24914606981338</v>
      </c>
      <c r="K1538" s="2">
        <v>593.88167168771895</v>
      </c>
      <c r="L1538" s="2">
        <v>576.06522153708738</v>
      </c>
      <c r="M1538" s="2">
        <v>558.78326489097469</v>
      </c>
      <c r="N1538" s="2">
        <v>542.01976694424548</v>
      </c>
      <c r="O1538" s="2">
        <v>525.75917393591806</v>
      </c>
    </row>
    <row r="1539" spans="1:15" x14ac:dyDescent="0.25">
      <c r="A1539" t="s">
        <v>4132</v>
      </c>
      <c r="B1539" t="s">
        <v>4133</v>
      </c>
      <c r="C1539" s="2">
        <v>756.38499200000012</v>
      </c>
      <c r="D1539" s="2">
        <v>733.69344224000008</v>
      </c>
      <c r="E1539" s="2">
        <v>711.68263897280008</v>
      </c>
      <c r="F1539" s="2">
        <v>690.33215980361604</v>
      </c>
      <c r="G1539" s="2">
        <v>669.62219500950755</v>
      </c>
      <c r="H1539" s="2">
        <v>649.53352915922233</v>
      </c>
      <c r="I1539" s="2">
        <v>630.04752328444567</v>
      </c>
      <c r="J1539" s="2">
        <v>611.14609758591234</v>
      </c>
      <c r="K1539" s="2">
        <v>592.81171465833495</v>
      </c>
      <c r="L1539" s="2">
        <v>575.02736321858492</v>
      </c>
      <c r="M1539" s="2">
        <v>557.77654232202735</v>
      </c>
      <c r="N1539" s="2">
        <v>541.0432460523665</v>
      </c>
      <c r="O1539" s="2">
        <v>524.81194867079546</v>
      </c>
    </row>
    <row r="1540" spans="1:15" x14ac:dyDescent="0.25">
      <c r="A1540" t="s">
        <v>4134</v>
      </c>
      <c r="B1540" t="s">
        <v>4135</v>
      </c>
      <c r="C1540" s="2">
        <v>756.38499200000012</v>
      </c>
      <c r="D1540" s="2">
        <v>733.69344224000008</v>
      </c>
      <c r="E1540" s="2">
        <v>711.68263897280008</v>
      </c>
      <c r="F1540" s="2">
        <v>690.33215980361604</v>
      </c>
      <c r="G1540" s="2">
        <v>669.62219500950755</v>
      </c>
      <c r="H1540" s="2">
        <v>649.53352915922233</v>
      </c>
      <c r="I1540" s="2">
        <v>630.04752328444567</v>
      </c>
      <c r="J1540" s="2">
        <v>611.14609758591234</v>
      </c>
      <c r="K1540" s="2">
        <v>592.81171465833495</v>
      </c>
      <c r="L1540" s="2">
        <v>575.02736321858492</v>
      </c>
      <c r="M1540" s="2">
        <v>557.77654232202735</v>
      </c>
      <c r="N1540" s="2">
        <v>541.0432460523665</v>
      </c>
      <c r="O1540" s="2">
        <v>524.81194867079546</v>
      </c>
    </row>
    <row r="1541" spans="1:15" x14ac:dyDescent="0.25">
      <c r="A1541" t="s">
        <v>4136</v>
      </c>
      <c r="B1541" t="s">
        <v>4137</v>
      </c>
      <c r="C1541" s="2">
        <v>750.15916800000025</v>
      </c>
      <c r="D1541" s="2">
        <v>727.65439296000022</v>
      </c>
      <c r="E1541" s="2">
        <v>705.82476117120018</v>
      </c>
      <c r="F1541" s="2">
        <v>684.65001833606414</v>
      </c>
      <c r="G1541" s="2">
        <v>664.11051778598221</v>
      </c>
      <c r="H1541" s="2">
        <v>644.1872022524027</v>
      </c>
      <c r="I1541" s="2">
        <v>624.86158618483057</v>
      </c>
      <c r="J1541" s="2">
        <v>606.11573859928569</v>
      </c>
      <c r="K1541" s="2">
        <v>587.93226644130709</v>
      </c>
      <c r="L1541" s="2">
        <v>570.29429844806782</v>
      </c>
      <c r="M1541" s="2">
        <v>553.18546949462575</v>
      </c>
      <c r="N1541" s="2">
        <v>536.58990540978698</v>
      </c>
      <c r="O1541" s="2">
        <v>520.49220824749341</v>
      </c>
    </row>
    <row r="1542" spans="1:15" x14ac:dyDescent="0.25">
      <c r="A1542" t="s">
        <v>4138</v>
      </c>
      <c r="B1542" t="s">
        <v>4139</v>
      </c>
      <c r="C1542" s="2">
        <v>749.93248000000006</v>
      </c>
      <c r="D1542" s="2">
        <v>727.43450560000008</v>
      </c>
      <c r="E1542" s="2">
        <v>705.61147043200003</v>
      </c>
      <c r="F1542" s="2">
        <v>684.44312631904006</v>
      </c>
      <c r="G1542" s="2">
        <v>663.90983252946887</v>
      </c>
      <c r="H1542" s="2">
        <v>643.99253755358484</v>
      </c>
      <c r="I1542" s="2">
        <v>624.67276142697733</v>
      </c>
      <c r="J1542" s="2">
        <v>605.93257858416803</v>
      </c>
      <c r="K1542" s="2">
        <v>587.75460122664299</v>
      </c>
      <c r="L1542" s="2">
        <v>570.12196318984365</v>
      </c>
      <c r="M1542" s="2">
        <v>553.01830429414838</v>
      </c>
      <c r="N1542" s="2">
        <v>536.4277551653239</v>
      </c>
      <c r="O1542" s="2">
        <v>520.33492251036421</v>
      </c>
    </row>
    <row r="1543" spans="1:15" x14ac:dyDescent="0.25">
      <c r="A1543" t="s">
        <v>4140</v>
      </c>
      <c r="B1543" t="s">
        <v>4141</v>
      </c>
      <c r="C1543" s="2">
        <v>747.85788000000014</v>
      </c>
      <c r="D1543" s="2">
        <v>725.42214360000014</v>
      </c>
      <c r="E1543" s="2">
        <v>703.65947929200013</v>
      </c>
      <c r="F1543" s="2">
        <v>682.54969491324016</v>
      </c>
      <c r="G1543" s="2">
        <v>662.0732040658429</v>
      </c>
      <c r="H1543" s="2">
        <v>642.21100794386757</v>
      </c>
      <c r="I1543" s="2">
        <v>622.9446777055515</v>
      </c>
      <c r="J1543" s="2">
        <v>604.25633737438488</v>
      </c>
      <c r="K1543" s="2">
        <v>586.1286472531533</v>
      </c>
      <c r="L1543" s="2">
        <v>568.54478783555874</v>
      </c>
      <c r="M1543" s="2">
        <v>551.48844420049193</v>
      </c>
      <c r="N1543" s="2">
        <v>534.94379087447714</v>
      </c>
      <c r="O1543" s="2">
        <v>518.89547714824278</v>
      </c>
    </row>
    <row r="1544" spans="1:15" x14ac:dyDescent="0.25">
      <c r="A1544" t="s">
        <v>4142</v>
      </c>
      <c r="B1544" t="s">
        <v>4143</v>
      </c>
      <c r="C1544" s="2">
        <v>746.55037600000003</v>
      </c>
      <c r="D1544" s="2">
        <v>724.15386472</v>
      </c>
      <c r="E1544" s="2">
        <v>702.42924877839994</v>
      </c>
      <c r="F1544" s="2">
        <v>681.35637131504791</v>
      </c>
      <c r="G1544" s="2">
        <v>660.91568017559644</v>
      </c>
      <c r="H1544" s="2">
        <v>641.08820977032849</v>
      </c>
      <c r="I1544" s="2">
        <v>621.85556347721865</v>
      </c>
      <c r="J1544" s="2">
        <v>603.19989657290205</v>
      </c>
      <c r="K1544" s="2">
        <v>585.10389967571496</v>
      </c>
      <c r="L1544" s="2">
        <v>567.55078268544344</v>
      </c>
      <c r="M1544" s="2">
        <v>550.52425920488008</v>
      </c>
      <c r="N1544" s="2">
        <v>534.0085314287337</v>
      </c>
      <c r="O1544" s="2">
        <v>517.98827548587167</v>
      </c>
    </row>
    <row r="1545" spans="1:15" x14ac:dyDescent="0.25">
      <c r="A1545" t="s">
        <v>4144</v>
      </c>
      <c r="B1545" t="s">
        <v>4143</v>
      </c>
      <c r="C1545" s="2">
        <v>746.55037600000003</v>
      </c>
      <c r="D1545" s="2">
        <v>724.15386472</v>
      </c>
      <c r="E1545" s="2">
        <v>702.42924877839994</v>
      </c>
      <c r="F1545" s="2">
        <v>681.35637131504791</v>
      </c>
      <c r="G1545" s="2">
        <v>660.91568017559644</v>
      </c>
      <c r="H1545" s="2">
        <v>641.08820977032849</v>
      </c>
      <c r="I1545" s="2">
        <v>621.85556347721865</v>
      </c>
      <c r="J1545" s="2">
        <v>603.19989657290205</v>
      </c>
      <c r="K1545" s="2">
        <v>585.10389967571496</v>
      </c>
      <c r="L1545" s="2">
        <v>567.55078268544344</v>
      </c>
      <c r="M1545" s="2">
        <v>550.52425920488008</v>
      </c>
      <c r="N1545" s="2">
        <v>534.0085314287337</v>
      </c>
      <c r="O1545" s="2">
        <v>517.98827548587167</v>
      </c>
    </row>
    <row r="1546" spans="1:15" x14ac:dyDescent="0.25">
      <c r="A1546" t="s">
        <v>4145</v>
      </c>
      <c r="B1546" t="s">
        <v>4143</v>
      </c>
      <c r="C1546" s="2">
        <v>746.55037600000003</v>
      </c>
      <c r="D1546" s="2">
        <v>724.15386472</v>
      </c>
      <c r="E1546" s="2">
        <v>702.42924877839994</v>
      </c>
      <c r="F1546" s="2">
        <v>681.35637131504791</v>
      </c>
      <c r="G1546" s="2">
        <v>660.91568017559644</v>
      </c>
      <c r="H1546" s="2">
        <v>641.08820977032849</v>
      </c>
      <c r="I1546" s="2">
        <v>621.85556347721865</v>
      </c>
      <c r="J1546" s="2">
        <v>603.19989657290205</v>
      </c>
      <c r="K1546" s="2">
        <v>585.10389967571496</v>
      </c>
      <c r="L1546" s="2">
        <v>567.55078268544344</v>
      </c>
      <c r="M1546" s="2">
        <v>550.52425920488008</v>
      </c>
      <c r="N1546" s="2">
        <v>534.0085314287337</v>
      </c>
      <c r="O1546" s="2">
        <v>517.98827548587167</v>
      </c>
    </row>
    <row r="1547" spans="1:15" x14ac:dyDescent="0.25">
      <c r="A1547" t="s">
        <v>4146</v>
      </c>
      <c r="B1547" t="s">
        <v>4147</v>
      </c>
      <c r="C1547" s="2">
        <v>743.66010400000016</v>
      </c>
      <c r="D1547" s="2">
        <v>721.35030088000019</v>
      </c>
      <c r="E1547" s="2">
        <v>699.70979185360022</v>
      </c>
      <c r="F1547" s="2">
        <v>678.71849809799221</v>
      </c>
      <c r="G1547" s="2">
        <v>658.35694315505248</v>
      </c>
      <c r="H1547" s="2">
        <v>638.60623486040083</v>
      </c>
      <c r="I1547" s="2">
        <v>619.44804781458879</v>
      </c>
      <c r="J1547" s="2">
        <v>600.86460638015114</v>
      </c>
      <c r="K1547" s="2">
        <v>582.83866818874662</v>
      </c>
      <c r="L1547" s="2">
        <v>565.35350814308424</v>
      </c>
      <c r="M1547" s="2">
        <v>548.3929028987917</v>
      </c>
      <c r="N1547" s="2">
        <v>531.9411158118279</v>
      </c>
      <c r="O1547" s="2">
        <v>515.98288233747303</v>
      </c>
    </row>
    <row r="1548" spans="1:15" x14ac:dyDescent="0.25">
      <c r="A1548" t="s">
        <v>4148</v>
      </c>
      <c r="B1548" t="s">
        <v>4147</v>
      </c>
      <c r="C1548" s="2">
        <v>743.66010400000016</v>
      </c>
      <c r="D1548" s="2">
        <v>721.35030088000019</v>
      </c>
      <c r="E1548" s="2">
        <v>699.70979185360022</v>
      </c>
      <c r="F1548" s="2">
        <v>678.71849809799221</v>
      </c>
      <c r="G1548" s="2">
        <v>658.35694315505248</v>
      </c>
      <c r="H1548" s="2">
        <v>638.60623486040083</v>
      </c>
      <c r="I1548" s="2">
        <v>619.44804781458879</v>
      </c>
      <c r="J1548" s="2">
        <v>600.86460638015114</v>
      </c>
      <c r="K1548" s="2">
        <v>582.83866818874662</v>
      </c>
      <c r="L1548" s="2">
        <v>565.35350814308424</v>
      </c>
      <c r="M1548" s="2">
        <v>548.3929028987917</v>
      </c>
      <c r="N1548" s="2">
        <v>531.9411158118279</v>
      </c>
      <c r="O1548" s="2">
        <v>515.98288233747303</v>
      </c>
    </row>
    <row r="1549" spans="1:15" x14ac:dyDescent="0.25">
      <c r="A1549" t="s">
        <v>4149</v>
      </c>
      <c r="B1549" t="s">
        <v>4147</v>
      </c>
      <c r="C1549" s="2">
        <v>743.66010400000016</v>
      </c>
      <c r="D1549" s="2">
        <v>721.35030088000019</v>
      </c>
      <c r="E1549" s="2">
        <v>699.70979185360022</v>
      </c>
      <c r="F1549" s="2">
        <v>678.71849809799221</v>
      </c>
      <c r="G1549" s="2">
        <v>658.35694315505248</v>
      </c>
      <c r="H1549" s="2">
        <v>638.60623486040083</v>
      </c>
      <c r="I1549" s="2">
        <v>619.44804781458879</v>
      </c>
      <c r="J1549" s="2">
        <v>600.86460638015114</v>
      </c>
      <c r="K1549" s="2">
        <v>582.83866818874662</v>
      </c>
      <c r="L1549" s="2">
        <v>565.35350814308424</v>
      </c>
      <c r="M1549" s="2">
        <v>548.3929028987917</v>
      </c>
      <c r="N1549" s="2">
        <v>531.9411158118279</v>
      </c>
      <c r="O1549" s="2">
        <v>515.98288233747303</v>
      </c>
    </row>
    <row r="1550" spans="1:15" x14ac:dyDescent="0.25">
      <c r="A1550" t="s">
        <v>4150</v>
      </c>
      <c r="B1550" t="s">
        <v>4147</v>
      </c>
      <c r="C1550" s="2">
        <v>743.66010400000016</v>
      </c>
      <c r="D1550" s="2">
        <v>721.35030088000019</v>
      </c>
      <c r="E1550" s="2">
        <v>699.70979185360022</v>
      </c>
      <c r="F1550" s="2">
        <v>678.71849809799221</v>
      </c>
      <c r="G1550" s="2">
        <v>658.35694315505248</v>
      </c>
      <c r="H1550" s="2">
        <v>638.60623486040083</v>
      </c>
      <c r="I1550" s="2">
        <v>619.44804781458879</v>
      </c>
      <c r="J1550" s="2">
        <v>600.86460638015114</v>
      </c>
      <c r="K1550" s="2">
        <v>582.83866818874662</v>
      </c>
      <c r="L1550" s="2">
        <v>565.35350814308424</v>
      </c>
      <c r="M1550" s="2">
        <v>548.3929028987917</v>
      </c>
      <c r="N1550" s="2">
        <v>531.9411158118279</v>
      </c>
      <c r="O1550" s="2">
        <v>515.98288233747303</v>
      </c>
    </row>
    <row r="1551" spans="1:15" x14ac:dyDescent="0.25">
      <c r="A1551" t="s">
        <v>4151</v>
      </c>
      <c r="B1551" t="s">
        <v>4152</v>
      </c>
      <c r="C1551" s="2">
        <v>743.37472000000025</v>
      </c>
      <c r="D1551" s="2">
        <v>721.07347840000023</v>
      </c>
      <c r="E1551" s="2">
        <v>699.4412740480002</v>
      </c>
      <c r="F1551" s="2">
        <v>678.45803582656015</v>
      </c>
      <c r="G1551" s="2">
        <v>658.10429475176329</v>
      </c>
      <c r="H1551" s="2">
        <v>638.3611659092104</v>
      </c>
      <c r="I1551" s="2">
        <v>619.2103309319341</v>
      </c>
      <c r="J1551" s="2">
        <v>600.63402100397604</v>
      </c>
      <c r="K1551" s="2">
        <v>582.61500037385679</v>
      </c>
      <c r="L1551" s="2">
        <v>565.13655036264106</v>
      </c>
      <c r="M1551" s="2">
        <v>548.18245385176181</v>
      </c>
      <c r="N1551" s="2">
        <v>531.73698023620898</v>
      </c>
      <c r="O1551" s="2">
        <v>515.78487082912272</v>
      </c>
    </row>
    <row r="1552" spans="1:15" x14ac:dyDescent="0.25">
      <c r="A1552" t="s">
        <v>4153</v>
      </c>
      <c r="B1552" t="s">
        <v>4154</v>
      </c>
      <c r="C1552" s="2">
        <v>742.89452600000016</v>
      </c>
      <c r="D1552" s="2">
        <v>720.60769022000011</v>
      </c>
      <c r="E1552" s="2">
        <v>698.98945951340011</v>
      </c>
      <c r="F1552" s="2">
        <v>678.01977572799808</v>
      </c>
      <c r="G1552" s="2">
        <v>657.67918245615817</v>
      </c>
      <c r="H1552" s="2">
        <v>637.94880698247346</v>
      </c>
      <c r="I1552" s="2">
        <v>618.81034277299921</v>
      </c>
      <c r="J1552" s="2">
        <v>600.24603248980918</v>
      </c>
      <c r="K1552" s="2">
        <v>582.23865151511484</v>
      </c>
      <c r="L1552" s="2">
        <v>564.77149196966138</v>
      </c>
      <c r="M1552" s="2">
        <v>547.82834721057156</v>
      </c>
      <c r="N1552" s="2">
        <v>531.39349679425436</v>
      </c>
      <c r="O1552" s="2">
        <v>515.45169189042667</v>
      </c>
    </row>
    <row r="1553" spans="1:15" x14ac:dyDescent="0.25">
      <c r="A1553" t="s">
        <v>4155</v>
      </c>
      <c r="B1553" t="s">
        <v>4156</v>
      </c>
      <c r="C1553" s="2">
        <v>742.89452600000016</v>
      </c>
      <c r="D1553" s="2">
        <v>720.60769022000011</v>
      </c>
      <c r="E1553" s="2">
        <v>698.98945951340011</v>
      </c>
      <c r="F1553" s="2">
        <v>678.01977572799808</v>
      </c>
      <c r="G1553" s="2">
        <v>657.67918245615817</v>
      </c>
      <c r="H1553" s="2">
        <v>637.94880698247346</v>
      </c>
      <c r="I1553" s="2">
        <v>618.81034277299921</v>
      </c>
      <c r="J1553" s="2">
        <v>600.24603248980918</v>
      </c>
      <c r="K1553" s="2">
        <v>582.23865151511484</v>
      </c>
      <c r="L1553" s="2">
        <v>564.77149196966138</v>
      </c>
      <c r="M1553" s="2">
        <v>547.82834721057156</v>
      </c>
      <c r="N1553" s="2">
        <v>531.39349679425436</v>
      </c>
      <c r="O1553" s="2">
        <v>515.45169189042667</v>
      </c>
    </row>
    <row r="1554" spans="1:15" x14ac:dyDescent="0.25">
      <c r="A1554" t="s">
        <v>4157</v>
      </c>
      <c r="B1554" t="s">
        <v>4158</v>
      </c>
      <c r="C1554" s="2">
        <v>742.89452600000016</v>
      </c>
      <c r="D1554" s="2">
        <v>720.60769022000011</v>
      </c>
      <c r="E1554" s="2">
        <v>698.98945951340011</v>
      </c>
      <c r="F1554" s="2">
        <v>678.01977572799808</v>
      </c>
      <c r="G1554" s="2">
        <v>657.67918245615817</v>
      </c>
      <c r="H1554" s="2">
        <v>637.94880698247346</v>
      </c>
      <c r="I1554" s="2">
        <v>618.81034277299921</v>
      </c>
      <c r="J1554" s="2">
        <v>600.24603248980918</v>
      </c>
      <c r="K1554" s="2">
        <v>582.23865151511484</v>
      </c>
      <c r="L1554" s="2">
        <v>564.77149196966138</v>
      </c>
      <c r="M1554" s="2">
        <v>547.82834721057156</v>
      </c>
      <c r="N1554" s="2">
        <v>531.39349679425436</v>
      </c>
      <c r="O1554" s="2">
        <v>515.45169189042667</v>
      </c>
    </row>
    <row r="1555" spans="1:15" x14ac:dyDescent="0.25">
      <c r="A1555" t="s">
        <v>4159</v>
      </c>
      <c r="B1555" t="s">
        <v>4160</v>
      </c>
      <c r="C1555" s="2">
        <v>742.89452600000016</v>
      </c>
      <c r="D1555" s="2">
        <v>720.60769022000011</v>
      </c>
      <c r="E1555" s="2">
        <v>698.98945951340011</v>
      </c>
      <c r="F1555" s="2">
        <v>678.01977572799808</v>
      </c>
      <c r="G1555" s="2">
        <v>657.67918245615817</v>
      </c>
      <c r="H1555" s="2">
        <v>637.94880698247346</v>
      </c>
      <c r="I1555" s="2">
        <v>618.81034277299921</v>
      </c>
      <c r="J1555" s="2">
        <v>600.24603248980918</v>
      </c>
      <c r="K1555" s="2">
        <v>582.23865151511484</v>
      </c>
      <c r="L1555" s="2">
        <v>564.77149196966138</v>
      </c>
      <c r="M1555" s="2">
        <v>547.82834721057156</v>
      </c>
      <c r="N1555" s="2">
        <v>531.39349679425436</v>
      </c>
      <c r="O1555" s="2">
        <v>515.45169189042667</v>
      </c>
    </row>
    <row r="1556" spans="1:15" x14ac:dyDescent="0.25">
      <c r="A1556" t="s">
        <v>4161</v>
      </c>
      <c r="B1556" t="s">
        <v>4162</v>
      </c>
      <c r="C1556" s="2">
        <v>742.89452600000016</v>
      </c>
      <c r="D1556" s="2">
        <v>720.60769022000011</v>
      </c>
      <c r="E1556" s="2">
        <v>698.98945951340011</v>
      </c>
      <c r="F1556" s="2">
        <v>678.01977572799808</v>
      </c>
      <c r="G1556" s="2">
        <v>657.67918245615817</v>
      </c>
      <c r="H1556" s="2">
        <v>637.94880698247346</v>
      </c>
      <c r="I1556" s="2">
        <v>618.81034277299921</v>
      </c>
      <c r="J1556" s="2">
        <v>600.24603248980918</v>
      </c>
      <c r="K1556" s="2">
        <v>582.23865151511484</v>
      </c>
      <c r="L1556" s="2">
        <v>564.77149196966138</v>
      </c>
      <c r="M1556" s="2">
        <v>547.82834721057156</v>
      </c>
      <c r="N1556" s="2">
        <v>531.39349679425436</v>
      </c>
      <c r="O1556" s="2">
        <v>515.45169189042667</v>
      </c>
    </row>
    <row r="1557" spans="1:15" x14ac:dyDescent="0.25">
      <c r="A1557" t="s">
        <v>4163</v>
      </c>
      <c r="B1557" t="s">
        <v>4164</v>
      </c>
      <c r="C1557" s="2">
        <v>742.14615200000003</v>
      </c>
      <c r="D1557" s="2">
        <v>719.88176743999998</v>
      </c>
      <c r="E1557" s="2">
        <v>698.28531441679991</v>
      </c>
      <c r="F1557" s="2">
        <v>677.33675498429591</v>
      </c>
      <c r="G1557" s="2">
        <v>657.01665233476706</v>
      </c>
      <c r="H1557" s="2">
        <v>637.30615276472406</v>
      </c>
      <c r="I1557" s="2">
        <v>618.18696818178228</v>
      </c>
      <c r="J1557" s="2">
        <v>599.64135913632879</v>
      </c>
      <c r="K1557" s="2">
        <v>581.65211836223887</v>
      </c>
      <c r="L1557" s="2">
        <v>564.20255481137167</v>
      </c>
      <c r="M1557" s="2">
        <v>547.27647816703052</v>
      </c>
      <c r="N1557" s="2">
        <v>530.85818382201956</v>
      </c>
      <c r="O1557" s="2">
        <v>514.93243830735901</v>
      </c>
    </row>
    <row r="1558" spans="1:15" x14ac:dyDescent="0.25">
      <c r="A1558" t="s">
        <v>4165</v>
      </c>
      <c r="B1558" t="s">
        <v>4164</v>
      </c>
      <c r="C1558" s="2">
        <v>742.14615200000003</v>
      </c>
      <c r="D1558" s="2">
        <v>719.88176743999998</v>
      </c>
      <c r="E1558" s="2">
        <v>698.28531441679991</v>
      </c>
      <c r="F1558" s="2">
        <v>677.33675498429591</v>
      </c>
      <c r="G1558" s="2">
        <v>657.01665233476706</v>
      </c>
      <c r="H1558" s="2">
        <v>637.30615276472406</v>
      </c>
      <c r="I1558" s="2">
        <v>618.18696818178228</v>
      </c>
      <c r="J1558" s="2">
        <v>599.64135913632879</v>
      </c>
      <c r="K1558" s="2">
        <v>581.65211836223887</v>
      </c>
      <c r="L1558" s="2">
        <v>564.20255481137167</v>
      </c>
      <c r="M1558" s="2">
        <v>547.27647816703052</v>
      </c>
      <c r="N1558" s="2">
        <v>530.85818382201956</v>
      </c>
      <c r="O1558" s="2">
        <v>514.93243830735901</v>
      </c>
    </row>
    <row r="1559" spans="1:15" x14ac:dyDescent="0.25">
      <c r="A1559" t="s">
        <v>4166</v>
      </c>
      <c r="B1559" t="s">
        <v>4167</v>
      </c>
      <c r="C1559" s="2">
        <v>742.02572400000008</v>
      </c>
      <c r="D1559" s="2">
        <v>719.7649522800001</v>
      </c>
      <c r="E1559" s="2">
        <v>698.17200371160004</v>
      </c>
      <c r="F1559" s="2">
        <v>677.22684360025198</v>
      </c>
      <c r="G1559" s="2">
        <v>656.91003829224439</v>
      </c>
      <c r="H1559" s="2">
        <v>637.20273714347707</v>
      </c>
      <c r="I1559" s="2">
        <v>618.08665502917279</v>
      </c>
      <c r="J1559" s="2">
        <v>599.54405537829757</v>
      </c>
      <c r="K1559" s="2">
        <v>581.55773371694863</v>
      </c>
      <c r="L1559" s="2">
        <v>564.11100170544012</v>
      </c>
      <c r="M1559" s="2">
        <v>547.18767165427687</v>
      </c>
      <c r="N1559" s="2">
        <v>530.77204150464854</v>
      </c>
      <c r="O1559" s="2">
        <v>514.84888025950909</v>
      </c>
    </row>
    <row r="1560" spans="1:15" x14ac:dyDescent="0.25">
      <c r="A1560" t="s">
        <v>4168</v>
      </c>
      <c r="B1560" t="s">
        <v>4167</v>
      </c>
      <c r="C1560" s="2">
        <v>742.02572400000008</v>
      </c>
      <c r="D1560" s="2">
        <v>719.7649522800001</v>
      </c>
      <c r="E1560" s="2">
        <v>698.17200371160004</v>
      </c>
      <c r="F1560" s="2">
        <v>677.22684360025198</v>
      </c>
      <c r="G1560" s="2">
        <v>656.91003829224439</v>
      </c>
      <c r="H1560" s="2">
        <v>637.20273714347707</v>
      </c>
      <c r="I1560" s="2">
        <v>618.08665502917279</v>
      </c>
      <c r="J1560" s="2">
        <v>599.54405537829757</v>
      </c>
      <c r="K1560" s="2">
        <v>581.55773371694863</v>
      </c>
      <c r="L1560" s="2">
        <v>564.11100170544012</v>
      </c>
      <c r="M1560" s="2">
        <v>547.18767165427687</v>
      </c>
      <c r="N1560" s="2">
        <v>530.77204150464854</v>
      </c>
      <c r="O1560" s="2">
        <v>514.84888025950909</v>
      </c>
    </row>
    <row r="1561" spans="1:15" x14ac:dyDescent="0.25">
      <c r="A1561" t="s">
        <v>4169</v>
      </c>
      <c r="B1561" t="s">
        <v>4167</v>
      </c>
      <c r="C1561" s="2">
        <v>742.02572400000008</v>
      </c>
      <c r="D1561" s="2">
        <v>719.7649522800001</v>
      </c>
      <c r="E1561" s="2">
        <v>698.17200371160004</v>
      </c>
      <c r="F1561" s="2">
        <v>677.22684360025198</v>
      </c>
      <c r="G1561" s="2">
        <v>656.91003829224439</v>
      </c>
      <c r="H1561" s="2">
        <v>637.20273714347707</v>
      </c>
      <c r="I1561" s="2">
        <v>618.08665502917279</v>
      </c>
      <c r="J1561" s="2">
        <v>599.54405537829757</v>
      </c>
      <c r="K1561" s="2">
        <v>581.55773371694863</v>
      </c>
      <c r="L1561" s="2">
        <v>564.11100170544012</v>
      </c>
      <c r="M1561" s="2">
        <v>547.18767165427687</v>
      </c>
      <c r="N1561" s="2">
        <v>530.77204150464854</v>
      </c>
      <c r="O1561" s="2">
        <v>514.84888025950909</v>
      </c>
    </row>
    <row r="1562" spans="1:15" x14ac:dyDescent="0.25">
      <c r="A1562" t="s">
        <v>4170</v>
      </c>
      <c r="B1562" t="s">
        <v>4171</v>
      </c>
      <c r="C1562" s="2">
        <v>738.65374000000008</v>
      </c>
      <c r="D1562" s="2">
        <v>716.49412780000011</v>
      </c>
      <c r="E1562" s="2">
        <v>694.99930396600007</v>
      </c>
      <c r="F1562" s="2">
        <v>674.14932484702001</v>
      </c>
      <c r="G1562" s="2">
        <v>653.92484510160944</v>
      </c>
      <c r="H1562" s="2">
        <v>634.30709974856109</v>
      </c>
      <c r="I1562" s="2">
        <v>615.27788675610418</v>
      </c>
      <c r="J1562" s="2">
        <v>596.81955015342101</v>
      </c>
      <c r="K1562" s="2">
        <v>578.91496364881834</v>
      </c>
      <c r="L1562" s="2">
        <v>561.5475147393538</v>
      </c>
      <c r="M1562" s="2">
        <v>544.70108929717321</v>
      </c>
      <c r="N1562" s="2">
        <v>528.360056618258</v>
      </c>
      <c r="O1562" s="2">
        <v>512.5092549197102</v>
      </c>
    </row>
    <row r="1563" spans="1:15" x14ac:dyDescent="0.25">
      <c r="A1563" t="s">
        <v>4172</v>
      </c>
      <c r="B1563" t="s">
        <v>4171</v>
      </c>
      <c r="C1563" s="2">
        <v>738.65374000000008</v>
      </c>
      <c r="D1563" s="2">
        <v>716.49412780000011</v>
      </c>
      <c r="E1563" s="2">
        <v>694.99930396600007</v>
      </c>
      <c r="F1563" s="2">
        <v>674.14932484702001</v>
      </c>
      <c r="G1563" s="2">
        <v>653.92484510160944</v>
      </c>
      <c r="H1563" s="2">
        <v>634.30709974856109</v>
      </c>
      <c r="I1563" s="2">
        <v>615.27788675610418</v>
      </c>
      <c r="J1563" s="2">
        <v>596.81955015342101</v>
      </c>
      <c r="K1563" s="2">
        <v>578.91496364881834</v>
      </c>
      <c r="L1563" s="2">
        <v>561.5475147393538</v>
      </c>
      <c r="M1563" s="2">
        <v>544.70108929717321</v>
      </c>
      <c r="N1563" s="2">
        <v>528.360056618258</v>
      </c>
      <c r="O1563" s="2">
        <v>512.5092549197102</v>
      </c>
    </row>
    <row r="1564" spans="1:15" x14ac:dyDescent="0.25">
      <c r="A1564" t="s">
        <v>4173</v>
      </c>
      <c r="B1564" t="s">
        <v>4174</v>
      </c>
      <c r="C1564" s="2">
        <v>736.57408000000021</v>
      </c>
      <c r="D1564" s="2">
        <v>714.47685760000013</v>
      </c>
      <c r="E1564" s="2">
        <v>693.0425518720001</v>
      </c>
      <c r="F1564" s="2">
        <v>672.25127531584008</v>
      </c>
      <c r="G1564" s="2">
        <v>652.08373705636484</v>
      </c>
      <c r="H1564" s="2">
        <v>632.52122494467392</v>
      </c>
      <c r="I1564" s="2">
        <v>613.54558819633371</v>
      </c>
      <c r="J1564" s="2">
        <v>595.13922055044372</v>
      </c>
      <c r="K1564" s="2">
        <v>577.28504393393041</v>
      </c>
      <c r="L1564" s="2">
        <v>559.96649261591244</v>
      </c>
      <c r="M1564" s="2">
        <v>543.16749783743501</v>
      </c>
      <c r="N1564" s="2">
        <v>526.87247290231198</v>
      </c>
      <c r="O1564" s="2">
        <v>511.06629871524262</v>
      </c>
    </row>
    <row r="1565" spans="1:15" x14ac:dyDescent="0.25">
      <c r="A1565" t="s">
        <v>4175</v>
      </c>
      <c r="B1565" t="s">
        <v>4176</v>
      </c>
      <c r="C1565" s="2">
        <v>736.57408000000021</v>
      </c>
      <c r="D1565" s="2">
        <v>714.47685760000013</v>
      </c>
      <c r="E1565" s="2">
        <v>693.0425518720001</v>
      </c>
      <c r="F1565" s="2">
        <v>672.25127531584008</v>
      </c>
      <c r="G1565" s="2">
        <v>652.08373705636484</v>
      </c>
      <c r="H1565" s="2">
        <v>632.52122494467392</v>
      </c>
      <c r="I1565" s="2">
        <v>613.54558819633371</v>
      </c>
      <c r="J1565" s="2">
        <v>595.13922055044372</v>
      </c>
      <c r="K1565" s="2">
        <v>577.28504393393041</v>
      </c>
      <c r="L1565" s="2">
        <v>559.96649261591244</v>
      </c>
      <c r="M1565" s="2">
        <v>543.16749783743501</v>
      </c>
      <c r="N1565" s="2">
        <v>526.87247290231198</v>
      </c>
      <c r="O1565" s="2">
        <v>511.06629871524262</v>
      </c>
    </row>
    <row r="1566" spans="1:15" x14ac:dyDescent="0.25">
      <c r="A1566" t="s">
        <v>4177</v>
      </c>
      <c r="B1566" t="s">
        <v>4178</v>
      </c>
      <c r="C1566" s="2">
        <v>736.57408000000021</v>
      </c>
      <c r="D1566" s="2">
        <v>714.47685760000013</v>
      </c>
      <c r="E1566" s="2">
        <v>693.0425518720001</v>
      </c>
      <c r="F1566" s="2">
        <v>672.25127531584008</v>
      </c>
      <c r="G1566" s="2">
        <v>652.08373705636484</v>
      </c>
      <c r="H1566" s="2">
        <v>632.52122494467392</v>
      </c>
      <c r="I1566" s="2">
        <v>613.54558819633371</v>
      </c>
      <c r="J1566" s="2">
        <v>595.13922055044372</v>
      </c>
      <c r="K1566" s="2">
        <v>577.28504393393041</v>
      </c>
      <c r="L1566" s="2">
        <v>559.96649261591244</v>
      </c>
      <c r="M1566" s="2">
        <v>543.16749783743501</v>
      </c>
      <c r="N1566" s="2">
        <v>526.87247290231198</v>
      </c>
      <c r="O1566" s="2">
        <v>511.06629871524262</v>
      </c>
    </row>
    <row r="1567" spans="1:15" x14ac:dyDescent="0.25">
      <c r="A1567" t="s">
        <v>4179</v>
      </c>
      <c r="B1567" t="s">
        <v>4180</v>
      </c>
      <c r="C1567" s="2">
        <v>736.39596800000015</v>
      </c>
      <c r="D1567" s="2">
        <v>714.30408896000017</v>
      </c>
      <c r="E1567" s="2">
        <v>692.87496629120017</v>
      </c>
      <c r="F1567" s="2">
        <v>672.08871730246415</v>
      </c>
      <c r="G1567" s="2">
        <v>651.92605578339021</v>
      </c>
      <c r="H1567" s="2">
        <v>632.36827410988849</v>
      </c>
      <c r="I1567" s="2">
        <v>613.39722588659185</v>
      </c>
      <c r="J1567" s="2">
        <v>594.99530910999408</v>
      </c>
      <c r="K1567" s="2">
        <v>577.1454498366943</v>
      </c>
      <c r="L1567" s="2">
        <v>559.8310863415935</v>
      </c>
      <c r="M1567" s="2">
        <v>543.03615375134564</v>
      </c>
      <c r="N1567" s="2">
        <v>526.74506913880521</v>
      </c>
      <c r="O1567" s="2">
        <v>510.94271706464104</v>
      </c>
    </row>
    <row r="1568" spans="1:15" x14ac:dyDescent="0.25">
      <c r="A1568" t="s">
        <v>4181</v>
      </c>
      <c r="B1568" t="s">
        <v>4182</v>
      </c>
      <c r="C1568" s="2">
        <v>736.39596800000015</v>
      </c>
      <c r="D1568" s="2">
        <v>714.30408896000017</v>
      </c>
      <c r="E1568" s="2">
        <v>692.87496629120017</v>
      </c>
      <c r="F1568" s="2">
        <v>672.08871730246415</v>
      </c>
      <c r="G1568" s="2">
        <v>651.92605578339021</v>
      </c>
      <c r="H1568" s="2">
        <v>632.36827410988849</v>
      </c>
      <c r="I1568" s="2">
        <v>613.39722588659185</v>
      </c>
      <c r="J1568" s="2">
        <v>594.99530910999408</v>
      </c>
      <c r="K1568" s="2">
        <v>577.1454498366943</v>
      </c>
      <c r="L1568" s="2">
        <v>559.8310863415935</v>
      </c>
      <c r="M1568" s="2">
        <v>543.03615375134564</v>
      </c>
      <c r="N1568" s="2">
        <v>526.74506913880521</v>
      </c>
      <c r="O1568" s="2">
        <v>510.94271706464104</v>
      </c>
    </row>
    <row r="1569" spans="1:15" x14ac:dyDescent="0.25">
      <c r="A1569" t="s">
        <v>4183</v>
      </c>
      <c r="B1569" t="s">
        <v>4184</v>
      </c>
      <c r="C1569" s="2">
        <v>730.41302400000018</v>
      </c>
      <c r="D1569" s="2">
        <v>708.5006332800001</v>
      </c>
      <c r="E1569" s="2">
        <v>687.24561428160007</v>
      </c>
      <c r="F1569" s="2">
        <v>666.62824585315207</v>
      </c>
      <c r="G1569" s="2">
        <v>646.62939847755752</v>
      </c>
      <c r="H1569" s="2">
        <v>627.23051652323079</v>
      </c>
      <c r="I1569" s="2">
        <v>608.4136010275339</v>
      </c>
      <c r="J1569" s="2">
        <v>590.16119299670788</v>
      </c>
      <c r="K1569" s="2">
        <v>572.45635720680662</v>
      </c>
      <c r="L1569" s="2">
        <v>555.28266649060242</v>
      </c>
      <c r="M1569" s="2">
        <v>538.62418649588437</v>
      </c>
      <c r="N1569" s="2">
        <v>522.46546090100787</v>
      </c>
      <c r="O1569" s="2">
        <v>506.79149707397761</v>
      </c>
    </row>
    <row r="1570" spans="1:15" x14ac:dyDescent="0.25">
      <c r="A1570" t="s">
        <v>4185</v>
      </c>
      <c r="B1570" t="s">
        <v>4186</v>
      </c>
      <c r="C1570" s="2">
        <v>728.20231000000013</v>
      </c>
      <c r="D1570" s="2">
        <v>706.35624070000006</v>
      </c>
      <c r="E1570" s="2">
        <v>685.16555347899998</v>
      </c>
      <c r="F1570" s="2">
        <v>664.61058687462992</v>
      </c>
      <c r="G1570" s="2">
        <v>644.67226926839101</v>
      </c>
      <c r="H1570" s="2">
        <v>625.33210119033924</v>
      </c>
      <c r="I1570" s="2">
        <v>606.5721381546291</v>
      </c>
      <c r="J1570" s="2">
        <v>588.37497400999018</v>
      </c>
      <c r="K1570" s="2">
        <v>570.72372478969044</v>
      </c>
      <c r="L1570" s="2">
        <v>553.60201304599968</v>
      </c>
      <c r="M1570" s="2">
        <v>536.99395265461965</v>
      </c>
      <c r="N1570" s="2">
        <v>520.88413407498103</v>
      </c>
      <c r="O1570" s="2">
        <v>505.25761005273159</v>
      </c>
    </row>
    <row r="1571" spans="1:15" x14ac:dyDescent="0.25">
      <c r="A1571" t="s">
        <v>4187</v>
      </c>
      <c r="B1571" t="s">
        <v>4171</v>
      </c>
      <c r="C1571" s="2">
        <v>723.26476200000002</v>
      </c>
      <c r="D1571" s="2">
        <v>701.56681914000001</v>
      </c>
      <c r="E1571" s="2">
        <v>680.51981456579995</v>
      </c>
      <c r="F1571" s="2">
        <v>660.10422012882589</v>
      </c>
      <c r="G1571" s="2">
        <v>640.30109352496106</v>
      </c>
      <c r="H1571" s="2">
        <v>621.09206071921221</v>
      </c>
      <c r="I1571" s="2">
        <v>602.45929889763579</v>
      </c>
      <c r="J1571" s="2">
        <v>584.38551993070666</v>
      </c>
      <c r="K1571" s="2">
        <v>566.85395433278541</v>
      </c>
      <c r="L1571" s="2">
        <v>549.84833570280182</v>
      </c>
      <c r="M1571" s="2">
        <v>533.35288563171775</v>
      </c>
      <c r="N1571" s="2">
        <v>517.35229906276618</v>
      </c>
      <c r="O1571" s="2">
        <v>501.83173009088318</v>
      </c>
    </row>
    <row r="1572" spans="1:15" x14ac:dyDescent="0.25">
      <c r="A1572" t="s">
        <v>4188</v>
      </c>
      <c r="B1572" t="s">
        <v>4189</v>
      </c>
      <c r="C1572" s="2">
        <v>723.26476200000002</v>
      </c>
      <c r="D1572" s="2">
        <v>701.56681914000001</v>
      </c>
      <c r="E1572" s="2">
        <v>680.51981456579995</v>
      </c>
      <c r="F1572" s="2">
        <v>660.10422012882589</v>
      </c>
      <c r="G1572" s="2">
        <v>640.30109352496106</v>
      </c>
      <c r="H1572" s="2">
        <v>621.09206071921221</v>
      </c>
      <c r="I1572" s="2">
        <v>602.45929889763579</v>
      </c>
      <c r="J1572" s="2">
        <v>584.38551993070666</v>
      </c>
      <c r="K1572" s="2">
        <v>566.85395433278541</v>
      </c>
      <c r="L1572" s="2">
        <v>549.84833570280182</v>
      </c>
      <c r="M1572" s="2">
        <v>533.35288563171775</v>
      </c>
      <c r="N1572" s="2">
        <v>517.35229906276618</v>
      </c>
      <c r="O1572" s="2">
        <v>501.83173009088318</v>
      </c>
    </row>
    <row r="1573" spans="1:15" x14ac:dyDescent="0.25">
      <c r="A1573" t="s">
        <v>4190</v>
      </c>
      <c r="B1573" t="s">
        <v>4191</v>
      </c>
      <c r="C1573" s="2">
        <v>720.43470400000001</v>
      </c>
      <c r="D1573" s="2">
        <v>698.82166287999996</v>
      </c>
      <c r="E1573" s="2">
        <v>677.85701299359994</v>
      </c>
      <c r="F1573" s="2">
        <v>657.52130260379192</v>
      </c>
      <c r="G1573" s="2">
        <v>637.79566352567815</v>
      </c>
      <c r="H1573" s="2">
        <v>618.66179361990783</v>
      </c>
      <c r="I1573" s="2">
        <v>600.10193981131056</v>
      </c>
      <c r="J1573" s="2">
        <v>582.0988816169712</v>
      </c>
      <c r="K1573" s="2">
        <v>564.63591516846202</v>
      </c>
      <c r="L1573" s="2">
        <v>547.69683771340817</v>
      </c>
      <c r="M1573" s="2">
        <v>531.26593258200592</v>
      </c>
      <c r="N1573" s="2">
        <v>515.32795460454577</v>
      </c>
      <c r="O1573" s="2">
        <v>499.86811596640939</v>
      </c>
    </row>
    <row r="1574" spans="1:15" x14ac:dyDescent="0.25">
      <c r="A1574" t="s">
        <v>4192</v>
      </c>
      <c r="B1574" t="s">
        <v>4193</v>
      </c>
      <c r="C1574" s="2">
        <v>720.43470400000001</v>
      </c>
      <c r="D1574" s="2">
        <v>698.82166287999996</v>
      </c>
      <c r="E1574" s="2">
        <v>677.85701299359994</v>
      </c>
      <c r="F1574" s="2">
        <v>657.52130260379192</v>
      </c>
      <c r="G1574" s="2">
        <v>637.79566352567815</v>
      </c>
      <c r="H1574" s="2">
        <v>618.66179361990783</v>
      </c>
      <c r="I1574" s="2">
        <v>600.10193981131056</v>
      </c>
      <c r="J1574" s="2">
        <v>582.0988816169712</v>
      </c>
      <c r="K1574" s="2">
        <v>564.63591516846202</v>
      </c>
      <c r="L1574" s="2">
        <v>547.69683771340817</v>
      </c>
      <c r="M1574" s="2">
        <v>531.26593258200592</v>
      </c>
      <c r="N1574" s="2">
        <v>515.32795460454577</v>
      </c>
      <c r="O1574" s="2">
        <v>499.86811596640939</v>
      </c>
    </row>
    <row r="1575" spans="1:15" x14ac:dyDescent="0.25">
      <c r="A1575" t="s">
        <v>4194</v>
      </c>
      <c r="B1575" t="s">
        <v>4195</v>
      </c>
      <c r="C1575" s="2">
        <v>719.52289200000007</v>
      </c>
      <c r="D1575" s="2">
        <v>697.93720524000003</v>
      </c>
      <c r="E1575" s="2">
        <v>676.99908908279997</v>
      </c>
      <c r="F1575" s="2">
        <v>656.68911641031593</v>
      </c>
      <c r="G1575" s="2">
        <v>636.9884429180064</v>
      </c>
      <c r="H1575" s="2">
        <v>617.87878963046614</v>
      </c>
      <c r="I1575" s="2">
        <v>599.34242594155216</v>
      </c>
      <c r="J1575" s="2">
        <v>581.36215316330561</v>
      </c>
      <c r="K1575" s="2">
        <v>563.92128856840645</v>
      </c>
      <c r="L1575" s="2">
        <v>547.00364991135427</v>
      </c>
      <c r="M1575" s="2">
        <v>530.59354041401366</v>
      </c>
      <c r="N1575" s="2">
        <v>514.67573420159329</v>
      </c>
      <c r="O1575" s="2">
        <v>499.23546217554548</v>
      </c>
    </row>
    <row r="1576" spans="1:15" x14ac:dyDescent="0.25">
      <c r="A1576" t="s">
        <v>4196</v>
      </c>
      <c r="B1576" t="s">
        <v>4197</v>
      </c>
      <c r="C1576" s="2">
        <v>719.52289200000007</v>
      </c>
      <c r="D1576" s="2">
        <v>697.93720524000003</v>
      </c>
      <c r="E1576" s="2">
        <v>676.99908908279997</v>
      </c>
      <c r="F1576" s="2">
        <v>656.68911641031593</v>
      </c>
      <c r="G1576" s="2">
        <v>636.9884429180064</v>
      </c>
      <c r="H1576" s="2">
        <v>617.87878963046614</v>
      </c>
      <c r="I1576" s="2">
        <v>599.34242594155216</v>
      </c>
      <c r="J1576" s="2">
        <v>581.36215316330561</v>
      </c>
      <c r="K1576" s="2">
        <v>563.92128856840645</v>
      </c>
      <c r="L1576" s="2">
        <v>547.00364991135427</v>
      </c>
      <c r="M1576" s="2">
        <v>530.59354041401366</v>
      </c>
      <c r="N1576" s="2">
        <v>514.67573420159329</v>
      </c>
      <c r="O1576" s="2">
        <v>499.23546217554548</v>
      </c>
    </row>
    <row r="1577" spans="1:15" x14ac:dyDescent="0.25">
      <c r="A1577" t="s">
        <v>4198</v>
      </c>
      <c r="B1577" t="s">
        <v>4199</v>
      </c>
      <c r="C1577" s="2">
        <v>710.19832399999996</v>
      </c>
      <c r="D1577" s="2">
        <v>688.8923742799999</v>
      </c>
      <c r="E1577" s="2">
        <v>668.22560305159993</v>
      </c>
      <c r="F1577" s="2">
        <v>648.17883496005197</v>
      </c>
      <c r="G1577" s="2">
        <v>628.73346991125038</v>
      </c>
      <c r="H1577" s="2">
        <v>609.87146581391289</v>
      </c>
      <c r="I1577" s="2">
        <v>591.57532183949547</v>
      </c>
      <c r="J1577" s="2">
        <v>573.82806218431062</v>
      </c>
      <c r="K1577" s="2">
        <v>556.61322031878126</v>
      </c>
      <c r="L1577" s="2">
        <v>539.91482370921779</v>
      </c>
      <c r="M1577" s="2">
        <v>523.71737899794118</v>
      </c>
      <c r="N1577" s="2">
        <v>508.00585762800296</v>
      </c>
      <c r="O1577" s="2">
        <v>492.76568189916287</v>
      </c>
    </row>
    <row r="1578" spans="1:15" x14ac:dyDescent="0.25">
      <c r="A1578" t="s">
        <v>4200</v>
      </c>
      <c r="B1578" t="s">
        <v>4201</v>
      </c>
      <c r="C1578" s="2">
        <v>708.93382999999994</v>
      </c>
      <c r="D1578" s="2">
        <v>687.66581509999992</v>
      </c>
      <c r="E1578" s="2">
        <v>667.03584064699987</v>
      </c>
      <c r="F1578" s="2">
        <v>647.02476542758984</v>
      </c>
      <c r="G1578" s="2">
        <v>627.61402246476212</v>
      </c>
      <c r="H1578" s="2">
        <v>608.78560179081921</v>
      </c>
      <c r="I1578" s="2">
        <v>590.5220337370946</v>
      </c>
      <c r="J1578" s="2">
        <v>572.80637272498177</v>
      </c>
      <c r="K1578" s="2">
        <v>555.62218154323227</v>
      </c>
      <c r="L1578" s="2">
        <v>538.95351609693535</v>
      </c>
      <c r="M1578" s="2">
        <v>522.78491061402724</v>
      </c>
      <c r="N1578" s="2">
        <v>507.1013632956064</v>
      </c>
      <c r="O1578" s="2">
        <v>491.8883223967382</v>
      </c>
    </row>
    <row r="1579" spans="1:15" x14ac:dyDescent="0.25">
      <c r="A1579" t="s">
        <v>4202</v>
      </c>
      <c r="B1579" t="s">
        <v>4201</v>
      </c>
      <c r="C1579" s="2">
        <v>708.93382999999994</v>
      </c>
      <c r="D1579" s="2">
        <v>687.66581509999992</v>
      </c>
      <c r="E1579" s="2">
        <v>667.03584064699987</v>
      </c>
      <c r="F1579" s="2">
        <v>647.02476542758984</v>
      </c>
      <c r="G1579" s="2">
        <v>627.61402246476212</v>
      </c>
      <c r="H1579" s="2">
        <v>608.78560179081921</v>
      </c>
      <c r="I1579" s="2">
        <v>590.5220337370946</v>
      </c>
      <c r="J1579" s="2">
        <v>572.80637272498177</v>
      </c>
      <c r="K1579" s="2">
        <v>555.62218154323227</v>
      </c>
      <c r="L1579" s="2">
        <v>538.95351609693535</v>
      </c>
      <c r="M1579" s="2">
        <v>522.78491061402724</v>
      </c>
      <c r="N1579" s="2">
        <v>507.1013632956064</v>
      </c>
      <c r="O1579" s="2">
        <v>491.8883223967382</v>
      </c>
    </row>
    <row r="1580" spans="1:15" x14ac:dyDescent="0.25">
      <c r="A1580" t="s">
        <v>4203</v>
      </c>
      <c r="B1580" t="s">
        <v>4201</v>
      </c>
      <c r="C1580" s="2">
        <v>708.93382999999994</v>
      </c>
      <c r="D1580" s="2">
        <v>687.66581509999992</v>
      </c>
      <c r="E1580" s="2">
        <v>667.03584064699987</v>
      </c>
      <c r="F1580" s="2">
        <v>647.02476542758984</v>
      </c>
      <c r="G1580" s="2">
        <v>627.61402246476212</v>
      </c>
      <c r="H1580" s="2">
        <v>608.78560179081921</v>
      </c>
      <c r="I1580" s="2">
        <v>590.5220337370946</v>
      </c>
      <c r="J1580" s="2">
        <v>572.80637272498177</v>
      </c>
      <c r="K1580" s="2">
        <v>555.62218154323227</v>
      </c>
      <c r="L1580" s="2">
        <v>538.95351609693535</v>
      </c>
      <c r="M1580" s="2">
        <v>522.78491061402724</v>
      </c>
      <c r="N1580" s="2">
        <v>507.1013632956064</v>
      </c>
      <c r="O1580" s="2">
        <v>491.8883223967382</v>
      </c>
    </row>
    <row r="1581" spans="1:15" x14ac:dyDescent="0.25">
      <c r="A1581" t="s">
        <v>4204</v>
      </c>
      <c r="B1581" t="s">
        <v>4205</v>
      </c>
      <c r="C1581" s="2">
        <v>705.95753800000011</v>
      </c>
      <c r="D1581" s="2">
        <v>684.77881186000013</v>
      </c>
      <c r="E1581" s="2">
        <v>664.23544750420012</v>
      </c>
      <c r="F1581" s="2">
        <v>644.30838407907413</v>
      </c>
      <c r="G1581" s="2">
        <v>624.97913255670187</v>
      </c>
      <c r="H1581" s="2">
        <v>606.22975858000075</v>
      </c>
      <c r="I1581" s="2">
        <v>588.04286582260067</v>
      </c>
      <c r="J1581" s="2">
        <v>570.40157984792268</v>
      </c>
      <c r="K1581" s="2">
        <v>553.28953245248499</v>
      </c>
      <c r="L1581" s="2">
        <v>536.69084647891043</v>
      </c>
      <c r="M1581" s="2">
        <v>520.59012108454306</v>
      </c>
      <c r="N1581" s="2">
        <v>504.97241745200677</v>
      </c>
      <c r="O1581" s="2">
        <v>489.82324492844657</v>
      </c>
    </row>
    <row r="1582" spans="1:15" x14ac:dyDescent="0.25">
      <c r="A1582" t="s">
        <v>4206</v>
      </c>
      <c r="B1582" t="s">
        <v>4205</v>
      </c>
      <c r="C1582" s="2">
        <v>705.95753800000011</v>
      </c>
      <c r="D1582" s="2">
        <v>684.77881186000013</v>
      </c>
      <c r="E1582" s="2">
        <v>664.23544750420012</v>
      </c>
      <c r="F1582" s="2">
        <v>644.30838407907413</v>
      </c>
      <c r="G1582" s="2">
        <v>624.97913255670187</v>
      </c>
      <c r="H1582" s="2">
        <v>606.22975858000075</v>
      </c>
      <c r="I1582" s="2">
        <v>588.04286582260067</v>
      </c>
      <c r="J1582" s="2">
        <v>570.40157984792268</v>
      </c>
      <c r="K1582" s="2">
        <v>553.28953245248499</v>
      </c>
      <c r="L1582" s="2">
        <v>536.69084647891043</v>
      </c>
      <c r="M1582" s="2">
        <v>520.59012108454306</v>
      </c>
      <c r="N1582" s="2">
        <v>504.97241745200677</v>
      </c>
      <c r="O1582" s="2">
        <v>489.82324492844657</v>
      </c>
    </row>
    <row r="1583" spans="1:15" x14ac:dyDescent="0.25">
      <c r="A1583" t="s">
        <v>4207</v>
      </c>
      <c r="B1583" t="s">
        <v>4205</v>
      </c>
      <c r="C1583" s="2">
        <v>705.95753800000011</v>
      </c>
      <c r="D1583" s="2">
        <v>684.77881186000013</v>
      </c>
      <c r="E1583" s="2">
        <v>664.23544750420012</v>
      </c>
      <c r="F1583" s="2">
        <v>644.30838407907413</v>
      </c>
      <c r="G1583" s="2">
        <v>624.97913255670187</v>
      </c>
      <c r="H1583" s="2">
        <v>606.22975858000075</v>
      </c>
      <c r="I1583" s="2">
        <v>588.04286582260067</v>
      </c>
      <c r="J1583" s="2">
        <v>570.40157984792268</v>
      </c>
      <c r="K1583" s="2">
        <v>553.28953245248499</v>
      </c>
      <c r="L1583" s="2">
        <v>536.69084647891043</v>
      </c>
      <c r="M1583" s="2">
        <v>520.59012108454306</v>
      </c>
      <c r="N1583" s="2">
        <v>504.97241745200677</v>
      </c>
      <c r="O1583" s="2">
        <v>489.82324492844657</v>
      </c>
    </row>
    <row r="1584" spans="1:15" x14ac:dyDescent="0.25">
      <c r="A1584" t="s">
        <v>4208</v>
      </c>
      <c r="B1584" t="s">
        <v>4205</v>
      </c>
      <c r="C1584" s="2">
        <v>705.95753800000011</v>
      </c>
      <c r="D1584" s="2">
        <v>684.77881186000013</v>
      </c>
      <c r="E1584" s="2">
        <v>664.23544750420012</v>
      </c>
      <c r="F1584" s="2">
        <v>644.30838407907413</v>
      </c>
      <c r="G1584" s="2">
        <v>624.97913255670187</v>
      </c>
      <c r="H1584" s="2">
        <v>606.22975858000075</v>
      </c>
      <c r="I1584" s="2">
        <v>588.04286582260067</v>
      </c>
      <c r="J1584" s="2">
        <v>570.40157984792268</v>
      </c>
      <c r="K1584" s="2">
        <v>553.28953245248499</v>
      </c>
      <c r="L1584" s="2">
        <v>536.69084647891043</v>
      </c>
      <c r="M1584" s="2">
        <v>520.59012108454306</v>
      </c>
      <c r="N1584" s="2">
        <v>504.97241745200677</v>
      </c>
      <c r="O1584" s="2">
        <v>489.82324492844657</v>
      </c>
    </row>
    <row r="1585" spans="1:15" x14ac:dyDescent="0.25">
      <c r="A1585" t="s">
        <v>4209</v>
      </c>
      <c r="B1585" t="s">
        <v>4210</v>
      </c>
      <c r="C1585" s="2">
        <v>705.9388160000002</v>
      </c>
      <c r="D1585" s="2">
        <v>684.76065152000012</v>
      </c>
      <c r="E1585" s="2">
        <v>664.21783197440016</v>
      </c>
      <c r="F1585" s="2">
        <v>644.29129701516808</v>
      </c>
      <c r="G1585" s="2">
        <v>624.96255810471303</v>
      </c>
      <c r="H1585" s="2">
        <v>606.21368136157162</v>
      </c>
      <c r="I1585" s="2">
        <v>588.0272709207245</v>
      </c>
      <c r="J1585" s="2">
        <v>570.38645279310276</v>
      </c>
      <c r="K1585" s="2">
        <v>553.27485920930962</v>
      </c>
      <c r="L1585" s="2">
        <v>536.6766134330303</v>
      </c>
      <c r="M1585" s="2">
        <v>520.57631503003938</v>
      </c>
      <c r="N1585" s="2">
        <v>504.9590255791382</v>
      </c>
      <c r="O1585" s="2">
        <v>489.81025481176403</v>
      </c>
    </row>
    <row r="1586" spans="1:15" x14ac:dyDescent="0.25">
      <c r="A1586" t="s">
        <v>4211</v>
      </c>
      <c r="B1586" t="s">
        <v>4212</v>
      </c>
      <c r="C1586" s="2">
        <v>703.73822200000006</v>
      </c>
      <c r="D1586" s="2">
        <v>682.62607534000006</v>
      </c>
      <c r="E1586" s="2">
        <v>662.14729307980008</v>
      </c>
      <c r="F1586" s="2">
        <v>642.282874287406</v>
      </c>
      <c r="G1586" s="2">
        <v>623.01438805878377</v>
      </c>
      <c r="H1586" s="2">
        <v>604.32395641702021</v>
      </c>
      <c r="I1586" s="2">
        <v>586.19423772450955</v>
      </c>
      <c r="J1586" s="2">
        <v>568.60841059277425</v>
      </c>
      <c r="K1586" s="2">
        <v>551.55015827499096</v>
      </c>
      <c r="L1586" s="2">
        <v>535.00365352674123</v>
      </c>
      <c r="M1586" s="2">
        <v>518.95354392093896</v>
      </c>
      <c r="N1586" s="2">
        <v>503.38493760331079</v>
      </c>
      <c r="O1586" s="2">
        <v>488.28338947521144</v>
      </c>
    </row>
    <row r="1587" spans="1:15" x14ac:dyDescent="0.25">
      <c r="A1587" t="s">
        <v>4213</v>
      </c>
      <c r="B1587" t="s">
        <v>4212</v>
      </c>
      <c r="C1587" s="2">
        <v>703.73822200000006</v>
      </c>
      <c r="D1587" s="2">
        <v>682.62607534000006</v>
      </c>
      <c r="E1587" s="2">
        <v>662.14729307980008</v>
      </c>
      <c r="F1587" s="2">
        <v>642.282874287406</v>
      </c>
      <c r="G1587" s="2">
        <v>623.01438805878377</v>
      </c>
      <c r="H1587" s="2">
        <v>604.32395641702021</v>
      </c>
      <c r="I1587" s="2">
        <v>586.19423772450955</v>
      </c>
      <c r="J1587" s="2">
        <v>568.60841059277425</v>
      </c>
      <c r="K1587" s="2">
        <v>551.55015827499096</v>
      </c>
      <c r="L1587" s="2">
        <v>535.00365352674123</v>
      </c>
      <c r="M1587" s="2">
        <v>518.95354392093896</v>
      </c>
      <c r="N1587" s="2">
        <v>503.38493760331079</v>
      </c>
      <c r="O1587" s="2">
        <v>488.28338947521144</v>
      </c>
    </row>
    <row r="1588" spans="1:15" x14ac:dyDescent="0.25">
      <c r="A1588" t="s">
        <v>4214</v>
      </c>
      <c r="B1588" t="s">
        <v>4212</v>
      </c>
      <c r="C1588" s="2">
        <v>703.73822200000006</v>
      </c>
      <c r="D1588" s="2">
        <v>682.62607534000006</v>
      </c>
      <c r="E1588" s="2">
        <v>662.14729307980008</v>
      </c>
      <c r="F1588" s="2">
        <v>642.282874287406</v>
      </c>
      <c r="G1588" s="2">
        <v>623.01438805878377</v>
      </c>
      <c r="H1588" s="2">
        <v>604.32395641702021</v>
      </c>
      <c r="I1588" s="2">
        <v>586.19423772450955</v>
      </c>
      <c r="J1588" s="2">
        <v>568.60841059277425</v>
      </c>
      <c r="K1588" s="2">
        <v>551.55015827499096</v>
      </c>
      <c r="L1588" s="2">
        <v>535.00365352674123</v>
      </c>
      <c r="M1588" s="2">
        <v>518.95354392093896</v>
      </c>
      <c r="N1588" s="2">
        <v>503.38493760331079</v>
      </c>
      <c r="O1588" s="2">
        <v>488.28338947521144</v>
      </c>
    </row>
    <row r="1589" spans="1:15" x14ac:dyDescent="0.25">
      <c r="A1589" t="s">
        <v>1151</v>
      </c>
      <c r="B1589" t="s">
        <v>4215</v>
      </c>
      <c r="C1589" s="2">
        <v>702.1124440000001</v>
      </c>
      <c r="D1589" s="2">
        <v>681.04907068000011</v>
      </c>
      <c r="E1589" s="2">
        <v>660.61759855960008</v>
      </c>
      <c r="F1589" s="2">
        <v>640.79907060281209</v>
      </c>
      <c r="G1589" s="2">
        <v>621.57509848472773</v>
      </c>
      <c r="H1589" s="2">
        <v>602.92784553018589</v>
      </c>
      <c r="I1589" s="2">
        <v>584.84001016428033</v>
      </c>
      <c r="J1589" s="2">
        <v>567.29480985935186</v>
      </c>
      <c r="K1589" s="2">
        <v>550.27596556357128</v>
      </c>
      <c r="L1589" s="2">
        <v>533.76768659666413</v>
      </c>
      <c r="M1589" s="2">
        <v>517.75465599876418</v>
      </c>
      <c r="N1589" s="2">
        <v>502.22201631880125</v>
      </c>
      <c r="O1589" s="2">
        <v>487.15535582923718</v>
      </c>
    </row>
    <row r="1590" spans="1:15" x14ac:dyDescent="0.25">
      <c r="A1590" t="s">
        <v>4216</v>
      </c>
      <c r="B1590" t="s">
        <v>4217</v>
      </c>
      <c r="C1590" s="2">
        <v>701.76128000000017</v>
      </c>
      <c r="D1590" s="2">
        <v>680.70844160000013</v>
      </c>
      <c r="E1590" s="2">
        <v>660.28718835200016</v>
      </c>
      <c r="F1590" s="2">
        <v>640.47857270144016</v>
      </c>
      <c r="G1590" s="2">
        <v>621.26421552039699</v>
      </c>
      <c r="H1590" s="2">
        <v>602.62628905478505</v>
      </c>
      <c r="I1590" s="2">
        <v>584.54750038314148</v>
      </c>
      <c r="J1590" s="2">
        <v>567.01107537164717</v>
      </c>
      <c r="K1590" s="2">
        <v>550.00074311049775</v>
      </c>
      <c r="L1590" s="2">
        <v>533.50072081718281</v>
      </c>
      <c r="M1590" s="2">
        <v>517.4956991926673</v>
      </c>
      <c r="N1590" s="2">
        <v>501.97082821688724</v>
      </c>
      <c r="O1590" s="2">
        <v>486.91170337038062</v>
      </c>
    </row>
    <row r="1591" spans="1:15" x14ac:dyDescent="0.25">
      <c r="A1591" t="s">
        <v>4218</v>
      </c>
      <c r="B1591" t="s">
        <v>4217</v>
      </c>
      <c r="C1591" s="2">
        <v>701.76128000000017</v>
      </c>
      <c r="D1591" s="2">
        <v>680.70844160000013</v>
      </c>
      <c r="E1591" s="2">
        <v>660.28718835200016</v>
      </c>
      <c r="F1591" s="2">
        <v>640.47857270144016</v>
      </c>
      <c r="G1591" s="2">
        <v>621.26421552039699</v>
      </c>
      <c r="H1591" s="2">
        <v>602.62628905478505</v>
      </c>
      <c r="I1591" s="2">
        <v>584.54750038314148</v>
      </c>
      <c r="J1591" s="2">
        <v>567.01107537164717</v>
      </c>
      <c r="K1591" s="2">
        <v>550.00074311049775</v>
      </c>
      <c r="L1591" s="2">
        <v>533.50072081718281</v>
      </c>
      <c r="M1591" s="2">
        <v>517.4956991926673</v>
      </c>
      <c r="N1591" s="2">
        <v>501.97082821688724</v>
      </c>
      <c r="O1591" s="2">
        <v>486.91170337038062</v>
      </c>
    </row>
    <row r="1592" spans="1:15" x14ac:dyDescent="0.25">
      <c r="A1592" t="s">
        <v>4219</v>
      </c>
      <c r="B1592" t="s">
        <v>4220</v>
      </c>
      <c r="C1592" s="2">
        <v>700.25542400000029</v>
      </c>
      <c r="D1592" s="2">
        <v>679.2477612800003</v>
      </c>
      <c r="E1592" s="2">
        <v>658.87032844160024</v>
      </c>
      <c r="F1592" s="2">
        <v>639.10421858835218</v>
      </c>
      <c r="G1592" s="2">
        <v>619.93109203070162</v>
      </c>
      <c r="H1592" s="2">
        <v>601.33315926978059</v>
      </c>
      <c r="I1592" s="2">
        <v>583.29316449168721</v>
      </c>
      <c r="J1592" s="2">
        <v>565.79436955693654</v>
      </c>
      <c r="K1592" s="2">
        <v>548.82053847022848</v>
      </c>
      <c r="L1592" s="2">
        <v>532.35592231612156</v>
      </c>
      <c r="M1592" s="2">
        <v>516.38524464663794</v>
      </c>
      <c r="N1592" s="2">
        <v>500.89368730723879</v>
      </c>
      <c r="O1592" s="2">
        <v>485.86687668802159</v>
      </c>
    </row>
    <row r="1593" spans="1:15" x14ac:dyDescent="0.25">
      <c r="A1593" t="s">
        <v>4221</v>
      </c>
      <c r="B1593" t="s">
        <v>4222</v>
      </c>
      <c r="C1593" s="2">
        <v>700.25542400000029</v>
      </c>
      <c r="D1593" s="2">
        <v>679.2477612800003</v>
      </c>
      <c r="E1593" s="2">
        <v>658.87032844160024</v>
      </c>
      <c r="F1593" s="2">
        <v>639.10421858835218</v>
      </c>
      <c r="G1593" s="2">
        <v>619.93109203070162</v>
      </c>
      <c r="H1593" s="2">
        <v>601.33315926978059</v>
      </c>
      <c r="I1593" s="2">
        <v>583.29316449168721</v>
      </c>
      <c r="J1593" s="2">
        <v>565.79436955693654</v>
      </c>
      <c r="K1593" s="2">
        <v>548.82053847022848</v>
      </c>
      <c r="L1593" s="2">
        <v>532.35592231612156</v>
      </c>
      <c r="M1593" s="2">
        <v>516.38524464663794</v>
      </c>
      <c r="N1593" s="2">
        <v>500.89368730723879</v>
      </c>
      <c r="O1593" s="2">
        <v>485.86687668802159</v>
      </c>
    </row>
    <row r="1594" spans="1:15" x14ac:dyDescent="0.25">
      <c r="A1594" t="s">
        <v>4223</v>
      </c>
      <c r="B1594" t="s">
        <v>4224</v>
      </c>
      <c r="C1594" s="2">
        <v>694.63680000000011</v>
      </c>
      <c r="D1594" s="2">
        <v>673.79769600000009</v>
      </c>
      <c r="E1594" s="2">
        <v>653.58376512000007</v>
      </c>
      <c r="F1594" s="2">
        <v>633.97625216640006</v>
      </c>
      <c r="G1594" s="2">
        <v>614.956964601408</v>
      </c>
      <c r="H1594" s="2">
        <v>596.50825566336573</v>
      </c>
      <c r="I1594" s="2">
        <v>578.61300799346475</v>
      </c>
      <c r="J1594" s="2">
        <v>561.2546177536608</v>
      </c>
      <c r="K1594" s="2">
        <v>544.41697922105095</v>
      </c>
      <c r="L1594" s="2">
        <v>528.08446984441946</v>
      </c>
      <c r="M1594" s="2">
        <v>512.24193574908691</v>
      </c>
      <c r="N1594" s="2">
        <v>496.87467767661428</v>
      </c>
      <c r="O1594" s="2">
        <v>481.96843734631585</v>
      </c>
    </row>
    <row r="1595" spans="1:15" x14ac:dyDescent="0.25">
      <c r="A1595" t="s">
        <v>4225</v>
      </c>
      <c r="B1595" t="s">
        <v>4226</v>
      </c>
      <c r="C1595" s="2">
        <v>694.63680000000011</v>
      </c>
      <c r="D1595" s="2">
        <v>673.79769600000009</v>
      </c>
      <c r="E1595" s="2">
        <v>653.58376512000007</v>
      </c>
      <c r="F1595" s="2">
        <v>633.97625216640006</v>
      </c>
      <c r="G1595" s="2">
        <v>614.956964601408</v>
      </c>
      <c r="H1595" s="2">
        <v>596.50825566336573</v>
      </c>
      <c r="I1595" s="2">
        <v>578.61300799346475</v>
      </c>
      <c r="J1595" s="2">
        <v>561.2546177536608</v>
      </c>
      <c r="K1595" s="2">
        <v>544.41697922105095</v>
      </c>
      <c r="L1595" s="2">
        <v>528.08446984441946</v>
      </c>
      <c r="M1595" s="2">
        <v>512.24193574908691</v>
      </c>
      <c r="N1595" s="2">
        <v>496.87467767661428</v>
      </c>
      <c r="O1595" s="2">
        <v>481.96843734631585</v>
      </c>
    </row>
    <row r="1596" spans="1:15" x14ac:dyDescent="0.25">
      <c r="A1596" t="s">
        <v>4227</v>
      </c>
      <c r="B1596" t="s">
        <v>4228</v>
      </c>
      <c r="C1596" s="2">
        <v>693.25238400000012</v>
      </c>
      <c r="D1596" s="2">
        <v>672.4548124800001</v>
      </c>
      <c r="E1596" s="2">
        <v>652.28116810560005</v>
      </c>
      <c r="F1596" s="2">
        <v>632.71273306243199</v>
      </c>
      <c r="G1596" s="2">
        <v>613.73135107055907</v>
      </c>
      <c r="H1596" s="2">
        <v>595.3194105384423</v>
      </c>
      <c r="I1596" s="2">
        <v>577.45982822228905</v>
      </c>
      <c r="J1596" s="2">
        <v>560.1360333756204</v>
      </c>
      <c r="K1596" s="2">
        <v>543.33195237435177</v>
      </c>
      <c r="L1596" s="2">
        <v>527.03199380312117</v>
      </c>
      <c r="M1596" s="2">
        <v>511.22103398902755</v>
      </c>
      <c r="N1596" s="2">
        <v>495.8844029693567</v>
      </c>
      <c r="O1596" s="2">
        <v>481.00787088027596</v>
      </c>
    </row>
    <row r="1597" spans="1:15" x14ac:dyDescent="0.25">
      <c r="A1597" t="s">
        <v>1103</v>
      </c>
      <c r="B1597" t="s">
        <v>4229</v>
      </c>
      <c r="C1597" s="2">
        <v>691.68985600000008</v>
      </c>
      <c r="D1597" s="2">
        <v>670.93916032000004</v>
      </c>
      <c r="E1597" s="2">
        <v>650.81098551039997</v>
      </c>
      <c r="F1597" s="2">
        <v>631.286655945088</v>
      </c>
      <c r="G1597" s="2">
        <v>612.3480562667354</v>
      </c>
      <c r="H1597" s="2">
        <v>593.97761457873332</v>
      </c>
      <c r="I1597" s="2">
        <v>576.15828614137126</v>
      </c>
      <c r="J1597" s="2">
        <v>558.87353755713013</v>
      </c>
      <c r="K1597" s="2">
        <v>542.10733143041625</v>
      </c>
      <c r="L1597" s="2">
        <v>525.84411148750371</v>
      </c>
      <c r="M1597" s="2">
        <v>510.06878814287859</v>
      </c>
      <c r="N1597" s="2">
        <v>494.76672449859223</v>
      </c>
      <c r="O1597" s="2">
        <v>479.92372276363443</v>
      </c>
    </row>
    <row r="1598" spans="1:15" x14ac:dyDescent="0.25">
      <c r="A1598" t="s">
        <v>4230</v>
      </c>
      <c r="B1598" t="s">
        <v>4231</v>
      </c>
      <c r="C1598" s="2">
        <v>690.39652000000012</v>
      </c>
      <c r="D1598" s="2">
        <v>669.68462440000008</v>
      </c>
      <c r="E1598" s="2">
        <v>649.59408566800005</v>
      </c>
      <c r="F1598" s="2">
        <v>630.10626309795998</v>
      </c>
      <c r="G1598" s="2">
        <v>611.20307520502115</v>
      </c>
      <c r="H1598" s="2">
        <v>592.86698294887049</v>
      </c>
      <c r="I1598" s="2">
        <v>575.08097346040438</v>
      </c>
      <c r="J1598" s="2">
        <v>557.82854425659218</v>
      </c>
      <c r="K1598" s="2">
        <v>541.09368792889438</v>
      </c>
      <c r="L1598" s="2">
        <v>524.86087729102758</v>
      </c>
      <c r="M1598" s="2">
        <v>509.11505097229673</v>
      </c>
      <c r="N1598" s="2">
        <v>493.84159944312779</v>
      </c>
      <c r="O1598" s="2">
        <v>479.02635145983396</v>
      </c>
    </row>
    <row r="1599" spans="1:15" x14ac:dyDescent="0.25">
      <c r="A1599" t="s">
        <v>4232</v>
      </c>
      <c r="B1599" t="s">
        <v>4231</v>
      </c>
      <c r="C1599" s="2">
        <v>690.39652000000012</v>
      </c>
      <c r="D1599" s="2">
        <v>669.68462440000008</v>
      </c>
      <c r="E1599" s="2">
        <v>649.59408566800005</v>
      </c>
      <c r="F1599" s="2">
        <v>630.10626309795998</v>
      </c>
      <c r="G1599" s="2">
        <v>611.20307520502115</v>
      </c>
      <c r="H1599" s="2">
        <v>592.86698294887049</v>
      </c>
      <c r="I1599" s="2">
        <v>575.08097346040438</v>
      </c>
      <c r="J1599" s="2">
        <v>557.82854425659218</v>
      </c>
      <c r="K1599" s="2">
        <v>541.09368792889438</v>
      </c>
      <c r="L1599" s="2">
        <v>524.86087729102758</v>
      </c>
      <c r="M1599" s="2">
        <v>509.11505097229673</v>
      </c>
      <c r="N1599" s="2">
        <v>493.84159944312779</v>
      </c>
      <c r="O1599" s="2">
        <v>479.02635145983396</v>
      </c>
    </row>
    <row r="1600" spans="1:15" x14ac:dyDescent="0.25">
      <c r="A1600" t="s">
        <v>4233</v>
      </c>
      <c r="B1600" t="s">
        <v>4231</v>
      </c>
      <c r="C1600" s="2">
        <v>690.39652000000012</v>
      </c>
      <c r="D1600" s="2">
        <v>669.68462440000008</v>
      </c>
      <c r="E1600" s="2">
        <v>649.59408566800005</v>
      </c>
      <c r="F1600" s="2">
        <v>630.10626309795998</v>
      </c>
      <c r="G1600" s="2">
        <v>611.20307520502115</v>
      </c>
      <c r="H1600" s="2">
        <v>592.86698294887049</v>
      </c>
      <c r="I1600" s="2">
        <v>575.08097346040438</v>
      </c>
      <c r="J1600" s="2">
        <v>557.82854425659218</v>
      </c>
      <c r="K1600" s="2">
        <v>541.09368792889438</v>
      </c>
      <c r="L1600" s="2">
        <v>524.86087729102758</v>
      </c>
      <c r="M1600" s="2">
        <v>509.11505097229673</v>
      </c>
      <c r="N1600" s="2">
        <v>493.84159944312779</v>
      </c>
      <c r="O1600" s="2">
        <v>479.02635145983396</v>
      </c>
    </row>
    <row r="1601" spans="1:15" x14ac:dyDescent="0.25">
      <c r="A1601" t="s">
        <v>4234</v>
      </c>
      <c r="B1601" t="s">
        <v>4235</v>
      </c>
      <c r="C1601" s="2">
        <v>688.90837400000009</v>
      </c>
      <c r="D1601" s="2">
        <v>668.24112278000007</v>
      </c>
      <c r="E1601" s="2">
        <v>648.19388909660006</v>
      </c>
      <c r="F1601" s="2">
        <v>628.74807242370207</v>
      </c>
      <c r="G1601" s="2">
        <v>609.88563025099097</v>
      </c>
      <c r="H1601" s="2">
        <v>591.58906134346125</v>
      </c>
      <c r="I1601" s="2">
        <v>573.84138950315742</v>
      </c>
      <c r="J1601" s="2">
        <v>556.62614781806269</v>
      </c>
      <c r="K1601" s="2">
        <v>539.92736338352074</v>
      </c>
      <c r="L1601" s="2">
        <v>523.72954248201506</v>
      </c>
      <c r="M1601" s="2">
        <v>508.01765620755458</v>
      </c>
      <c r="N1601" s="2">
        <v>492.77712652132794</v>
      </c>
      <c r="O1601" s="2">
        <v>477.99381272568809</v>
      </c>
    </row>
    <row r="1602" spans="1:15" x14ac:dyDescent="0.25">
      <c r="A1602" t="s">
        <v>4236</v>
      </c>
      <c r="B1602" t="s">
        <v>4237</v>
      </c>
      <c r="C1602" s="2">
        <v>687.13636199999996</v>
      </c>
      <c r="D1602" s="2">
        <v>666.52227113999993</v>
      </c>
      <c r="E1602" s="2">
        <v>646.52660300579987</v>
      </c>
      <c r="F1602" s="2">
        <v>627.13080491562584</v>
      </c>
      <c r="G1602" s="2">
        <v>608.31688076815703</v>
      </c>
      <c r="H1602" s="2">
        <v>590.06737434511228</v>
      </c>
      <c r="I1602" s="2">
        <v>572.36535311475893</v>
      </c>
      <c r="J1602" s="2">
        <v>555.1943925213161</v>
      </c>
      <c r="K1602" s="2">
        <v>538.53856074567659</v>
      </c>
      <c r="L1602" s="2">
        <v>522.38240392330624</v>
      </c>
      <c r="M1602" s="2">
        <v>506.71093180560706</v>
      </c>
      <c r="N1602" s="2">
        <v>491.50960385143884</v>
      </c>
      <c r="O1602" s="2">
        <v>476.76431573589565</v>
      </c>
    </row>
    <row r="1603" spans="1:15" x14ac:dyDescent="0.25">
      <c r="A1603" t="s">
        <v>4238</v>
      </c>
      <c r="B1603" t="s">
        <v>4239</v>
      </c>
      <c r="C1603" s="2">
        <v>687.13636199999996</v>
      </c>
      <c r="D1603" s="2">
        <v>666.52227113999993</v>
      </c>
      <c r="E1603" s="2">
        <v>646.52660300579987</v>
      </c>
      <c r="F1603" s="2">
        <v>627.13080491562584</v>
      </c>
      <c r="G1603" s="2">
        <v>608.31688076815703</v>
      </c>
      <c r="H1603" s="2">
        <v>590.06737434511228</v>
      </c>
      <c r="I1603" s="2">
        <v>572.36535311475893</v>
      </c>
      <c r="J1603" s="2">
        <v>555.1943925213161</v>
      </c>
      <c r="K1603" s="2">
        <v>538.53856074567659</v>
      </c>
      <c r="L1603" s="2">
        <v>522.38240392330624</v>
      </c>
      <c r="M1603" s="2">
        <v>506.71093180560706</v>
      </c>
      <c r="N1603" s="2">
        <v>491.50960385143884</v>
      </c>
      <c r="O1603" s="2">
        <v>476.76431573589565</v>
      </c>
    </row>
    <row r="1604" spans="1:15" x14ac:dyDescent="0.25">
      <c r="A1604" t="s">
        <v>4240</v>
      </c>
      <c r="B1604" t="s">
        <v>4241</v>
      </c>
      <c r="C1604" s="2">
        <v>683.79018400000007</v>
      </c>
      <c r="D1604" s="2">
        <v>663.27647848000004</v>
      </c>
      <c r="E1604" s="2">
        <v>643.3781841256</v>
      </c>
      <c r="F1604" s="2">
        <v>624.07683860183204</v>
      </c>
      <c r="G1604" s="2">
        <v>605.35453344377709</v>
      </c>
      <c r="H1604" s="2">
        <v>587.19389744046373</v>
      </c>
      <c r="I1604" s="2">
        <v>569.57808051724976</v>
      </c>
      <c r="J1604" s="2">
        <v>552.49073810173229</v>
      </c>
      <c r="K1604" s="2">
        <v>535.9160159586803</v>
      </c>
      <c r="L1604" s="2">
        <v>519.83853547991987</v>
      </c>
      <c r="M1604" s="2">
        <v>504.24337941552227</v>
      </c>
      <c r="N1604" s="2">
        <v>489.11607803305657</v>
      </c>
      <c r="O1604" s="2">
        <v>474.44259569206486</v>
      </c>
    </row>
    <row r="1605" spans="1:15" x14ac:dyDescent="0.25">
      <c r="A1605" t="s">
        <v>4242</v>
      </c>
      <c r="B1605" t="s">
        <v>4195</v>
      </c>
      <c r="C1605" s="2">
        <v>683.79018400000007</v>
      </c>
      <c r="D1605" s="2">
        <v>663.27647848000004</v>
      </c>
      <c r="E1605" s="2">
        <v>643.3781841256</v>
      </c>
      <c r="F1605" s="2">
        <v>624.07683860183204</v>
      </c>
      <c r="G1605" s="2">
        <v>605.35453344377709</v>
      </c>
      <c r="H1605" s="2">
        <v>587.19389744046373</v>
      </c>
      <c r="I1605" s="2">
        <v>569.57808051724976</v>
      </c>
      <c r="J1605" s="2">
        <v>552.49073810173229</v>
      </c>
      <c r="K1605" s="2">
        <v>535.9160159586803</v>
      </c>
      <c r="L1605" s="2">
        <v>519.83853547991987</v>
      </c>
      <c r="M1605" s="2">
        <v>504.24337941552227</v>
      </c>
      <c r="N1605" s="2">
        <v>489.11607803305657</v>
      </c>
      <c r="O1605" s="2">
        <v>474.44259569206486</v>
      </c>
    </row>
    <row r="1606" spans="1:15" x14ac:dyDescent="0.25">
      <c r="A1606" t="s">
        <v>4243</v>
      </c>
      <c r="B1606" t="s">
        <v>4197</v>
      </c>
      <c r="C1606" s="2">
        <v>683.79018400000007</v>
      </c>
      <c r="D1606" s="2">
        <v>663.27647848000004</v>
      </c>
      <c r="E1606" s="2">
        <v>643.3781841256</v>
      </c>
      <c r="F1606" s="2">
        <v>624.07683860183204</v>
      </c>
      <c r="G1606" s="2">
        <v>605.35453344377709</v>
      </c>
      <c r="H1606" s="2">
        <v>587.19389744046373</v>
      </c>
      <c r="I1606" s="2">
        <v>569.57808051724976</v>
      </c>
      <c r="J1606" s="2">
        <v>552.49073810173229</v>
      </c>
      <c r="K1606" s="2">
        <v>535.9160159586803</v>
      </c>
      <c r="L1606" s="2">
        <v>519.83853547991987</v>
      </c>
      <c r="M1606" s="2">
        <v>504.24337941552227</v>
      </c>
      <c r="N1606" s="2">
        <v>489.11607803305657</v>
      </c>
      <c r="O1606" s="2">
        <v>474.44259569206486</v>
      </c>
    </row>
    <row r="1607" spans="1:15" x14ac:dyDescent="0.25">
      <c r="A1607" t="s">
        <v>4244</v>
      </c>
      <c r="B1607" t="s">
        <v>4245</v>
      </c>
      <c r="C1607" s="2">
        <v>681.71710200000007</v>
      </c>
      <c r="D1607" s="2">
        <v>661.26558894000004</v>
      </c>
      <c r="E1607" s="2">
        <v>641.42762127180004</v>
      </c>
      <c r="F1607" s="2">
        <v>622.184792633646</v>
      </c>
      <c r="G1607" s="2">
        <v>603.51924885463666</v>
      </c>
      <c r="H1607" s="2">
        <v>585.4136713889975</v>
      </c>
      <c r="I1607" s="2">
        <v>567.85126124732756</v>
      </c>
      <c r="J1607" s="2">
        <v>550.81572340990772</v>
      </c>
      <c r="K1607" s="2">
        <v>534.29125170761051</v>
      </c>
      <c r="L1607" s="2">
        <v>518.26251415638217</v>
      </c>
      <c r="M1607" s="2">
        <v>502.71463873169068</v>
      </c>
      <c r="N1607" s="2">
        <v>487.63319956973993</v>
      </c>
      <c r="O1607" s="2">
        <v>473.00420358264773</v>
      </c>
    </row>
    <row r="1608" spans="1:15" x14ac:dyDescent="0.25">
      <c r="A1608" t="s">
        <v>4246</v>
      </c>
      <c r="B1608" t="s">
        <v>4247</v>
      </c>
      <c r="C1608" s="2">
        <v>681.3816240000001</v>
      </c>
      <c r="D1608" s="2">
        <v>660.94017528000006</v>
      </c>
      <c r="E1608" s="2">
        <v>641.11197002160009</v>
      </c>
      <c r="F1608" s="2">
        <v>621.87861092095204</v>
      </c>
      <c r="G1608" s="2">
        <v>603.22225259332345</v>
      </c>
      <c r="H1608" s="2">
        <v>585.12558501552371</v>
      </c>
      <c r="I1608" s="2">
        <v>567.57181746505796</v>
      </c>
      <c r="J1608" s="2">
        <v>550.54466294110625</v>
      </c>
      <c r="K1608" s="2">
        <v>534.02832305287302</v>
      </c>
      <c r="L1608" s="2">
        <v>518.00747336128677</v>
      </c>
      <c r="M1608" s="2">
        <v>502.46724916044815</v>
      </c>
      <c r="N1608" s="2">
        <v>487.3932316856347</v>
      </c>
      <c r="O1608" s="2">
        <v>472.77143473506567</v>
      </c>
    </row>
    <row r="1609" spans="1:15" x14ac:dyDescent="0.25">
      <c r="A1609" t="s">
        <v>4248</v>
      </c>
      <c r="B1609" t="s">
        <v>4247</v>
      </c>
      <c r="C1609" s="2">
        <v>681.3816240000001</v>
      </c>
      <c r="D1609" s="2">
        <v>660.94017528000006</v>
      </c>
      <c r="E1609" s="2">
        <v>641.11197002160009</v>
      </c>
      <c r="F1609" s="2">
        <v>621.87861092095204</v>
      </c>
      <c r="G1609" s="2">
        <v>603.22225259332345</v>
      </c>
      <c r="H1609" s="2">
        <v>585.12558501552371</v>
      </c>
      <c r="I1609" s="2">
        <v>567.57181746505796</v>
      </c>
      <c r="J1609" s="2">
        <v>550.54466294110625</v>
      </c>
      <c r="K1609" s="2">
        <v>534.02832305287302</v>
      </c>
      <c r="L1609" s="2">
        <v>518.00747336128677</v>
      </c>
      <c r="M1609" s="2">
        <v>502.46724916044815</v>
      </c>
      <c r="N1609" s="2">
        <v>487.3932316856347</v>
      </c>
      <c r="O1609" s="2">
        <v>472.77143473506567</v>
      </c>
    </row>
    <row r="1610" spans="1:15" x14ac:dyDescent="0.25">
      <c r="A1610" t="s">
        <v>4249</v>
      </c>
      <c r="B1610" t="s">
        <v>4250</v>
      </c>
      <c r="C1610" s="2">
        <v>679.99923200000012</v>
      </c>
      <c r="D1610" s="2">
        <v>659.59925504000012</v>
      </c>
      <c r="E1610" s="2">
        <v>639.81127738880014</v>
      </c>
      <c r="F1610" s="2">
        <v>620.61693906713606</v>
      </c>
      <c r="G1610" s="2">
        <v>601.99843089512194</v>
      </c>
      <c r="H1610" s="2">
        <v>583.93847796826822</v>
      </c>
      <c r="I1610" s="2">
        <v>566.42032362922021</v>
      </c>
      <c r="J1610" s="2">
        <v>549.42771392034354</v>
      </c>
      <c r="K1610" s="2">
        <v>532.94488250273321</v>
      </c>
      <c r="L1610" s="2">
        <v>516.95653602765117</v>
      </c>
      <c r="M1610" s="2">
        <v>501.4478399468216</v>
      </c>
      <c r="N1610" s="2">
        <v>486.40440474841694</v>
      </c>
      <c r="O1610" s="2">
        <v>471.81227260596444</v>
      </c>
    </row>
    <row r="1611" spans="1:15" x14ac:dyDescent="0.25">
      <c r="A1611" t="s">
        <v>4251</v>
      </c>
      <c r="B1611" t="s">
        <v>4252</v>
      </c>
      <c r="C1611" s="2">
        <v>679.99923200000012</v>
      </c>
      <c r="D1611" s="2">
        <v>659.59925504000012</v>
      </c>
      <c r="E1611" s="2">
        <v>639.81127738880014</v>
      </c>
      <c r="F1611" s="2">
        <v>620.61693906713606</v>
      </c>
      <c r="G1611" s="2">
        <v>601.99843089512194</v>
      </c>
      <c r="H1611" s="2">
        <v>583.93847796826822</v>
      </c>
      <c r="I1611" s="2">
        <v>566.42032362922021</v>
      </c>
      <c r="J1611" s="2">
        <v>549.42771392034354</v>
      </c>
      <c r="K1611" s="2">
        <v>532.94488250273321</v>
      </c>
      <c r="L1611" s="2">
        <v>516.95653602765117</v>
      </c>
      <c r="M1611" s="2">
        <v>501.4478399468216</v>
      </c>
      <c r="N1611" s="2">
        <v>486.40440474841694</v>
      </c>
      <c r="O1611" s="2">
        <v>471.81227260596444</v>
      </c>
    </row>
    <row r="1612" spans="1:15" x14ac:dyDescent="0.25">
      <c r="A1612" t="s">
        <v>4253</v>
      </c>
      <c r="B1612" t="s">
        <v>4247</v>
      </c>
      <c r="C1612" s="2">
        <v>677.65695800000003</v>
      </c>
      <c r="D1612" s="2">
        <v>657.32724926000003</v>
      </c>
      <c r="E1612" s="2">
        <v>637.60743178220002</v>
      </c>
      <c r="F1612" s="2">
        <v>618.47920882873404</v>
      </c>
      <c r="G1612" s="2">
        <v>599.92483256387197</v>
      </c>
      <c r="H1612" s="2">
        <v>581.92708758695585</v>
      </c>
      <c r="I1612" s="2">
        <v>564.4692749593471</v>
      </c>
      <c r="J1612" s="2">
        <v>547.53519671056665</v>
      </c>
      <c r="K1612" s="2">
        <v>531.10914080924965</v>
      </c>
      <c r="L1612" s="2">
        <v>515.17586658497214</v>
      </c>
      <c r="M1612" s="2">
        <v>499.72059058742298</v>
      </c>
      <c r="N1612" s="2">
        <v>484.72897286980026</v>
      </c>
      <c r="O1612" s="2">
        <v>470.18710368370625</v>
      </c>
    </row>
    <row r="1613" spans="1:15" x14ac:dyDescent="0.25">
      <c r="A1613" t="s">
        <v>4254</v>
      </c>
      <c r="B1613" t="s">
        <v>4247</v>
      </c>
      <c r="C1613" s="2">
        <v>677.65695800000003</v>
      </c>
      <c r="D1613" s="2">
        <v>657.32724926000003</v>
      </c>
      <c r="E1613" s="2">
        <v>637.60743178220002</v>
      </c>
      <c r="F1613" s="2">
        <v>618.47920882873404</v>
      </c>
      <c r="G1613" s="2">
        <v>599.92483256387197</v>
      </c>
      <c r="H1613" s="2">
        <v>581.92708758695585</v>
      </c>
      <c r="I1613" s="2">
        <v>564.4692749593471</v>
      </c>
      <c r="J1613" s="2">
        <v>547.53519671056665</v>
      </c>
      <c r="K1613" s="2">
        <v>531.10914080924965</v>
      </c>
      <c r="L1613" s="2">
        <v>515.17586658497214</v>
      </c>
      <c r="M1613" s="2">
        <v>499.72059058742298</v>
      </c>
      <c r="N1613" s="2">
        <v>484.72897286980026</v>
      </c>
      <c r="O1613" s="2">
        <v>470.18710368370625</v>
      </c>
    </row>
    <row r="1614" spans="1:15" x14ac:dyDescent="0.25">
      <c r="A1614" t="s">
        <v>4255</v>
      </c>
      <c r="B1614" t="s">
        <v>4256</v>
      </c>
      <c r="C1614" s="2">
        <v>676.37526000000003</v>
      </c>
      <c r="D1614" s="2">
        <v>656.08400219999999</v>
      </c>
      <c r="E1614" s="2">
        <v>636.40148213399993</v>
      </c>
      <c r="F1614" s="2">
        <v>617.30943766997996</v>
      </c>
      <c r="G1614" s="2">
        <v>598.79015453988052</v>
      </c>
      <c r="H1614" s="2">
        <v>580.82644990368408</v>
      </c>
      <c r="I1614" s="2">
        <v>563.40165640657358</v>
      </c>
      <c r="J1614" s="2">
        <v>546.49960671437634</v>
      </c>
      <c r="K1614" s="2">
        <v>530.10461851294508</v>
      </c>
      <c r="L1614" s="2">
        <v>514.20147995755667</v>
      </c>
      <c r="M1614" s="2">
        <v>498.77543555882994</v>
      </c>
      <c r="N1614" s="2">
        <v>483.81217249206503</v>
      </c>
      <c r="O1614" s="2">
        <v>469.29780731730307</v>
      </c>
    </row>
    <row r="1615" spans="1:15" x14ac:dyDescent="0.25">
      <c r="A1615" t="s">
        <v>4257</v>
      </c>
      <c r="B1615" t="s">
        <v>4256</v>
      </c>
      <c r="C1615" s="2">
        <v>676.37526000000003</v>
      </c>
      <c r="D1615" s="2">
        <v>656.08400219999999</v>
      </c>
      <c r="E1615" s="2">
        <v>636.40148213399993</v>
      </c>
      <c r="F1615" s="2">
        <v>617.30943766997996</v>
      </c>
      <c r="G1615" s="2">
        <v>598.79015453988052</v>
      </c>
      <c r="H1615" s="2">
        <v>580.82644990368408</v>
      </c>
      <c r="I1615" s="2">
        <v>563.40165640657358</v>
      </c>
      <c r="J1615" s="2">
        <v>546.49960671437634</v>
      </c>
      <c r="K1615" s="2">
        <v>530.10461851294508</v>
      </c>
      <c r="L1615" s="2">
        <v>514.20147995755667</v>
      </c>
      <c r="M1615" s="2">
        <v>498.77543555882994</v>
      </c>
      <c r="N1615" s="2">
        <v>483.81217249206503</v>
      </c>
      <c r="O1615" s="2">
        <v>469.29780731730307</v>
      </c>
    </row>
    <row r="1616" spans="1:15" x14ac:dyDescent="0.25">
      <c r="A1616" t="s">
        <v>4258</v>
      </c>
      <c r="B1616" t="s">
        <v>4259</v>
      </c>
      <c r="C1616" s="2">
        <v>675.9795680000002</v>
      </c>
      <c r="D1616" s="2">
        <v>655.70018096000013</v>
      </c>
      <c r="E1616" s="2">
        <v>636.02917553120005</v>
      </c>
      <c r="F1616" s="2">
        <v>616.94830026526404</v>
      </c>
      <c r="G1616" s="2">
        <v>598.43985125730615</v>
      </c>
      <c r="H1616" s="2">
        <v>580.48665571958691</v>
      </c>
      <c r="I1616" s="2">
        <v>563.07205604799924</v>
      </c>
      <c r="J1616" s="2">
        <v>546.17989436655921</v>
      </c>
      <c r="K1616" s="2">
        <v>529.79449753556241</v>
      </c>
      <c r="L1616" s="2">
        <v>513.9006626094955</v>
      </c>
      <c r="M1616" s="2">
        <v>498.48364273121064</v>
      </c>
      <c r="N1616" s="2">
        <v>483.5291334492743</v>
      </c>
      <c r="O1616" s="2">
        <v>469.02325944579604</v>
      </c>
    </row>
    <row r="1617" spans="1:15" x14ac:dyDescent="0.25">
      <c r="A1617" t="s">
        <v>4260</v>
      </c>
      <c r="B1617" t="s">
        <v>4259</v>
      </c>
      <c r="C1617" s="2">
        <v>675.9795680000002</v>
      </c>
      <c r="D1617" s="2">
        <v>655.70018096000013</v>
      </c>
      <c r="E1617" s="2">
        <v>636.02917553120005</v>
      </c>
      <c r="F1617" s="2">
        <v>616.94830026526404</v>
      </c>
      <c r="G1617" s="2">
        <v>598.43985125730615</v>
      </c>
      <c r="H1617" s="2">
        <v>580.48665571958691</v>
      </c>
      <c r="I1617" s="2">
        <v>563.07205604799924</v>
      </c>
      <c r="J1617" s="2">
        <v>546.17989436655921</v>
      </c>
      <c r="K1617" s="2">
        <v>529.79449753556241</v>
      </c>
      <c r="L1617" s="2">
        <v>513.9006626094955</v>
      </c>
      <c r="M1617" s="2">
        <v>498.48364273121064</v>
      </c>
      <c r="N1617" s="2">
        <v>483.5291334492743</v>
      </c>
      <c r="O1617" s="2">
        <v>469.02325944579604</v>
      </c>
    </row>
    <row r="1618" spans="1:15" x14ac:dyDescent="0.25">
      <c r="A1618" t="s">
        <v>4261</v>
      </c>
      <c r="B1618" t="s">
        <v>4259</v>
      </c>
      <c r="C1618" s="2">
        <v>675.9795680000002</v>
      </c>
      <c r="D1618" s="2">
        <v>655.70018096000013</v>
      </c>
      <c r="E1618" s="2">
        <v>636.02917553120005</v>
      </c>
      <c r="F1618" s="2">
        <v>616.94830026526404</v>
      </c>
      <c r="G1618" s="2">
        <v>598.43985125730615</v>
      </c>
      <c r="H1618" s="2">
        <v>580.48665571958691</v>
      </c>
      <c r="I1618" s="2">
        <v>563.07205604799924</v>
      </c>
      <c r="J1618" s="2">
        <v>546.17989436655921</v>
      </c>
      <c r="K1618" s="2">
        <v>529.79449753556241</v>
      </c>
      <c r="L1618" s="2">
        <v>513.9006626094955</v>
      </c>
      <c r="M1618" s="2">
        <v>498.48364273121064</v>
      </c>
      <c r="N1618" s="2">
        <v>483.5291334492743</v>
      </c>
      <c r="O1618" s="2">
        <v>469.02325944579604</v>
      </c>
    </row>
    <row r="1619" spans="1:15" x14ac:dyDescent="0.25">
      <c r="A1619" t="s">
        <v>4262</v>
      </c>
      <c r="B1619" t="s">
        <v>4259</v>
      </c>
      <c r="C1619" s="2">
        <v>675.9795680000002</v>
      </c>
      <c r="D1619" s="2">
        <v>655.70018096000013</v>
      </c>
      <c r="E1619" s="2">
        <v>636.02917553120005</v>
      </c>
      <c r="F1619" s="2">
        <v>616.94830026526404</v>
      </c>
      <c r="G1619" s="2">
        <v>598.43985125730615</v>
      </c>
      <c r="H1619" s="2">
        <v>580.48665571958691</v>
      </c>
      <c r="I1619" s="2">
        <v>563.07205604799924</v>
      </c>
      <c r="J1619" s="2">
        <v>546.17989436655921</v>
      </c>
      <c r="K1619" s="2">
        <v>529.79449753556241</v>
      </c>
      <c r="L1619" s="2">
        <v>513.9006626094955</v>
      </c>
      <c r="M1619" s="2">
        <v>498.48364273121064</v>
      </c>
      <c r="N1619" s="2">
        <v>483.5291334492743</v>
      </c>
      <c r="O1619" s="2">
        <v>469.02325944579604</v>
      </c>
    </row>
    <row r="1620" spans="1:15" x14ac:dyDescent="0.25">
      <c r="A1620" t="s">
        <v>4263</v>
      </c>
      <c r="B1620" t="s">
        <v>4264</v>
      </c>
      <c r="C1620" s="2">
        <v>670.2592380000001</v>
      </c>
      <c r="D1620" s="2">
        <v>650.15146086000004</v>
      </c>
      <c r="E1620" s="2">
        <v>630.64691703419999</v>
      </c>
      <c r="F1620" s="2">
        <v>611.72750952317392</v>
      </c>
      <c r="G1620" s="2">
        <v>593.37568423747871</v>
      </c>
      <c r="H1620" s="2">
        <v>575.57441371035429</v>
      </c>
      <c r="I1620" s="2">
        <v>558.30718129904369</v>
      </c>
      <c r="J1620" s="2">
        <v>541.55796586007239</v>
      </c>
      <c r="K1620" s="2">
        <v>525.31122688427024</v>
      </c>
      <c r="L1620" s="2">
        <v>509.55189007774214</v>
      </c>
      <c r="M1620" s="2">
        <v>494.26533337540985</v>
      </c>
      <c r="N1620" s="2">
        <v>479.43737337414757</v>
      </c>
      <c r="O1620" s="2">
        <v>465.05425217292316</v>
      </c>
    </row>
    <row r="1621" spans="1:15" x14ac:dyDescent="0.25">
      <c r="A1621" t="s">
        <v>4265</v>
      </c>
      <c r="B1621" t="s">
        <v>4264</v>
      </c>
      <c r="C1621" s="2">
        <v>670.2592380000001</v>
      </c>
      <c r="D1621" s="2">
        <v>650.15146086000004</v>
      </c>
      <c r="E1621" s="2">
        <v>630.64691703419999</v>
      </c>
      <c r="F1621" s="2">
        <v>611.72750952317392</v>
      </c>
      <c r="G1621" s="2">
        <v>593.37568423747871</v>
      </c>
      <c r="H1621" s="2">
        <v>575.57441371035429</v>
      </c>
      <c r="I1621" s="2">
        <v>558.30718129904369</v>
      </c>
      <c r="J1621" s="2">
        <v>541.55796586007239</v>
      </c>
      <c r="K1621" s="2">
        <v>525.31122688427024</v>
      </c>
      <c r="L1621" s="2">
        <v>509.55189007774214</v>
      </c>
      <c r="M1621" s="2">
        <v>494.26533337540985</v>
      </c>
      <c r="N1621" s="2">
        <v>479.43737337414757</v>
      </c>
      <c r="O1621" s="2">
        <v>465.05425217292316</v>
      </c>
    </row>
    <row r="1622" spans="1:15" x14ac:dyDescent="0.25">
      <c r="A1622" t="s">
        <v>4266</v>
      </c>
      <c r="B1622" t="s">
        <v>4264</v>
      </c>
      <c r="C1622" s="2">
        <v>670.2592380000001</v>
      </c>
      <c r="D1622" s="2">
        <v>650.15146086000004</v>
      </c>
      <c r="E1622" s="2">
        <v>630.64691703419999</v>
      </c>
      <c r="F1622" s="2">
        <v>611.72750952317392</v>
      </c>
      <c r="G1622" s="2">
        <v>593.37568423747871</v>
      </c>
      <c r="H1622" s="2">
        <v>575.57441371035429</v>
      </c>
      <c r="I1622" s="2">
        <v>558.30718129904369</v>
      </c>
      <c r="J1622" s="2">
        <v>541.55796586007239</v>
      </c>
      <c r="K1622" s="2">
        <v>525.31122688427024</v>
      </c>
      <c r="L1622" s="2">
        <v>509.55189007774214</v>
      </c>
      <c r="M1622" s="2">
        <v>494.26533337540985</v>
      </c>
      <c r="N1622" s="2">
        <v>479.43737337414757</v>
      </c>
      <c r="O1622" s="2">
        <v>465.05425217292316</v>
      </c>
    </row>
    <row r="1623" spans="1:15" x14ac:dyDescent="0.25">
      <c r="A1623" t="s">
        <v>4267</v>
      </c>
      <c r="B1623" t="s">
        <v>4268</v>
      </c>
      <c r="C1623" s="2">
        <v>664.13107200000024</v>
      </c>
      <c r="D1623" s="2">
        <v>644.2071398400002</v>
      </c>
      <c r="E1623" s="2">
        <v>624.88092564480019</v>
      </c>
      <c r="F1623" s="2">
        <v>606.13449787545619</v>
      </c>
      <c r="G1623" s="2">
        <v>587.95046293919245</v>
      </c>
      <c r="H1623" s="2">
        <v>570.31194905101665</v>
      </c>
      <c r="I1623" s="2">
        <v>553.20259057948613</v>
      </c>
      <c r="J1623" s="2">
        <v>536.60651286210157</v>
      </c>
      <c r="K1623" s="2">
        <v>520.50831747623852</v>
      </c>
      <c r="L1623" s="2">
        <v>504.89306795195137</v>
      </c>
      <c r="M1623" s="2">
        <v>489.74627591339282</v>
      </c>
      <c r="N1623" s="2">
        <v>475.05388763599103</v>
      </c>
      <c r="O1623" s="2">
        <v>460.80227100691127</v>
      </c>
    </row>
    <row r="1624" spans="1:15" x14ac:dyDescent="0.25">
      <c r="A1624" t="s">
        <v>4269</v>
      </c>
      <c r="B1624" t="s">
        <v>4270</v>
      </c>
      <c r="C1624" s="2">
        <v>662.60345800000005</v>
      </c>
      <c r="D1624" s="2">
        <v>642.72535426000002</v>
      </c>
      <c r="E1624" s="2">
        <v>623.44359363219996</v>
      </c>
      <c r="F1624" s="2">
        <v>604.74028582323399</v>
      </c>
      <c r="G1624" s="2">
        <v>586.59807724853692</v>
      </c>
      <c r="H1624" s="2">
        <v>569.00013493108077</v>
      </c>
      <c r="I1624" s="2">
        <v>551.93013088314831</v>
      </c>
      <c r="J1624" s="2">
        <v>535.37222695665389</v>
      </c>
      <c r="K1624" s="2">
        <v>519.31106014795421</v>
      </c>
      <c r="L1624" s="2">
        <v>503.73172834351556</v>
      </c>
      <c r="M1624" s="2">
        <v>488.61977649321005</v>
      </c>
      <c r="N1624" s="2">
        <v>473.96118319841372</v>
      </c>
      <c r="O1624" s="2">
        <v>459.7423477024613</v>
      </c>
    </row>
    <row r="1625" spans="1:15" x14ac:dyDescent="0.25">
      <c r="A1625" t="s">
        <v>4271</v>
      </c>
      <c r="B1625" t="s">
        <v>4270</v>
      </c>
      <c r="C1625" s="2">
        <v>662.60345800000005</v>
      </c>
      <c r="D1625" s="2">
        <v>642.72535426000002</v>
      </c>
      <c r="E1625" s="2">
        <v>623.44359363219996</v>
      </c>
      <c r="F1625" s="2">
        <v>604.74028582323399</v>
      </c>
      <c r="G1625" s="2">
        <v>586.59807724853692</v>
      </c>
      <c r="H1625" s="2">
        <v>569.00013493108077</v>
      </c>
      <c r="I1625" s="2">
        <v>551.93013088314831</v>
      </c>
      <c r="J1625" s="2">
        <v>535.37222695665389</v>
      </c>
      <c r="K1625" s="2">
        <v>519.31106014795421</v>
      </c>
      <c r="L1625" s="2">
        <v>503.73172834351556</v>
      </c>
      <c r="M1625" s="2">
        <v>488.61977649321005</v>
      </c>
      <c r="N1625" s="2">
        <v>473.96118319841372</v>
      </c>
      <c r="O1625" s="2">
        <v>459.7423477024613</v>
      </c>
    </row>
    <row r="1626" spans="1:15" x14ac:dyDescent="0.25">
      <c r="A1626" t="s">
        <v>4272</v>
      </c>
      <c r="B1626" t="s">
        <v>4270</v>
      </c>
      <c r="C1626" s="2">
        <v>662.60345800000005</v>
      </c>
      <c r="D1626" s="2">
        <v>642.72535426000002</v>
      </c>
      <c r="E1626" s="2">
        <v>623.44359363219996</v>
      </c>
      <c r="F1626" s="2">
        <v>604.74028582323399</v>
      </c>
      <c r="G1626" s="2">
        <v>586.59807724853692</v>
      </c>
      <c r="H1626" s="2">
        <v>569.00013493108077</v>
      </c>
      <c r="I1626" s="2">
        <v>551.93013088314831</v>
      </c>
      <c r="J1626" s="2">
        <v>535.37222695665389</v>
      </c>
      <c r="K1626" s="2">
        <v>519.31106014795421</v>
      </c>
      <c r="L1626" s="2">
        <v>503.73172834351556</v>
      </c>
      <c r="M1626" s="2">
        <v>488.61977649321005</v>
      </c>
      <c r="N1626" s="2">
        <v>473.96118319841372</v>
      </c>
      <c r="O1626" s="2">
        <v>459.7423477024613</v>
      </c>
    </row>
    <row r="1627" spans="1:15" x14ac:dyDescent="0.25">
      <c r="A1627" t="s">
        <v>4273</v>
      </c>
      <c r="B1627" t="s">
        <v>4274</v>
      </c>
      <c r="C1627" s="2">
        <v>660.13164800000015</v>
      </c>
      <c r="D1627" s="2">
        <v>640.32769856000016</v>
      </c>
      <c r="E1627" s="2">
        <v>621.11786760320012</v>
      </c>
      <c r="F1627" s="2">
        <v>602.48433157510408</v>
      </c>
      <c r="G1627" s="2">
        <v>584.40980162785092</v>
      </c>
      <c r="H1627" s="2">
        <v>566.8775075790154</v>
      </c>
      <c r="I1627" s="2">
        <v>549.87118235164496</v>
      </c>
      <c r="J1627" s="2">
        <v>533.37504688109561</v>
      </c>
      <c r="K1627" s="2">
        <v>517.37379547466276</v>
      </c>
      <c r="L1627" s="2">
        <v>501.85258161042287</v>
      </c>
      <c r="M1627" s="2">
        <v>486.79700416211017</v>
      </c>
      <c r="N1627" s="2">
        <v>472.19309403724685</v>
      </c>
      <c r="O1627" s="2">
        <v>458.02730121612944</v>
      </c>
    </row>
    <row r="1628" spans="1:15" x14ac:dyDescent="0.25">
      <c r="A1628" t="s">
        <v>4275</v>
      </c>
      <c r="B1628" t="s">
        <v>4276</v>
      </c>
      <c r="C1628" s="2">
        <v>660.13164800000015</v>
      </c>
      <c r="D1628" s="2">
        <v>640.32769856000016</v>
      </c>
      <c r="E1628" s="2">
        <v>621.11786760320012</v>
      </c>
      <c r="F1628" s="2">
        <v>602.48433157510408</v>
      </c>
      <c r="G1628" s="2">
        <v>584.40980162785092</v>
      </c>
      <c r="H1628" s="2">
        <v>566.8775075790154</v>
      </c>
      <c r="I1628" s="2">
        <v>549.87118235164496</v>
      </c>
      <c r="J1628" s="2">
        <v>533.37504688109561</v>
      </c>
      <c r="K1628" s="2">
        <v>517.37379547466276</v>
      </c>
      <c r="L1628" s="2">
        <v>501.85258161042287</v>
      </c>
      <c r="M1628" s="2">
        <v>486.79700416211017</v>
      </c>
      <c r="N1628" s="2">
        <v>472.19309403724685</v>
      </c>
      <c r="O1628" s="2">
        <v>458.02730121612944</v>
      </c>
    </row>
    <row r="1629" spans="1:15" x14ac:dyDescent="0.25">
      <c r="A1629" t="s">
        <v>4277</v>
      </c>
      <c r="B1629" t="s">
        <v>4278</v>
      </c>
      <c r="C1629" s="2">
        <v>658.35052800000005</v>
      </c>
      <c r="D1629" s="2">
        <v>638.60001216000001</v>
      </c>
      <c r="E1629" s="2">
        <v>619.44201179519996</v>
      </c>
      <c r="F1629" s="2">
        <v>600.858751441344</v>
      </c>
      <c r="G1629" s="2">
        <v>582.83298889810362</v>
      </c>
      <c r="H1629" s="2">
        <v>565.34799923116054</v>
      </c>
      <c r="I1629" s="2">
        <v>548.38755925422572</v>
      </c>
      <c r="J1629" s="2">
        <v>531.93593247659896</v>
      </c>
      <c r="K1629" s="2">
        <v>515.97785450230094</v>
      </c>
      <c r="L1629" s="2">
        <v>500.49851886723189</v>
      </c>
      <c r="M1629" s="2">
        <v>485.48356330121493</v>
      </c>
      <c r="N1629" s="2">
        <v>470.91905640217846</v>
      </c>
      <c r="O1629" s="2">
        <v>456.79148471011308</v>
      </c>
    </row>
    <row r="1630" spans="1:15" x14ac:dyDescent="0.25">
      <c r="A1630" t="s">
        <v>4279</v>
      </c>
      <c r="B1630" t="s">
        <v>4278</v>
      </c>
      <c r="C1630" s="2">
        <v>658.35052800000005</v>
      </c>
      <c r="D1630" s="2">
        <v>638.60001216000001</v>
      </c>
      <c r="E1630" s="2">
        <v>619.44201179519996</v>
      </c>
      <c r="F1630" s="2">
        <v>600.858751441344</v>
      </c>
      <c r="G1630" s="2">
        <v>582.83298889810362</v>
      </c>
      <c r="H1630" s="2">
        <v>565.34799923116054</v>
      </c>
      <c r="I1630" s="2">
        <v>548.38755925422572</v>
      </c>
      <c r="J1630" s="2">
        <v>531.93593247659896</v>
      </c>
      <c r="K1630" s="2">
        <v>515.97785450230094</v>
      </c>
      <c r="L1630" s="2">
        <v>500.49851886723189</v>
      </c>
      <c r="M1630" s="2">
        <v>485.48356330121493</v>
      </c>
      <c r="N1630" s="2">
        <v>470.91905640217846</v>
      </c>
      <c r="O1630" s="2">
        <v>456.79148471011308</v>
      </c>
    </row>
    <row r="1631" spans="1:15" x14ac:dyDescent="0.25">
      <c r="A1631" t="s">
        <v>4280</v>
      </c>
      <c r="B1631" t="s">
        <v>4278</v>
      </c>
      <c r="C1631" s="2">
        <v>658.35052800000005</v>
      </c>
      <c r="D1631" s="2">
        <v>638.60001216000001</v>
      </c>
      <c r="E1631" s="2">
        <v>619.44201179519996</v>
      </c>
      <c r="F1631" s="2">
        <v>600.858751441344</v>
      </c>
      <c r="G1631" s="2">
        <v>582.83298889810362</v>
      </c>
      <c r="H1631" s="2">
        <v>565.34799923116054</v>
      </c>
      <c r="I1631" s="2">
        <v>548.38755925422572</v>
      </c>
      <c r="J1631" s="2">
        <v>531.93593247659896</v>
      </c>
      <c r="K1631" s="2">
        <v>515.97785450230094</v>
      </c>
      <c r="L1631" s="2">
        <v>500.49851886723189</v>
      </c>
      <c r="M1631" s="2">
        <v>485.48356330121493</v>
      </c>
      <c r="N1631" s="2">
        <v>470.91905640217846</v>
      </c>
      <c r="O1631" s="2">
        <v>456.79148471011308</v>
      </c>
    </row>
    <row r="1632" spans="1:15" x14ac:dyDescent="0.25">
      <c r="A1632" t="s">
        <v>4281</v>
      </c>
      <c r="B1632" t="s">
        <v>4282</v>
      </c>
      <c r="C1632" s="2">
        <v>658.35052800000005</v>
      </c>
      <c r="D1632" s="2">
        <v>638.60001216000001</v>
      </c>
      <c r="E1632" s="2">
        <v>619.44201179519996</v>
      </c>
      <c r="F1632" s="2">
        <v>600.858751441344</v>
      </c>
      <c r="G1632" s="2">
        <v>582.83298889810362</v>
      </c>
      <c r="H1632" s="2">
        <v>565.34799923116054</v>
      </c>
      <c r="I1632" s="2">
        <v>548.38755925422572</v>
      </c>
      <c r="J1632" s="2">
        <v>531.93593247659896</v>
      </c>
      <c r="K1632" s="2">
        <v>515.97785450230094</v>
      </c>
      <c r="L1632" s="2">
        <v>500.49851886723189</v>
      </c>
      <c r="M1632" s="2">
        <v>485.48356330121493</v>
      </c>
      <c r="N1632" s="2">
        <v>470.91905640217846</v>
      </c>
      <c r="O1632" s="2">
        <v>456.79148471011308</v>
      </c>
    </row>
    <row r="1633" spans="1:15" x14ac:dyDescent="0.25">
      <c r="A1633" t="s">
        <v>4283</v>
      </c>
      <c r="B1633" t="s">
        <v>4284</v>
      </c>
      <c r="C1633" s="2">
        <v>658.35052800000005</v>
      </c>
      <c r="D1633" s="2">
        <v>638.60001216000001</v>
      </c>
      <c r="E1633" s="2">
        <v>619.44201179519996</v>
      </c>
      <c r="F1633" s="2">
        <v>600.858751441344</v>
      </c>
      <c r="G1633" s="2">
        <v>582.83298889810362</v>
      </c>
      <c r="H1633" s="2">
        <v>565.34799923116054</v>
      </c>
      <c r="I1633" s="2">
        <v>548.38755925422572</v>
      </c>
      <c r="J1633" s="2">
        <v>531.93593247659896</v>
      </c>
      <c r="K1633" s="2">
        <v>515.97785450230094</v>
      </c>
      <c r="L1633" s="2">
        <v>500.49851886723189</v>
      </c>
      <c r="M1633" s="2">
        <v>485.48356330121493</v>
      </c>
      <c r="N1633" s="2">
        <v>470.91905640217846</v>
      </c>
      <c r="O1633" s="2">
        <v>456.79148471011308</v>
      </c>
    </row>
    <row r="1634" spans="1:15" x14ac:dyDescent="0.25">
      <c r="A1634" t="s">
        <v>4285</v>
      </c>
      <c r="B1634" t="s">
        <v>4286</v>
      </c>
      <c r="C1634" s="2">
        <v>658.35052800000005</v>
      </c>
      <c r="D1634" s="2">
        <v>638.60001216000001</v>
      </c>
      <c r="E1634" s="2">
        <v>619.44201179519996</v>
      </c>
      <c r="F1634" s="2">
        <v>600.858751441344</v>
      </c>
      <c r="G1634" s="2">
        <v>582.83298889810362</v>
      </c>
      <c r="H1634" s="2">
        <v>565.34799923116054</v>
      </c>
      <c r="I1634" s="2">
        <v>548.38755925422572</v>
      </c>
      <c r="J1634" s="2">
        <v>531.93593247659896</v>
      </c>
      <c r="K1634" s="2">
        <v>515.97785450230094</v>
      </c>
      <c r="L1634" s="2">
        <v>500.49851886723189</v>
      </c>
      <c r="M1634" s="2">
        <v>485.48356330121493</v>
      </c>
      <c r="N1634" s="2">
        <v>470.91905640217846</v>
      </c>
      <c r="O1634" s="2">
        <v>456.79148471011308</v>
      </c>
    </row>
    <row r="1635" spans="1:15" x14ac:dyDescent="0.25">
      <c r="A1635" t="s">
        <v>4287</v>
      </c>
      <c r="B1635" t="s">
        <v>4288</v>
      </c>
      <c r="C1635" s="2">
        <v>655.29175800000007</v>
      </c>
      <c r="D1635" s="2">
        <v>635.63300526</v>
      </c>
      <c r="E1635" s="2">
        <v>616.56401510219996</v>
      </c>
      <c r="F1635" s="2">
        <v>598.06709464913399</v>
      </c>
      <c r="G1635" s="2">
        <v>580.12508180965995</v>
      </c>
      <c r="H1635" s="2">
        <v>562.72132935537013</v>
      </c>
      <c r="I1635" s="2">
        <v>545.83968947470896</v>
      </c>
      <c r="J1635" s="2">
        <v>529.4644987904677</v>
      </c>
      <c r="K1635" s="2">
        <v>513.58056382675363</v>
      </c>
      <c r="L1635" s="2">
        <v>498.17314691195099</v>
      </c>
      <c r="M1635" s="2">
        <v>483.22795250459245</v>
      </c>
      <c r="N1635" s="2">
        <v>468.73111392945469</v>
      </c>
      <c r="O1635" s="2">
        <v>454.66918051157103</v>
      </c>
    </row>
    <row r="1636" spans="1:15" x14ac:dyDescent="0.25">
      <c r="A1636" t="s">
        <v>4289</v>
      </c>
      <c r="B1636" t="s">
        <v>4288</v>
      </c>
      <c r="C1636" s="2">
        <v>655.29175800000007</v>
      </c>
      <c r="D1636" s="2">
        <v>635.63300526</v>
      </c>
      <c r="E1636" s="2">
        <v>616.56401510219996</v>
      </c>
      <c r="F1636" s="2">
        <v>598.06709464913399</v>
      </c>
      <c r="G1636" s="2">
        <v>580.12508180965995</v>
      </c>
      <c r="H1636" s="2">
        <v>562.72132935537013</v>
      </c>
      <c r="I1636" s="2">
        <v>545.83968947470896</v>
      </c>
      <c r="J1636" s="2">
        <v>529.4644987904677</v>
      </c>
      <c r="K1636" s="2">
        <v>513.58056382675363</v>
      </c>
      <c r="L1636" s="2">
        <v>498.17314691195099</v>
      </c>
      <c r="M1636" s="2">
        <v>483.22795250459245</v>
      </c>
      <c r="N1636" s="2">
        <v>468.73111392945469</v>
      </c>
      <c r="O1636" s="2">
        <v>454.66918051157103</v>
      </c>
    </row>
    <row r="1637" spans="1:15" x14ac:dyDescent="0.25">
      <c r="A1637" t="s">
        <v>4290</v>
      </c>
      <c r="B1637" t="s">
        <v>4291</v>
      </c>
      <c r="C1637" s="2">
        <v>654.95628000000011</v>
      </c>
      <c r="D1637" s="2">
        <v>635.30759160000014</v>
      </c>
      <c r="E1637" s="2">
        <v>616.24836385200013</v>
      </c>
      <c r="F1637" s="2">
        <v>597.76091293644015</v>
      </c>
      <c r="G1637" s="2">
        <v>579.82808554834696</v>
      </c>
      <c r="H1637" s="2">
        <v>562.43324298189657</v>
      </c>
      <c r="I1637" s="2">
        <v>545.56024569243971</v>
      </c>
      <c r="J1637" s="2">
        <v>529.19343832166646</v>
      </c>
      <c r="K1637" s="2">
        <v>513.31763517201648</v>
      </c>
      <c r="L1637" s="2">
        <v>497.91810611685599</v>
      </c>
      <c r="M1637" s="2">
        <v>482.98056293335031</v>
      </c>
      <c r="N1637" s="2">
        <v>468.49114604534981</v>
      </c>
      <c r="O1637" s="2">
        <v>454.4364116639893</v>
      </c>
    </row>
    <row r="1638" spans="1:15" x14ac:dyDescent="0.25">
      <c r="A1638" t="s">
        <v>4292</v>
      </c>
      <c r="B1638" t="s">
        <v>4291</v>
      </c>
      <c r="C1638" s="2">
        <v>654.95628000000011</v>
      </c>
      <c r="D1638" s="2">
        <v>635.30759160000014</v>
      </c>
      <c r="E1638" s="2">
        <v>616.24836385200013</v>
      </c>
      <c r="F1638" s="2">
        <v>597.76091293644015</v>
      </c>
      <c r="G1638" s="2">
        <v>579.82808554834696</v>
      </c>
      <c r="H1638" s="2">
        <v>562.43324298189657</v>
      </c>
      <c r="I1638" s="2">
        <v>545.56024569243971</v>
      </c>
      <c r="J1638" s="2">
        <v>529.19343832166646</v>
      </c>
      <c r="K1638" s="2">
        <v>513.31763517201648</v>
      </c>
      <c r="L1638" s="2">
        <v>497.91810611685599</v>
      </c>
      <c r="M1638" s="2">
        <v>482.98056293335031</v>
      </c>
      <c r="N1638" s="2">
        <v>468.49114604534981</v>
      </c>
      <c r="O1638" s="2">
        <v>454.4364116639893</v>
      </c>
    </row>
    <row r="1639" spans="1:15" x14ac:dyDescent="0.25">
      <c r="A1639" t="s">
        <v>4293</v>
      </c>
      <c r="B1639" t="s">
        <v>4291</v>
      </c>
      <c r="C1639" s="2">
        <v>654.95628000000011</v>
      </c>
      <c r="D1639" s="2">
        <v>635.30759160000014</v>
      </c>
      <c r="E1639" s="2">
        <v>616.24836385200013</v>
      </c>
      <c r="F1639" s="2">
        <v>597.76091293644015</v>
      </c>
      <c r="G1639" s="2">
        <v>579.82808554834696</v>
      </c>
      <c r="H1639" s="2">
        <v>562.43324298189657</v>
      </c>
      <c r="I1639" s="2">
        <v>545.56024569243971</v>
      </c>
      <c r="J1639" s="2">
        <v>529.19343832166646</v>
      </c>
      <c r="K1639" s="2">
        <v>513.31763517201648</v>
      </c>
      <c r="L1639" s="2">
        <v>497.91810611685599</v>
      </c>
      <c r="M1639" s="2">
        <v>482.98056293335031</v>
      </c>
      <c r="N1639" s="2">
        <v>468.49114604534981</v>
      </c>
      <c r="O1639" s="2">
        <v>454.4364116639893</v>
      </c>
    </row>
    <row r="1640" spans="1:15" x14ac:dyDescent="0.25">
      <c r="A1640" t="s">
        <v>4294</v>
      </c>
      <c r="B1640" t="s">
        <v>4295</v>
      </c>
      <c r="C1640" s="2">
        <v>653.18528000000015</v>
      </c>
      <c r="D1640" s="2">
        <v>633.58972160000008</v>
      </c>
      <c r="E1640" s="2">
        <v>614.58202995200008</v>
      </c>
      <c r="F1640" s="2">
        <v>596.14456905344002</v>
      </c>
      <c r="G1640" s="2">
        <v>578.2602319818368</v>
      </c>
      <c r="H1640" s="2">
        <v>560.91242502238163</v>
      </c>
      <c r="I1640" s="2">
        <v>544.0850522717102</v>
      </c>
      <c r="J1640" s="2">
        <v>527.76250070355889</v>
      </c>
      <c r="K1640" s="2">
        <v>511.92962568245213</v>
      </c>
      <c r="L1640" s="2">
        <v>496.57173691197858</v>
      </c>
      <c r="M1640" s="2">
        <v>481.6745848046192</v>
      </c>
      <c r="N1640" s="2">
        <v>467.22434726048061</v>
      </c>
      <c r="O1640" s="2">
        <v>453.2076168426662</v>
      </c>
    </row>
    <row r="1641" spans="1:15" x14ac:dyDescent="0.25">
      <c r="A1641" t="s">
        <v>4296</v>
      </c>
      <c r="B1641" t="s">
        <v>4297</v>
      </c>
      <c r="C1641" s="2">
        <v>653.18528000000015</v>
      </c>
      <c r="D1641" s="2">
        <v>633.58972160000008</v>
      </c>
      <c r="E1641" s="2">
        <v>614.58202995200008</v>
      </c>
      <c r="F1641" s="2">
        <v>596.14456905344002</v>
      </c>
      <c r="G1641" s="2">
        <v>578.2602319818368</v>
      </c>
      <c r="H1641" s="2">
        <v>560.91242502238163</v>
      </c>
      <c r="I1641" s="2">
        <v>544.0850522717102</v>
      </c>
      <c r="J1641" s="2">
        <v>527.76250070355889</v>
      </c>
      <c r="K1641" s="2">
        <v>511.92962568245213</v>
      </c>
      <c r="L1641" s="2">
        <v>496.57173691197858</v>
      </c>
      <c r="M1641" s="2">
        <v>481.6745848046192</v>
      </c>
      <c r="N1641" s="2">
        <v>467.22434726048061</v>
      </c>
      <c r="O1641" s="2">
        <v>453.2076168426662</v>
      </c>
    </row>
    <row r="1642" spans="1:15" x14ac:dyDescent="0.25">
      <c r="A1642" t="s">
        <v>4298</v>
      </c>
      <c r="B1642" t="s">
        <v>4299</v>
      </c>
      <c r="C1642" s="2">
        <v>650.21404800000016</v>
      </c>
      <c r="D1642" s="2">
        <v>630.70762656000011</v>
      </c>
      <c r="E1642" s="2">
        <v>611.78639776320006</v>
      </c>
      <c r="F1642" s="2">
        <v>593.43280583030401</v>
      </c>
      <c r="G1642" s="2">
        <v>575.62982165539484</v>
      </c>
      <c r="H1642" s="2">
        <v>558.36092700573295</v>
      </c>
      <c r="I1642" s="2">
        <v>541.61009919556091</v>
      </c>
      <c r="J1642" s="2">
        <v>525.36179621969404</v>
      </c>
      <c r="K1642" s="2">
        <v>509.60094233310321</v>
      </c>
      <c r="L1642" s="2">
        <v>494.3129140631101</v>
      </c>
      <c r="M1642" s="2">
        <v>479.48352664121677</v>
      </c>
      <c r="N1642" s="2">
        <v>465.09902084198023</v>
      </c>
      <c r="O1642" s="2">
        <v>451.14605021672082</v>
      </c>
    </row>
    <row r="1643" spans="1:15" x14ac:dyDescent="0.25">
      <c r="A1643" t="s">
        <v>4300</v>
      </c>
      <c r="B1643" t="s">
        <v>4301</v>
      </c>
      <c r="C1643" s="2">
        <v>650.13915999999995</v>
      </c>
      <c r="D1643" s="2">
        <v>630.63498519999996</v>
      </c>
      <c r="E1643" s="2">
        <v>611.71593564399996</v>
      </c>
      <c r="F1643" s="2">
        <v>593.36445757467993</v>
      </c>
      <c r="G1643" s="2">
        <v>575.56352384743957</v>
      </c>
      <c r="H1643" s="2">
        <v>558.29661813201642</v>
      </c>
      <c r="I1643" s="2">
        <v>541.54771958805588</v>
      </c>
      <c r="J1643" s="2">
        <v>525.30128800041416</v>
      </c>
      <c r="K1643" s="2">
        <v>509.54224936040174</v>
      </c>
      <c r="L1643" s="2">
        <v>494.25598187958968</v>
      </c>
      <c r="M1643" s="2">
        <v>479.42830242320196</v>
      </c>
      <c r="N1643" s="2">
        <v>465.04545335050591</v>
      </c>
      <c r="O1643" s="2">
        <v>451.0940897499907</v>
      </c>
    </row>
    <row r="1644" spans="1:15" x14ac:dyDescent="0.25">
      <c r="A1644" t="s">
        <v>4302</v>
      </c>
      <c r="B1644" t="s">
        <v>4301</v>
      </c>
      <c r="C1644" s="2">
        <v>650.13915999999995</v>
      </c>
      <c r="D1644" s="2">
        <v>630.63498519999996</v>
      </c>
      <c r="E1644" s="2">
        <v>611.71593564399996</v>
      </c>
      <c r="F1644" s="2">
        <v>593.36445757467993</v>
      </c>
      <c r="G1644" s="2">
        <v>575.56352384743957</v>
      </c>
      <c r="H1644" s="2">
        <v>558.29661813201642</v>
      </c>
      <c r="I1644" s="2">
        <v>541.54771958805588</v>
      </c>
      <c r="J1644" s="2">
        <v>525.30128800041416</v>
      </c>
      <c r="K1644" s="2">
        <v>509.54224936040174</v>
      </c>
      <c r="L1644" s="2">
        <v>494.25598187958968</v>
      </c>
      <c r="M1644" s="2">
        <v>479.42830242320196</v>
      </c>
      <c r="N1644" s="2">
        <v>465.04545335050591</v>
      </c>
      <c r="O1644" s="2">
        <v>451.0940897499907</v>
      </c>
    </row>
    <row r="1645" spans="1:15" x14ac:dyDescent="0.25">
      <c r="A1645" t="s">
        <v>4303</v>
      </c>
      <c r="B1645" t="s">
        <v>4301</v>
      </c>
      <c r="C1645" s="2">
        <v>650.13915999999995</v>
      </c>
      <c r="D1645" s="2">
        <v>630.63498519999996</v>
      </c>
      <c r="E1645" s="2">
        <v>611.71593564399996</v>
      </c>
      <c r="F1645" s="2">
        <v>593.36445757467993</v>
      </c>
      <c r="G1645" s="2">
        <v>575.56352384743957</v>
      </c>
      <c r="H1645" s="2">
        <v>558.29661813201642</v>
      </c>
      <c r="I1645" s="2">
        <v>541.54771958805588</v>
      </c>
      <c r="J1645" s="2">
        <v>525.30128800041416</v>
      </c>
      <c r="K1645" s="2">
        <v>509.54224936040174</v>
      </c>
      <c r="L1645" s="2">
        <v>494.25598187958968</v>
      </c>
      <c r="M1645" s="2">
        <v>479.42830242320196</v>
      </c>
      <c r="N1645" s="2">
        <v>465.04545335050591</v>
      </c>
      <c r="O1645" s="2">
        <v>451.0940897499907</v>
      </c>
    </row>
    <row r="1646" spans="1:15" x14ac:dyDescent="0.25">
      <c r="A1646" t="s">
        <v>4304</v>
      </c>
      <c r="B1646" t="s">
        <v>4305</v>
      </c>
      <c r="C1646" s="2">
        <v>648.53817600000002</v>
      </c>
      <c r="D1646" s="2">
        <v>629.08203072000003</v>
      </c>
      <c r="E1646" s="2">
        <v>610.20956979840003</v>
      </c>
      <c r="F1646" s="2">
        <v>591.90328270444797</v>
      </c>
      <c r="G1646" s="2">
        <v>574.14618422331455</v>
      </c>
      <c r="H1646" s="2">
        <v>556.92179869661504</v>
      </c>
      <c r="I1646" s="2">
        <v>540.21414473571656</v>
      </c>
      <c r="J1646" s="2">
        <v>524.00772039364506</v>
      </c>
      <c r="K1646" s="2">
        <v>508.28748878183569</v>
      </c>
      <c r="L1646" s="2">
        <v>493.03886411838062</v>
      </c>
      <c r="M1646" s="2">
        <v>478.24769819482918</v>
      </c>
      <c r="N1646" s="2">
        <v>463.90026724898428</v>
      </c>
      <c r="O1646" s="2">
        <v>449.98325923151475</v>
      </c>
    </row>
    <row r="1647" spans="1:15" x14ac:dyDescent="0.25">
      <c r="A1647" t="s">
        <v>4306</v>
      </c>
      <c r="B1647" t="s">
        <v>4307</v>
      </c>
      <c r="C1647" s="2">
        <v>645.1945280000001</v>
      </c>
      <c r="D1647" s="2">
        <v>625.83869216000005</v>
      </c>
      <c r="E1647" s="2">
        <v>607.06353139520002</v>
      </c>
      <c r="F1647" s="2">
        <v>588.85162545334401</v>
      </c>
      <c r="G1647" s="2">
        <v>571.18607668974369</v>
      </c>
      <c r="H1647" s="2">
        <v>554.05049438905132</v>
      </c>
      <c r="I1647" s="2">
        <v>537.42897955737976</v>
      </c>
      <c r="J1647" s="2">
        <v>521.30611017065837</v>
      </c>
      <c r="K1647" s="2">
        <v>505.66692686553858</v>
      </c>
      <c r="L1647" s="2">
        <v>490.49691905957241</v>
      </c>
      <c r="M1647" s="2">
        <v>475.78201148778521</v>
      </c>
      <c r="N1647" s="2">
        <v>461.50855114315164</v>
      </c>
      <c r="O1647" s="2">
        <v>447.66329460885709</v>
      </c>
    </row>
    <row r="1648" spans="1:15" x14ac:dyDescent="0.25">
      <c r="A1648" t="s">
        <v>4308</v>
      </c>
      <c r="B1648" t="s">
        <v>4309</v>
      </c>
      <c r="C1648" s="2">
        <v>645.1945280000001</v>
      </c>
      <c r="D1648" s="2">
        <v>625.83869216000005</v>
      </c>
      <c r="E1648" s="2">
        <v>607.06353139520002</v>
      </c>
      <c r="F1648" s="2">
        <v>588.85162545334401</v>
      </c>
      <c r="G1648" s="2">
        <v>571.18607668974369</v>
      </c>
      <c r="H1648" s="2">
        <v>554.05049438905132</v>
      </c>
      <c r="I1648" s="2">
        <v>537.42897955737976</v>
      </c>
      <c r="J1648" s="2">
        <v>521.30611017065837</v>
      </c>
      <c r="K1648" s="2">
        <v>505.66692686553858</v>
      </c>
      <c r="L1648" s="2">
        <v>490.49691905957241</v>
      </c>
      <c r="M1648" s="2">
        <v>475.78201148778521</v>
      </c>
      <c r="N1648" s="2">
        <v>461.50855114315164</v>
      </c>
      <c r="O1648" s="2">
        <v>447.66329460885709</v>
      </c>
    </row>
    <row r="1649" spans="1:15" x14ac:dyDescent="0.25">
      <c r="A1649" t="s">
        <v>4310</v>
      </c>
      <c r="B1649" t="s">
        <v>4311</v>
      </c>
      <c r="C1649" s="2">
        <v>644.70067200000017</v>
      </c>
      <c r="D1649" s="2">
        <v>625.3596518400002</v>
      </c>
      <c r="E1649" s="2">
        <v>606.59886228480013</v>
      </c>
      <c r="F1649" s="2">
        <v>588.40089641625616</v>
      </c>
      <c r="G1649" s="2">
        <v>570.74886952376846</v>
      </c>
      <c r="H1649" s="2">
        <v>553.62640343805538</v>
      </c>
      <c r="I1649" s="2">
        <v>537.01761133491368</v>
      </c>
      <c r="J1649" s="2">
        <v>520.9070829948663</v>
      </c>
      <c r="K1649" s="2">
        <v>505.27987050502031</v>
      </c>
      <c r="L1649" s="2">
        <v>490.12147438986972</v>
      </c>
      <c r="M1649" s="2">
        <v>475.41783015817362</v>
      </c>
      <c r="N1649" s="2">
        <v>461.15529525342839</v>
      </c>
      <c r="O1649" s="2">
        <v>447.32063639582555</v>
      </c>
    </row>
    <row r="1650" spans="1:15" x14ac:dyDescent="0.25">
      <c r="A1650" t="s">
        <v>4312</v>
      </c>
      <c r="B1650" t="s">
        <v>4313</v>
      </c>
      <c r="C1650" s="2">
        <v>644.70067200000017</v>
      </c>
      <c r="D1650" s="2">
        <v>625.3596518400002</v>
      </c>
      <c r="E1650" s="2">
        <v>606.59886228480013</v>
      </c>
      <c r="F1650" s="2">
        <v>588.40089641625616</v>
      </c>
      <c r="G1650" s="2">
        <v>570.74886952376846</v>
      </c>
      <c r="H1650" s="2">
        <v>553.62640343805538</v>
      </c>
      <c r="I1650" s="2">
        <v>537.01761133491368</v>
      </c>
      <c r="J1650" s="2">
        <v>520.9070829948663</v>
      </c>
      <c r="K1650" s="2">
        <v>505.27987050502031</v>
      </c>
      <c r="L1650" s="2">
        <v>490.12147438986972</v>
      </c>
      <c r="M1650" s="2">
        <v>475.41783015817362</v>
      </c>
      <c r="N1650" s="2">
        <v>461.15529525342839</v>
      </c>
      <c r="O1650" s="2">
        <v>447.32063639582555</v>
      </c>
    </row>
    <row r="1651" spans="1:15" x14ac:dyDescent="0.25">
      <c r="A1651" t="s">
        <v>4314</v>
      </c>
      <c r="B1651" t="s">
        <v>4195</v>
      </c>
      <c r="C1651" s="2">
        <v>638.21678800000007</v>
      </c>
      <c r="D1651" s="2">
        <v>619.07028436000007</v>
      </c>
      <c r="E1651" s="2">
        <v>600.49817582920002</v>
      </c>
      <c r="F1651" s="2">
        <v>582.483230554324</v>
      </c>
      <c r="G1651" s="2">
        <v>565.00873363769426</v>
      </c>
      <c r="H1651" s="2">
        <v>548.05847162856344</v>
      </c>
      <c r="I1651" s="2">
        <v>531.61671747970649</v>
      </c>
      <c r="J1651" s="2">
        <v>515.6682159553153</v>
      </c>
      <c r="K1651" s="2">
        <v>500.19816947665583</v>
      </c>
      <c r="L1651" s="2">
        <v>485.19222439235614</v>
      </c>
      <c r="M1651" s="2">
        <v>470.63645766058545</v>
      </c>
      <c r="N1651" s="2">
        <v>456.51736393076789</v>
      </c>
      <c r="O1651" s="2">
        <v>442.82184301284485</v>
      </c>
    </row>
    <row r="1652" spans="1:15" x14ac:dyDescent="0.25">
      <c r="A1652" t="s">
        <v>4315</v>
      </c>
      <c r="B1652" t="s">
        <v>4195</v>
      </c>
      <c r="C1652" s="2">
        <v>638.21678800000007</v>
      </c>
      <c r="D1652" s="2">
        <v>619.07028436000007</v>
      </c>
      <c r="E1652" s="2">
        <v>600.49817582920002</v>
      </c>
      <c r="F1652" s="2">
        <v>582.483230554324</v>
      </c>
      <c r="G1652" s="2">
        <v>565.00873363769426</v>
      </c>
      <c r="H1652" s="2">
        <v>548.05847162856344</v>
      </c>
      <c r="I1652" s="2">
        <v>531.61671747970649</v>
      </c>
      <c r="J1652" s="2">
        <v>515.6682159553153</v>
      </c>
      <c r="K1652" s="2">
        <v>500.19816947665583</v>
      </c>
      <c r="L1652" s="2">
        <v>485.19222439235614</v>
      </c>
      <c r="M1652" s="2">
        <v>470.63645766058545</v>
      </c>
      <c r="N1652" s="2">
        <v>456.51736393076789</v>
      </c>
      <c r="O1652" s="2">
        <v>442.82184301284485</v>
      </c>
    </row>
    <row r="1653" spans="1:15" x14ac:dyDescent="0.25">
      <c r="A1653" t="s">
        <v>4316</v>
      </c>
      <c r="B1653" t="s">
        <v>4317</v>
      </c>
      <c r="C1653" s="2">
        <v>637.5680960000002</v>
      </c>
      <c r="D1653" s="2">
        <v>618.44105312000022</v>
      </c>
      <c r="E1653" s="2">
        <v>599.88782152640022</v>
      </c>
      <c r="F1653" s="2">
        <v>581.89118688060819</v>
      </c>
      <c r="G1653" s="2">
        <v>564.43445127418988</v>
      </c>
      <c r="H1653" s="2">
        <v>547.5014177359642</v>
      </c>
      <c r="I1653" s="2">
        <v>531.07637520388528</v>
      </c>
      <c r="J1653" s="2">
        <v>515.14408394776865</v>
      </c>
      <c r="K1653" s="2">
        <v>499.68976142933559</v>
      </c>
      <c r="L1653" s="2">
        <v>484.6990685864555</v>
      </c>
      <c r="M1653" s="2">
        <v>470.15809652886179</v>
      </c>
      <c r="N1653" s="2">
        <v>456.05335363299594</v>
      </c>
      <c r="O1653" s="2">
        <v>442.37175302400607</v>
      </c>
    </row>
    <row r="1654" spans="1:15" x14ac:dyDescent="0.25">
      <c r="A1654" t="s">
        <v>4318</v>
      </c>
      <c r="B1654" t="s">
        <v>4319</v>
      </c>
      <c r="C1654" s="2">
        <v>637.5680960000002</v>
      </c>
      <c r="D1654" s="2">
        <v>618.44105312000022</v>
      </c>
      <c r="E1654" s="2">
        <v>599.88782152640022</v>
      </c>
      <c r="F1654" s="2">
        <v>581.89118688060819</v>
      </c>
      <c r="G1654" s="2">
        <v>564.43445127418988</v>
      </c>
      <c r="H1654" s="2">
        <v>547.5014177359642</v>
      </c>
      <c r="I1654" s="2">
        <v>531.07637520388528</v>
      </c>
      <c r="J1654" s="2">
        <v>515.14408394776865</v>
      </c>
      <c r="K1654" s="2">
        <v>499.68976142933559</v>
      </c>
      <c r="L1654" s="2">
        <v>484.6990685864555</v>
      </c>
      <c r="M1654" s="2">
        <v>470.15809652886179</v>
      </c>
      <c r="N1654" s="2">
        <v>456.05335363299594</v>
      </c>
      <c r="O1654" s="2">
        <v>442.37175302400607</v>
      </c>
    </row>
    <row r="1655" spans="1:15" x14ac:dyDescent="0.25">
      <c r="A1655" t="s">
        <v>4320</v>
      </c>
      <c r="B1655" t="s">
        <v>4321</v>
      </c>
      <c r="C1655" s="2">
        <v>637.5680960000002</v>
      </c>
      <c r="D1655" s="2">
        <v>618.44105312000022</v>
      </c>
      <c r="E1655" s="2">
        <v>599.88782152640022</v>
      </c>
      <c r="F1655" s="2">
        <v>581.89118688060819</v>
      </c>
      <c r="G1655" s="2">
        <v>564.43445127418988</v>
      </c>
      <c r="H1655" s="2">
        <v>547.5014177359642</v>
      </c>
      <c r="I1655" s="2">
        <v>531.07637520388528</v>
      </c>
      <c r="J1655" s="2">
        <v>515.14408394776865</v>
      </c>
      <c r="K1655" s="2">
        <v>499.68976142933559</v>
      </c>
      <c r="L1655" s="2">
        <v>484.6990685864555</v>
      </c>
      <c r="M1655" s="2">
        <v>470.15809652886179</v>
      </c>
      <c r="N1655" s="2">
        <v>456.05335363299594</v>
      </c>
      <c r="O1655" s="2">
        <v>442.37175302400607</v>
      </c>
    </row>
    <row r="1656" spans="1:15" x14ac:dyDescent="0.25">
      <c r="A1656" t="s">
        <v>4322</v>
      </c>
      <c r="B1656" t="s">
        <v>4323</v>
      </c>
      <c r="C1656" s="2">
        <v>637.53571200000022</v>
      </c>
      <c r="D1656" s="2">
        <v>618.40964064000025</v>
      </c>
      <c r="E1656" s="2">
        <v>599.85735142080023</v>
      </c>
      <c r="F1656" s="2">
        <v>581.86163087817624</v>
      </c>
      <c r="G1656" s="2">
        <v>564.40578195183093</v>
      </c>
      <c r="H1656" s="2">
        <v>547.47360849327595</v>
      </c>
      <c r="I1656" s="2">
        <v>531.04940023847769</v>
      </c>
      <c r="J1656" s="2">
        <v>515.1179182313233</v>
      </c>
      <c r="K1656" s="2">
        <v>499.66438068438362</v>
      </c>
      <c r="L1656" s="2">
        <v>484.67444926385207</v>
      </c>
      <c r="M1656" s="2">
        <v>470.13421578593648</v>
      </c>
      <c r="N1656" s="2">
        <v>456.03018931235835</v>
      </c>
      <c r="O1656" s="2">
        <v>442.34928363298758</v>
      </c>
    </row>
    <row r="1657" spans="1:15" x14ac:dyDescent="0.25">
      <c r="A1657" t="s">
        <v>4324</v>
      </c>
      <c r="B1657" t="s">
        <v>4325</v>
      </c>
      <c r="C1657" s="2">
        <v>636.7423040000001</v>
      </c>
      <c r="D1657" s="2">
        <v>617.64003488000003</v>
      </c>
      <c r="E1657" s="2">
        <v>599.11083383360005</v>
      </c>
      <c r="F1657" s="2">
        <v>581.13750881859198</v>
      </c>
      <c r="G1657" s="2">
        <v>563.70338355403419</v>
      </c>
      <c r="H1657" s="2">
        <v>546.7922820474131</v>
      </c>
      <c r="I1657" s="2">
        <v>530.38851358599072</v>
      </c>
      <c r="J1657" s="2">
        <v>514.47685817841102</v>
      </c>
      <c r="K1657" s="2">
        <v>499.04255243305869</v>
      </c>
      <c r="L1657" s="2">
        <v>484.07127586006692</v>
      </c>
      <c r="M1657" s="2">
        <v>469.54913758426488</v>
      </c>
      <c r="N1657" s="2">
        <v>455.46266345673695</v>
      </c>
      <c r="O1657" s="2">
        <v>441.79878355303481</v>
      </c>
    </row>
    <row r="1658" spans="1:15" x14ac:dyDescent="0.25">
      <c r="A1658" t="s">
        <v>4326</v>
      </c>
      <c r="B1658" t="s">
        <v>4327</v>
      </c>
      <c r="C1658" s="2">
        <v>636.7423040000001</v>
      </c>
      <c r="D1658" s="2">
        <v>617.64003488000003</v>
      </c>
      <c r="E1658" s="2">
        <v>599.11083383360005</v>
      </c>
      <c r="F1658" s="2">
        <v>581.13750881859198</v>
      </c>
      <c r="G1658" s="2">
        <v>563.70338355403419</v>
      </c>
      <c r="H1658" s="2">
        <v>546.7922820474131</v>
      </c>
      <c r="I1658" s="2">
        <v>530.38851358599072</v>
      </c>
      <c r="J1658" s="2">
        <v>514.47685817841102</v>
      </c>
      <c r="K1658" s="2">
        <v>499.04255243305869</v>
      </c>
      <c r="L1658" s="2">
        <v>484.07127586006692</v>
      </c>
      <c r="M1658" s="2">
        <v>469.54913758426488</v>
      </c>
      <c r="N1658" s="2">
        <v>455.46266345673695</v>
      </c>
      <c r="O1658" s="2">
        <v>441.79878355303481</v>
      </c>
    </row>
    <row r="1659" spans="1:15" x14ac:dyDescent="0.25">
      <c r="A1659" t="s">
        <v>4328</v>
      </c>
      <c r="B1659" t="s">
        <v>4329</v>
      </c>
      <c r="C1659" s="2">
        <v>635.76268800000014</v>
      </c>
      <c r="D1659" s="2">
        <v>616.68980736000015</v>
      </c>
      <c r="E1659" s="2">
        <v>598.18911313920012</v>
      </c>
      <c r="F1659" s="2">
        <v>580.24343974502415</v>
      </c>
      <c r="G1659" s="2">
        <v>562.83613655267345</v>
      </c>
      <c r="H1659" s="2">
        <v>545.95105245609318</v>
      </c>
      <c r="I1659" s="2">
        <v>529.57252088241034</v>
      </c>
      <c r="J1659" s="2">
        <v>513.68534525593805</v>
      </c>
      <c r="K1659" s="2">
        <v>498.2747848982599</v>
      </c>
      <c r="L1659" s="2">
        <v>483.32654135131207</v>
      </c>
      <c r="M1659" s="2">
        <v>468.82674511077272</v>
      </c>
      <c r="N1659" s="2">
        <v>454.7619427574495</v>
      </c>
      <c r="O1659" s="2">
        <v>441.11908447472598</v>
      </c>
    </row>
    <row r="1660" spans="1:15" x14ac:dyDescent="0.25">
      <c r="A1660" t="s">
        <v>4330</v>
      </c>
      <c r="B1660" t="s">
        <v>4331</v>
      </c>
      <c r="C1660" s="2">
        <v>633.79536000000007</v>
      </c>
      <c r="D1660" s="2">
        <v>614.7814992000001</v>
      </c>
      <c r="E1660" s="2">
        <v>596.33805422400008</v>
      </c>
      <c r="F1660" s="2">
        <v>578.44791259728004</v>
      </c>
      <c r="G1660" s="2">
        <v>561.09447521936158</v>
      </c>
      <c r="H1660" s="2">
        <v>544.26164096278069</v>
      </c>
      <c r="I1660" s="2">
        <v>527.93379173389724</v>
      </c>
      <c r="J1660" s="2">
        <v>512.09577798188036</v>
      </c>
      <c r="K1660" s="2">
        <v>496.73290464242393</v>
      </c>
      <c r="L1660" s="2">
        <v>481.83091750315123</v>
      </c>
      <c r="M1660" s="2">
        <v>467.37598997805668</v>
      </c>
      <c r="N1660" s="2">
        <v>453.35471027871495</v>
      </c>
      <c r="O1660" s="2">
        <v>439.7540689703535</v>
      </c>
    </row>
    <row r="1661" spans="1:15" x14ac:dyDescent="0.25">
      <c r="A1661" t="s">
        <v>4332</v>
      </c>
      <c r="B1661" t="s">
        <v>4333</v>
      </c>
      <c r="C1661" s="2">
        <v>631.73897600000009</v>
      </c>
      <c r="D1661" s="2">
        <v>612.78680672000007</v>
      </c>
      <c r="E1661" s="2">
        <v>594.40320251840001</v>
      </c>
      <c r="F1661" s="2">
        <v>576.57110644284796</v>
      </c>
      <c r="G1661" s="2">
        <v>559.27397324956246</v>
      </c>
      <c r="H1661" s="2">
        <v>542.49575405207554</v>
      </c>
      <c r="I1661" s="2">
        <v>526.22088143051326</v>
      </c>
      <c r="J1661" s="2">
        <v>510.43425498759785</v>
      </c>
      <c r="K1661" s="2">
        <v>495.12122733796991</v>
      </c>
      <c r="L1661" s="2">
        <v>480.2675905178308</v>
      </c>
      <c r="M1661" s="2">
        <v>465.85956280229584</v>
      </c>
      <c r="N1661" s="2">
        <v>451.88377591822695</v>
      </c>
      <c r="O1661" s="2">
        <v>438.32726264068015</v>
      </c>
    </row>
    <row r="1662" spans="1:15" x14ac:dyDescent="0.25">
      <c r="A1662" t="s">
        <v>4334</v>
      </c>
      <c r="B1662" t="s">
        <v>4335</v>
      </c>
      <c r="C1662" s="2">
        <v>631.44752000000017</v>
      </c>
      <c r="D1662" s="2">
        <v>612.5040944000001</v>
      </c>
      <c r="E1662" s="2">
        <v>594.12897156800011</v>
      </c>
      <c r="F1662" s="2">
        <v>576.30510242096011</v>
      </c>
      <c r="G1662" s="2">
        <v>559.01594934833133</v>
      </c>
      <c r="H1662" s="2">
        <v>542.24547086788141</v>
      </c>
      <c r="I1662" s="2">
        <v>525.97810674184495</v>
      </c>
      <c r="J1662" s="2">
        <v>510.19876353958961</v>
      </c>
      <c r="K1662" s="2">
        <v>494.89280063340192</v>
      </c>
      <c r="L1662" s="2">
        <v>480.04601661439983</v>
      </c>
      <c r="M1662" s="2">
        <v>465.64463611596784</v>
      </c>
      <c r="N1662" s="2">
        <v>451.6752970324888</v>
      </c>
      <c r="O1662" s="2">
        <v>438.12503812151414</v>
      </c>
    </row>
    <row r="1663" spans="1:15" x14ac:dyDescent="0.25">
      <c r="A1663" t="s">
        <v>4336</v>
      </c>
      <c r="B1663" t="s">
        <v>4337</v>
      </c>
      <c r="C1663" s="2">
        <v>631.44752000000017</v>
      </c>
      <c r="D1663" s="2">
        <v>612.5040944000001</v>
      </c>
      <c r="E1663" s="2">
        <v>594.12897156800011</v>
      </c>
      <c r="F1663" s="2">
        <v>576.30510242096011</v>
      </c>
      <c r="G1663" s="2">
        <v>559.01594934833133</v>
      </c>
      <c r="H1663" s="2">
        <v>542.24547086788141</v>
      </c>
      <c r="I1663" s="2">
        <v>525.97810674184495</v>
      </c>
      <c r="J1663" s="2">
        <v>510.19876353958961</v>
      </c>
      <c r="K1663" s="2">
        <v>494.89280063340192</v>
      </c>
      <c r="L1663" s="2">
        <v>480.04601661439983</v>
      </c>
      <c r="M1663" s="2">
        <v>465.64463611596784</v>
      </c>
      <c r="N1663" s="2">
        <v>451.6752970324888</v>
      </c>
      <c r="O1663" s="2">
        <v>438.12503812151414</v>
      </c>
    </row>
    <row r="1664" spans="1:15" x14ac:dyDescent="0.25">
      <c r="A1664" t="s">
        <v>4338</v>
      </c>
      <c r="B1664" t="s">
        <v>4339</v>
      </c>
      <c r="C1664" s="2">
        <v>625.42409600000008</v>
      </c>
      <c r="D1664" s="2">
        <v>606.66137312000001</v>
      </c>
      <c r="E1664" s="2">
        <v>588.46153192639997</v>
      </c>
      <c r="F1664" s="2">
        <v>570.80768596860798</v>
      </c>
      <c r="G1664" s="2">
        <v>553.68345538954975</v>
      </c>
      <c r="H1664" s="2">
        <v>537.07295172786326</v>
      </c>
      <c r="I1664" s="2">
        <v>520.9607631760274</v>
      </c>
      <c r="J1664" s="2">
        <v>505.33194028074655</v>
      </c>
      <c r="K1664" s="2">
        <v>490.17198207232411</v>
      </c>
      <c r="L1664" s="2">
        <v>475.4668226101544</v>
      </c>
      <c r="M1664" s="2">
        <v>461.20281793184972</v>
      </c>
      <c r="N1664" s="2">
        <v>447.36673339389421</v>
      </c>
      <c r="O1664" s="2">
        <v>433.94573139207739</v>
      </c>
    </row>
    <row r="1665" spans="1:15" x14ac:dyDescent="0.25">
      <c r="A1665" t="s">
        <v>4340</v>
      </c>
      <c r="B1665" t="s">
        <v>4341</v>
      </c>
      <c r="C1665" s="2">
        <v>625.42409600000008</v>
      </c>
      <c r="D1665" s="2">
        <v>606.66137312000001</v>
      </c>
      <c r="E1665" s="2">
        <v>588.46153192639997</v>
      </c>
      <c r="F1665" s="2">
        <v>570.80768596860798</v>
      </c>
      <c r="G1665" s="2">
        <v>553.68345538954975</v>
      </c>
      <c r="H1665" s="2">
        <v>537.07295172786326</v>
      </c>
      <c r="I1665" s="2">
        <v>520.9607631760274</v>
      </c>
      <c r="J1665" s="2">
        <v>505.33194028074655</v>
      </c>
      <c r="K1665" s="2">
        <v>490.17198207232411</v>
      </c>
      <c r="L1665" s="2">
        <v>475.4668226101544</v>
      </c>
      <c r="M1665" s="2">
        <v>461.20281793184972</v>
      </c>
      <c r="N1665" s="2">
        <v>447.36673339389421</v>
      </c>
      <c r="O1665" s="2">
        <v>433.94573139207739</v>
      </c>
    </row>
    <row r="1666" spans="1:15" x14ac:dyDescent="0.25">
      <c r="A1666" t="s">
        <v>4342</v>
      </c>
      <c r="B1666" t="s">
        <v>4343</v>
      </c>
      <c r="C1666" s="2">
        <v>625.25408000000016</v>
      </c>
      <c r="D1666" s="2">
        <v>606.4964576000001</v>
      </c>
      <c r="E1666" s="2">
        <v>588.30156387200009</v>
      </c>
      <c r="F1666" s="2">
        <v>570.65251695584004</v>
      </c>
      <c r="G1666" s="2">
        <v>553.53294144716483</v>
      </c>
      <c r="H1666" s="2">
        <v>536.92695320374992</v>
      </c>
      <c r="I1666" s="2">
        <v>520.81914460763744</v>
      </c>
      <c r="J1666" s="2">
        <v>505.1945702694083</v>
      </c>
      <c r="K1666" s="2">
        <v>490.03873316132604</v>
      </c>
      <c r="L1666" s="2">
        <v>475.33757116648621</v>
      </c>
      <c r="M1666" s="2">
        <v>461.07744403149161</v>
      </c>
      <c r="N1666" s="2">
        <v>447.24512071054687</v>
      </c>
      <c r="O1666" s="2">
        <v>433.82776708923046</v>
      </c>
    </row>
    <row r="1667" spans="1:15" x14ac:dyDescent="0.25">
      <c r="A1667" t="s">
        <v>4344</v>
      </c>
      <c r="B1667" t="s">
        <v>4345</v>
      </c>
      <c r="C1667" s="2">
        <v>625.25408000000016</v>
      </c>
      <c r="D1667" s="2">
        <v>606.4964576000001</v>
      </c>
      <c r="E1667" s="2">
        <v>588.30156387200009</v>
      </c>
      <c r="F1667" s="2">
        <v>570.65251695584004</v>
      </c>
      <c r="G1667" s="2">
        <v>553.53294144716483</v>
      </c>
      <c r="H1667" s="2">
        <v>536.92695320374992</v>
      </c>
      <c r="I1667" s="2">
        <v>520.81914460763744</v>
      </c>
      <c r="J1667" s="2">
        <v>505.1945702694083</v>
      </c>
      <c r="K1667" s="2">
        <v>490.03873316132604</v>
      </c>
      <c r="L1667" s="2">
        <v>475.33757116648621</v>
      </c>
      <c r="M1667" s="2">
        <v>461.07744403149161</v>
      </c>
      <c r="N1667" s="2">
        <v>447.24512071054687</v>
      </c>
      <c r="O1667" s="2">
        <v>433.82776708923046</v>
      </c>
    </row>
    <row r="1668" spans="1:15" x14ac:dyDescent="0.25">
      <c r="A1668" t="s">
        <v>4346</v>
      </c>
      <c r="B1668" t="s">
        <v>4195</v>
      </c>
      <c r="C1668" s="2">
        <v>623.6450000000001</v>
      </c>
      <c r="D1668" s="2">
        <v>604.93565000000012</v>
      </c>
      <c r="E1668" s="2">
        <v>586.7875805000001</v>
      </c>
      <c r="F1668" s="2">
        <v>569.1839530850001</v>
      </c>
      <c r="G1668" s="2">
        <v>552.1084344924501</v>
      </c>
      <c r="H1668" s="2">
        <v>535.54518145767656</v>
      </c>
      <c r="I1668" s="2">
        <v>519.47882601394622</v>
      </c>
      <c r="J1668" s="2">
        <v>503.89446123352781</v>
      </c>
      <c r="K1668" s="2">
        <v>488.77762739652195</v>
      </c>
      <c r="L1668" s="2">
        <v>474.11429857462628</v>
      </c>
      <c r="M1668" s="2">
        <v>459.89086961738747</v>
      </c>
      <c r="N1668" s="2">
        <v>446.09414352886586</v>
      </c>
      <c r="O1668" s="2">
        <v>432.71131922299986</v>
      </c>
    </row>
    <row r="1669" spans="1:15" x14ac:dyDescent="0.25">
      <c r="A1669" t="s">
        <v>4347</v>
      </c>
      <c r="B1669" t="s">
        <v>4195</v>
      </c>
      <c r="C1669" s="2">
        <v>623.6450000000001</v>
      </c>
      <c r="D1669" s="2">
        <v>604.93565000000012</v>
      </c>
      <c r="E1669" s="2">
        <v>586.7875805000001</v>
      </c>
      <c r="F1669" s="2">
        <v>569.1839530850001</v>
      </c>
      <c r="G1669" s="2">
        <v>552.1084344924501</v>
      </c>
      <c r="H1669" s="2">
        <v>535.54518145767656</v>
      </c>
      <c r="I1669" s="2">
        <v>519.47882601394622</v>
      </c>
      <c r="J1669" s="2">
        <v>503.89446123352781</v>
      </c>
      <c r="K1669" s="2">
        <v>488.77762739652195</v>
      </c>
      <c r="L1669" s="2">
        <v>474.11429857462628</v>
      </c>
      <c r="M1669" s="2">
        <v>459.89086961738747</v>
      </c>
      <c r="N1669" s="2">
        <v>446.09414352886586</v>
      </c>
      <c r="O1669" s="2">
        <v>432.71131922299986</v>
      </c>
    </row>
    <row r="1670" spans="1:15" x14ac:dyDescent="0.25">
      <c r="A1670" t="s">
        <v>4348</v>
      </c>
      <c r="B1670" t="s">
        <v>4349</v>
      </c>
      <c r="C1670" s="2">
        <v>623.37580800000012</v>
      </c>
      <c r="D1670" s="2">
        <v>604.67453376000014</v>
      </c>
      <c r="E1670" s="2">
        <v>586.53429774720007</v>
      </c>
      <c r="F1670" s="2">
        <v>568.93826881478401</v>
      </c>
      <c r="G1670" s="2">
        <v>551.87012075034045</v>
      </c>
      <c r="H1670" s="2">
        <v>535.3140171278302</v>
      </c>
      <c r="I1670" s="2">
        <v>519.25459661399532</v>
      </c>
      <c r="J1670" s="2">
        <v>503.67695871557544</v>
      </c>
      <c r="K1670" s="2">
        <v>488.56664995410819</v>
      </c>
      <c r="L1670" s="2">
        <v>473.90965045548495</v>
      </c>
      <c r="M1670" s="2">
        <v>459.69236094182037</v>
      </c>
      <c r="N1670" s="2">
        <v>445.90159011356576</v>
      </c>
      <c r="O1670" s="2">
        <v>432.5245424101588</v>
      </c>
    </row>
    <row r="1671" spans="1:15" x14ac:dyDescent="0.25">
      <c r="A1671" t="s">
        <v>4350</v>
      </c>
      <c r="B1671" t="s">
        <v>4351</v>
      </c>
      <c r="C1671" s="2">
        <v>623.37580800000012</v>
      </c>
      <c r="D1671" s="2">
        <v>604.67453376000014</v>
      </c>
      <c r="E1671" s="2">
        <v>586.53429774720007</v>
      </c>
      <c r="F1671" s="2">
        <v>568.93826881478401</v>
      </c>
      <c r="G1671" s="2">
        <v>551.87012075034045</v>
      </c>
      <c r="H1671" s="2">
        <v>535.3140171278302</v>
      </c>
      <c r="I1671" s="2">
        <v>519.25459661399532</v>
      </c>
      <c r="J1671" s="2">
        <v>503.67695871557544</v>
      </c>
      <c r="K1671" s="2">
        <v>488.56664995410819</v>
      </c>
      <c r="L1671" s="2">
        <v>473.90965045548495</v>
      </c>
      <c r="M1671" s="2">
        <v>459.69236094182037</v>
      </c>
      <c r="N1671" s="2">
        <v>445.90159011356576</v>
      </c>
      <c r="O1671" s="2">
        <v>432.5245424101588</v>
      </c>
    </row>
    <row r="1672" spans="1:15" x14ac:dyDescent="0.25">
      <c r="A1672" t="s">
        <v>4352</v>
      </c>
      <c r="B1672" t="s">
        <v>4353</v>
      </c>
      <c r="C1672" s="2">
        <v>623.13292800000011</v>
      </c>
      <c r="D1672" s="2">
        <v>604.43894016000013</v>
      </c>
      <c r="E1672" s="2">
        <v>586.30577195520016</v>
      </c>
      <c r="F1672" s="2">
        <v>568.71659879654419</v>
      </c>
      <c r="G1672" s="2">
        <v>551.6551008326478</v>
      </c>
      <c r="H1672" s="2">
        <v>535.10544780766838</v>
      </c>
      <c r="I1672" s="2">
        <v>519.05228437343828</v>
      </c>
      <c r="J1672" s="2">
        <v>503.4807158422351</v>
      </c>
      <c r="K1672" s="2">
        <v>488.37629436696801</v>
      </c>
      <c r="L1672" s="2">
        <v>473.72500553595899</v>
      </c>
      <c r="M1672" s="2">
        <v>459.5132553698802</v>
      </c>
      <c r="N1672" s="2">
        <v>445.7278577087838</v>
      </c>
      <c r="O1672" s="2">
        <v>432.3560219775203</v>
      </c>
    </row>
    <row r="1673" spans="1:15" x14ac:dyDescent="0.25">
      <c r="A1673" t="s">
        <v>4354</v>
      </c>
      <c r="B1673" t="s">
        <v>4355</v>
      </c>
      <c r="C1673" s="2">
        <v>623.13292800000011</v>
      </c>
      <c r="D1673" s="2">
        <v>604.43894016000013</v>
      </c>
      <c r="E1673" s="2">
        <v>586.30577195520016</v>
      </c>
      <c r="F1673" s="2">
        <v>568.71659879654419</v>
      </c>
      <c r="G1673" s="2">
        <v>551.6551008326478</v>
      </c>
      <c r="H1673" s="2">
        <v>535.10544780766838</v>
      </c>
      <c r="I1673" s="2">
        <v>519.05228437343828</v>
      </c>
      <c r="J1673" s="2">
        <v>503.4807158422351</v>
      </c>
      <c r="K1673" s="2">
        <v>488.37629436696801</v>
      </c>
      <c r="L1673" s="2">
        <v>473.72500553595899</v>
      </c>
      <c r="M1673" s="2">
        <v>459.5132553698802</v>
      </c>
      <c r="N1673" s="2">
        <v>445.7278577087838</v>
      </c>
      <c r="O1673" s="2">
        <v>432.3560219775203</v>
      </c>
    </row>
    <row r="1674" spans="1:15" x14ac:dyDescent="0.25">
      <c r="A1674" t="s">
        <v>4356</v>
      </c>
      <c r="B1674" t="s">
        <v>4357</v>
      </c>
      <c r="C1674" s="2">
        <v>623.13292800000011</v>
      </c>
      <c r="D1674" s="2">
        <v>604.43894016000013</v>
      </c>
      <c r="E1674" s="2">
        <v>586.30577195520016</v>
      </c>
      <c r="F1674" s="2">
        <v>568.71659879654419</v>
      </c>
      <c r="G1674" s="2">
        <v>551.6551008326478</v>
      </c>
      <c r="H1674" s="2">
        <v>535.10544780766838</v>
      </c>
      <c r="I1674" s="2">
        <v>519.05228437343828</v>
      </c>
      <c r="J1674" s="2">
        <v>503.4807158422351</v>
      </c>
      <c r="K1674" s="2">
        <v>488.37629436696801</v>
      </c>
      <c r="L1674" s="2">
        <v>473.72500553595899</v>
      </c>
      <c r="M1674" s="2">
        <v>459.5132553698802</v>
      </c>
      <c r="N1674" s="2">
        <v>445.7278577087838</v>
      </c>
      <c r="O1674" s="2">
        <v>432.3560219775203</v>
      </c>
    </row>
    <row r="1675" spans="1:15" x14ac:dyDescent="0.25">
      <c r="A1675" t="s">
        <v>4358</v>
      </c>
      <c r="B1675" t="s">
        <v>4359</v>
      </c>
      <c r="C1675" s="2">
        <v>619.39561200000003</v>
      </c>
      <c r="D1675" s="2">
        <v>600.81374363999998</v>
      </c>
      <c r="E1675" s="2">
        <v>582.7893313308</v>
      </c>
      <c r="F1675" s="2">
        <v>565.30565139087594</v>
      </c>
      <c r="G1675" s="2">
        <v>548.34648184914965</v>
      </c>
      <c r="H1675" s="2">
        <v>531.8960873936752</v>
      </c>
      <c r="I1675" s="2">
        <v>515.93920477186498</v>
      </c>
      <c r="J1675" s="2">
        <v>500.46102862870902</v>
      </c>
      <c r="K1675" s="2">
        <v>485.44719776984772</v>
      </c>
      <c r="L1675" s="2">
        <v>470.88378183675229</v>
      </c>
      <c r="M1675" s="2">
        <v>456.75726838164974</v>
      </c>
      <c r="N1675" s="2">
        <v>443.05455033020024</v>
      </c>
      <c r="O1675" s="2">
        <v>429.76291382029422</v>
      </c>
    </row>
    <row r="1676" spans="1:15" x14ac:dyDescent="0.25">
      <c r="A1676" t="s">
        <v>4360</v>
      </c>
      <c r="B1676" t="s">
        <v>4361</v>
      </c>
      <c r="C1676" s="2">
        <v>619.39561200000003</v>
      </c>
      <c r="D1676" s="2">
        <v>600.81374363999998</v>
      </c>
      <c r="E1676" s="2">
        <v>582.7893313308</v>
      </c>
      <c r="F1676" s="2">
        <v>565.30565139087594</v>
      </c>
      <c r="G1676" s="2">
        <v>548.34648184914965</v>
      </c>
      <c r="H1676" s="2">
        <v>531.8960873936752</v>
      </c>
      <c r="I1676" s="2">
        <v>515.93920477186498</v>
      </c>
      <c r="J1676" s="2">
        <v>500.46102862870902</v>
      </c>
      <c r="K1676" s="2">
        <v>485.44719776984772</v>
      </c>
      <c r="L1676" s="2">
        <v>470.88378183675229</v>
      </c>
      <c r="M1676" s="2">
        <v>456.75726838164974</v>
      </c>
      <c r="N1676" s="2">
        <v>443.05455033020024</v>
      </c>
      <c r="O1676" s="2">
        <v>429.76291382029422</v>
      </c>
    </row>
    <row r="1677" spans="1:15" x14ac:dyDescent="0.25">
      <c r="A1677" t="s">
        <v>4362</v>
      </c>
      <c r="B1677" t="s">
        <v>4288</v>
      </c>
      <c r="C1677" s="2">
        <v>619.39561200000003</v>
      </c>
      <c r="D1677" s="2">
        <v>600.81374363999998</v>
      </c>
      <c r="E1677" s="2">
        <v>582.7893313308</v>
      </c>
      <c r="F1677" s="2">
        <v>565.30565139087594</v>
      </c>
      <c r="G1677" s="2">
        <v>548.34648184914965</v>
      </c>
      <c r="H1677" s="2">
        <v>531.8960873936752</v>
      </c>
      <c r="I1677" s="2">
        <v>515.93920477186498</v>
      </c>
      <c r="J1677" s="2">
        <v>500.46102862870902</v>
      </c>
      <c r="K1677" s="2">
        <v>485.44719776984772</v>
      </c>
      <c r="L1677" s="2">
        <v>470.88378183675229</v>
      </c>
      <c r="M1677" s="2">
        <v>456.75726838164974</v>
      </c>
      <c r="N1677" s="2">
        <v>443.05455033020024</v>
      </c>
      <c r="O1677" s="2">
        <v>429.76291382029422</v>
      </c>
    </row>
    <row r="1678" spans="1:15" x14ac:dyDescent="0.25">
      <c r="A1678" t="s">
        <v>4363</v>
      </c>
      <c r="B1678" t="s">
        <v>4364</v>
      </c>
      <c r="C1678" s="2">
        <v>619.13350400000013</v>
      </c>
      <c r="D1678" s="2">
        <v>600.55949888000009</v>
      </c>
      <c r="E1678" s="2">
        <v>582.5427139136001</v>
      </c>
      <c r="F1678" s="2">
        <v>565.06643249619208</v>
      </c>
      <c r="G1678" s="2">
        <v>548.11443952130628</v>
      </c>
      <c r="H1678" s="2">
        <v>531.67100633566713</v>
      </c>
      <c r="I1678" s="2">
        <v>515.72087614559712</v>
      </c>
      <c r="J1678" s="2">
        <v>500.2492498612292</v>
      </c>
      <c r="K1678" s="2">
        <v>485.24177236539231</v>
      </c>
      <c r="L1678" s="2">
        <v>470.68451919443055</v>
      </c>
      <c r="M1678" s="2">
        <v>456.5639836185976</v>
      </c>
      <c r="N1678" s="2">
        <v>442.86706411003968</v>
      </c>
      <c r="O1678" s="2">
        <v>429.58105218673848</v>
      </c>
    </row>
    <row r="1679" spans="1:15" x14ac:dyDescent="0.25">
      <c r="A1679" t="s">
        <v>4365</v>
      </c>
      <c r="B1679" t="s">
        <v>4366</v>
      </c>
      <c r="C1679" s="2">
        <v>619.13350400000013</v>
      </c>
      <c r="D1679" s="2">
        <v>600.55949888000009</v>
      </c>
      <c r="E1679" s="2">
        <v>582.5427139136001</v>
      </c>
      <c r="F1679" s="2">
        <v>565.06643249619208</v>
      </c>
      <c r="G1679" s="2">
        <v>548.11443952130628</v>
      </c>
      <c r="H1679" s="2">
        <v>531.67100633566713</v>
      </c>
      <c r="I1679" s="2">
        <v>515.72087614559712</v>
      </c>
      <c r="J1679" s="2">
        <v>500.2492498612292</v>
      </c>
      <c r="K1679" s="2">
        <v>485.24177236539231</v>
      </c>
      <c r="L1679" s="2">
        <v>470.68451919443055</v>
      </c>
      <c r="M1679" s="2">
        <v>456.5639836185976</v>
      </c>
      <c r="N1679" s="2">
        <v>442.86706411003968</v>
      </c>
      <c r="O1679" s="2">
        <v>429.58105218673848</v>
      </c>
    </row>
    <row r="1680" spans="1:15" x14ac:dyDescent="0.25">
      <c r="A1680" t="s">
        <v>4367</v>
      </c>
      <c r="B1680" t="s">
        <v>4368</v>
      </c>
      <c r="C1680" s="2">
        <v>618.8015680000002</v>
      </c>
      <c r="D1680" s="2">
        <v>600.23752096000021</v>
      </c>
      <c r="E1680" s="2">
        <v>582.23039533120016</v>
      </c>
      <c r="F1680" s="2">
        <v>564.76348347126418</v>
      </c>
      <c r="G1680" s="2">
        <v>547.82057896712627</v>
      </c>
      <c r="H1680" s="2">
        <v>531.38596159811243</v>
      </c>
      <c r="I1680" s="2">
        <v>515.4443827501691</v>
      </c>
      <c r="J1680" s="2">
        <v>499.98105126766399</v>
      </c>
      <c r="K1680" s="2">
        <v>484.98161972963408</v>
      </c>
      <c r="L1680" s="2">
        <v>470.43217113774506</v>
      </c>
      <c r="M1680" s="2">
        <v>456.31920600361269</v>
      </c>
      <c r="N1680" s="2">
        <v>442.62962982350427</v>
      </c>
      <c r="O1680" s="2">
        <v>429.35074092879915</v>
      </c>
    </row>
    <row r="1681" spans="1:15" x14ac:dyDescent="0.25">
      <c r="A1681" t="s">
        <v>4369</v>
      </c>
      <c r="B1681" t="s">
        <v>4370</v>
      </c>
      <c r="C1681" s="2">
        <v>617.32809600000019</v>
      </c>
      <c r="D1681" s="2">
        <v>598.80825312000013</v>
      </c>
      <c r="E1681" s="2">
        <v>580.84400552640011</v>
      </c>
      <c r="F1681" s="2">
        <v>563.41868536060804</v>
      </c>
      <c r="G1681" s="2">
        <v>546.51612479978974</v>
      </c>
      <c r="H1681" s="2">
        <v>530.120641055796</v>
      </c>
      <c r="I1681" s="2">
        <v>514.21702182412207</v>
      </c>
      <c r="J1681" s="2">
        <v>498.79051116939837</v>
      </c>
      <c r="K1681" s="2">
        <v>483.82679583431639</v>
      </c>
      <c r="L1681" s="2">
        <v>469.3119919592869</v>
      </c>
      <c r="M1681" s="2">
        <v>455.23263220050831</v>
      </c>
      <c r="N1681" s="2">
        <v>441.57565323449302</v>
      </c>
      <c r="O1681" s="2">
        <v>428.32838363745822</v>
      </c>
    </row>
    <row r="1682" spans="1:15" x14ac:dyDescent="0.25">
      <c r="A1682" t="s">
        <v>4371</v>
      </c>
      <c r="B1682" t="s">
        <v>4372</v>
      </c>
      <c r="C1682" s="2">
        <v>616.00642400000004</v>
      </c>
      <c r="D1682" s="2">
        <v>597.52623128000005</v>
      </c>
      <c r="E1682" s="2">
        <v>579.6004443416</v>
      </c>
      <c r="F1682" s="2">
        <v>562.21243101135201</v>
      </c>
      <c r="G1682" s="2">
        <v>545.34605808101139</v>
      </c>
      <c r="H1682" s="2">
        <v>528.98567633858102</v>
      </c>
      <c r="I1682" s="2">
        <v>513.1161060484236</v>
      </c>
      <c r="J1682" s="2">
        <v>497.72262286697088</v>
      </c>
      <c r="K1682" s="2">
        <v>482.79094418096173</v>
      </c>
      <c r="L1682" s="2">
        <v>468.30721585553289</v>
      </c>
      <c r="M1682" s="2">
        <v>454.25799937986687</v>
      </c>
      <c r="N1682" s="2">
        <v>440.63025939847086</v>
      </c>
      <c r="O1682" s="2">
        <v>427.4113516165167</v>
      </c>
    </row>
    <row r="1683" spans="1:15" x14ac:dyDescent="0.25">
      <c r="A1683" t="s">
        <v>4373</v>
      </c>
      <c r="B1683" t="s">
        <v>4374</v>
      </c>
      <c r="C1683" s="2">
        <v>616.00642400000004</v>
      </c>
      <c r="D1683" s="2">
        <v>597.52623128000005</v>
      </c>
      <c r="E1683" s="2">
        <v>579.6004443416</v>
      </c>
      <c r="F1683" s="2">
        <v>562.21243101135201</v>
      </c>
      <c r="G1683" s="2">
        <v>545.34605808101139</v>
      </c>
      <c r="H1683" s="2">
        <v>528.98567633858102</v>
      </c>
      <c r="I1683" s="2">
        <v>513.1161060484236</v>
      </c>
      <c r="J1683" s="2">
        <v>497.72262286697088</v>
      </c>
      <c r="K1683" s="2">
        <v>482.79094418096173</v>
      </c>
      <c r="L1683" s="2">
        <v>468.30721585553289</v>
      </c>
      <c r="M1683" s="2">
        <v>454.25799937986687</v>
      </c>
      <c r="N1683" s="2">
        <v>440.63025939847086</v>
      </c>
      <c r="O1683" s="2">
        <v>427.4113516165167</v>
      </c>
    </row>
    <row r="1684" spans="1:15" x14ac:dyDescent="0.25">
      <c r="A1684" t="s">
        <v>4375</v>
      </c>
      <c r="B1684" t="s">
        <v>4376</v>
      </c>
      <c r="C1684" s="2">
        <v>616.00642400000004</v>
      </c>
      <c r="D1684" s="2">
        <v>597.52623128000005</v>
      </c>
      <c r="E1684" s="2">
        <v>579.6004443416</v>
      </c>
      <c r="F1684" s="2">
        <v>562.21243101135201</v>
      </c>
      <c r="G1684" s="2">
        <v>545.34605808101139</v>
      </c>
      <c r="H1684" s="2">
        <v>528.98567633858102</v>
      </c>
      <c r="I1684" s="2">
        <v>513.1161060484236</v>
      </c>
      <c r="J1684" s="2">
        <v>497.72262286697088</v>
      </c>
      <c r="K1684" s="2">
        <v>482.79094418096173</v>
      </c>
      <c r="L1684" s="2">
        <v>468.30721585553289</v>
      </c>
      <c r="M1684" s="2">
        <v>454.25799937986687</v>
      </c>
      <c r="N1684" s="2">
        <v>440.63025939847086</v>
      </c>
      <c r="O1684" s="2">
        <v>427.4113516165167</v>
      </c>
    </row>
    <row r="1685" spans="1:15" x14ac:dyDescent="0.25">
      <c r="A1685" t="s">
        <v>4377</v>
      </c>
      <c r="B1685" t="s">
        <v>4378</v>
      </c>
      <c r="C1685" s="2">
        <v>615.90320000000008</v>
      </c>
      <c r="D1685" s="2">
        <v>597.42610400000001</v>
      </c>
      <c r="E1685" s="2">
        <v>579.50332088000005</v>
      </c>
      <c r="F1685" s="2">
        <v>562.11822125360004</v>
      </c>
      <c r="G1685" s="2">
        <v>545.25467461599203</v>
      </c>
      <c r="H1685" s="2">
        <v>528.89703437751223</v>
      </c>
      <c r="I1685" s="2">
        <v>513.03012334618688</v>
      </c>
      <c r="J1685" s="2">
        <v>497.63921964580129</v>
      </c>
      <c r="K1685" s="2">
        <v>482.71004305642725</v>
      </c>
      <c r="L1685" s="2">
        <v>468.22874176473442</v>
      </c>
      <c r="M1685" s="2">
        <v>454.18187951179237</v>
      </c>
      <c r="N1685" s="2">
        <v>440.55642312643857</v>
      </c>
      <c r="O1685" s="2">
        <v>427.33973043264541</v>
      </c>
    </row>
    <row r="1686" spans="1:15" x14ac:dyDescent="0.25">
      <c r="A1686" t="s">
        <v>4379</v>
      </c>
      <c r="B1686" t="s">
        <v>4380</v>
      </c>
      <c r="C1686" s="2">
        <v>615.10321400000009</v>
      </c>
      <c r="D1686" s="2">
        <v>596.65011758000003</v>
      </c>
      <c r="E1686" s="2">
        <v>578.75061405259999</v>
      </c>
      <c r="F1686" s="2">
        <v>561.388095631022</v>
      </c>
      <c r="G1686" s="2">
        <v>544.54645276209135</v>
      </c>
      <c r="H1686" s="2">
        <v>528.21005917922855</v>
      </c>
      <c r="I1686" s="2">
        <v>512.36375740385165</v>
      </c>
      <c r="J1686" s="2">
        <v>496.99284468173607</v>
      </c>
      <c r="K1686" s="2">
        <v>482.08305934128396</v>
      </c>
      <c r="L1686" s="2">
        <v>467.62056756104545</v>
      </c>
      <c r="M1686" s="2">
        <v>453.59195053421405</v>
      </c>
      <c r="N1686" s="2">
        <v>439.98419201818763</v>
      </c>
      <c r="O1686" s="2">
        <v>426.78466625764196</v>
      </c>
    </row>
    <row r="1687" spans="1:15" x14ac:dyDescent="0.25">
      <c r="A1687" t="s">
        <v>4381</v>
      </c>
      <c r="B1687" t="s">
        <v>4380</v>
      </c>
      <c r="C1687" s="2">
        <v>615.10321400000009</v>
      </c>
      <c r="D1687" s="2">
        <v>596.65011758000003</v>
      </c>
      <c r="E1687" s="2">
        <v>578.75061405259999</v>
      </c>
      <c r="F1687" s="2">
        <v>561.388095631022</v>
      </c>
      <c r="G1687" s="2">
        <v>544.54645276209135</v>
      </c>
      <c r="H1687" s="2">
        <v>528.21005917922855</v>
      </c>
      <c r="I1687" s="2">
        <v>512.36375740385165</v>
      </c>
      <c r="J1687" s="2">
        <v>496.99284468173607</v>
      </c>
      <c r="K1687" s="2">
        <v>482.08305934128396</v>
      </c>
      <c r="L1687" s="2">
        <v>467.62056756104545</v>
      </c>
      <c r="M1687" s="2">
        <v>453.59195053421405</v>
      </c>
      <c r="N1687" s="2">
        <v>439.98419201818763</v>
      </c>
      <c r="O1687" s="2">
        <v>426.78466625764196</v>
      </c>
    </row>
    <row r="1688" spans="1:15" x14ac:dyDescent="0.25">
      <c r="A1688" t="s">
        <v>4382</v>
      </c>
      <c r="B1688" t="s">
        <v>4380</v>
      </c>
      <c r="C1688" s="2">
        <v>615.10321400000009</v>
      </c>
      <c r="D1688" s="2">
        <v>596.65011758000003</v>
      </c>
      <c r="E1688" s="2">
        <v>578.75061405259999</v>
      </c>
      <c r="F1688" s="2">
        <v>561.388095631022</v>
      </c>
      <c r="G1688" s="2">
        <v>544.54645276209135</v>
      </c>
      <c r="H1688" s="2">
        <v>528.21005917922855</v>
      </c>
      <c r="I1688" s="2">
        <v>512.36375740385165</v>
      </c>
      <c r="J1688" s="2">
        <v>496.99284468173607</v>
      </c>
      <c r="K1688" s="2">
        <v>482.08305934128396</v>
      </c>
      <c r="L1688" s="2">
        <v>467.62056756104545</v>
      </c>
      <c r="M1688" s="2">
        <v>453.59195053421405</v>
      </c>
      <c r="N1688" s="2">
        <v>439.98419201818763</v>
      </c>
      <c r="O1688" s="2">
        <v>426.78466625764196</v>
      </c>
    </row>
    <row r="1689" spans="1:15" x14ac:dyDescent="0.25">
      <c r="A1689" t="s">
        <v>4383</v>
      </c>
      <c r="B1689" t="s">
        <v>4384</v>
      </c>
      <c r="C1689" s="2">
        <v>614.90536800000018</v>
      </c>
      <c r="D1689" s="2">
        <v>596.45820696000021</v>
      </c>
      <c r="E1689" s="2">
        <v>578.56446075120016</v>
      </c>
      <c r="F1689" s="2">
        <v>561.20752692866415</v>
      </c>
      <c r="G1689" s="2">
        <v>544.37130112080422</v>
      </c>
      <c r="H1689" s="2">
        <v>528.04016208718008</v>
      </c>
      <c r="I1689" s="2">
        <v>512.19895722456465</v>
      </c>
      <c r="J1689" s="2">
        <v>496.83298850782768</v>
      </c>
      <c r="K1689" s="2">
        <v>481.92799885259285</v>
      </c>
      <c r="L1689" s="2">
        <v>467.47015888701503</v>
      </c>
      <c r="M1689" s="2">
        <v>453.4460541204046</v>
      </c>
      <c r="N1689" s="2">
        <v>439.84267249679243</v>
      </c>
      <c r="O1689" s="2">
        <v>426.64739232188867</v>
      </c>
    </row>
    <row r="1690" spans="1:15" x14ac:dyDescent="0.25">
      <c r="A1690" t="s">
        <v>4385</v>
      </c>
      <c r="B1690" t="s">
        <v>4384</v>
      </c>
      <c r="C1690" s="2">
        <v>614.90536800000018</v>
      </c>
      <c r="D1690" s="2">
        <v>596.45820696000021</v>
      </c>
      <c r="E1690" s="2">
        <v>578.56446075120016</v>
      </c>
      <c r="F1690" s="2">
        <v>561.20752692866415</v>
      </c>
      <c r="G1690" s="2">
        <v>544.37130112080422</v>
      </c>
      <c r="H1690" s="2">
        <v>528.04016208718008</v>
      </c>
      <c r="I1690" s="2">
        <v>512.19895722456465</v>
      </c>
      <c r="J1690" s="2">
        <v>496.83298850782768</v>
      </c>
      <c r="K1690" s="2">
        <v>481.92799885259285</v>
      </c>
      <c r="L1690" s="2">
        <v>467.47015888701503</v>
      </c>
      <c r="M1690" s="2">
        <v>453.4460541204046</v>
      </c>
      <c r="N1690" s="2">
        <v>439.84267249679243</v>
      </c>
      <c r="O1690" s="2">
        <v>426.64739232188867</v>
      </c>
    </row>
    <row r="1691" spans="1:15" x14ac:dyDescent="0.25">
      <c r="A1691" t="s">
        <v>4386</v>
      </c>
      <c r="B1691" t="s">
        <v>4384</v>
      </c>
      <c r="C1691" s="2">
        <v>614.90536800000018</v>
      </c>
      <c r="D1691" s="2">
        <v>596.45820696000021</v>
      </c>
      <c r="E1691" s="2">
        <v>578.56446075120016</v>
      </c>
      <c r="F1691" s="2">
        <v>561.20752692866415</v>
      </c>
      <c r="G1691" s="2">
        <v>544.37130112080422</v>
      </c>
      <c r="H1691" s="2">
        <v>528.04016208718008</v>
      </c>
      <c r="I1691" s="2">
        <v>512.19895722456465</v>
      </c>
      <c r="J1691" s="2">
        <v>496.83298850782768</v>
      </c>
      <c r="K1691" s="2">
        <v>481.92799885259285</v>
      </c>
      <c r="L1691" s="2">
        <v>467.47015888701503</v>
      </c>
      <c r="M1691" s="2">
        <v>453.4460541204046</v>
      </c>
      <c r="N1691" s="2">
        <v>439.84267249679243</v>
      </c>
      <c r="O1691" s="2">
        <v>426.64739232188867</v>
      </c>
    </row>
    <row r="1692" spans="1:15" x14ac:dyDescent="0.25">
      <c r="A1692" t="s">
        <v>4387</v>
      </c>
      <c r="B1692" t="s">
        <v>4384</v>
      </c>
      <c r="C1692" s="2">
        <v>614.90536800000018</v>
      </c>
      <c r="D1692" s="2">
        <v>596.45820696000021</v>
      </c>
      <c r="E1692" s="2">
        <v>578.56446075120016</v>
      </c>
      <c r="F1692" s="2">
        <v>561.20752692866415</v>
      </c>
      <c r="G1692" s="2">
        <v>544.37130112080422</v>
      </c>
      <c r="H1692" s="2">
        <v>528.04016208718008</v>
      </c>
      <c r="I1692" s="2">
        <v>512.19895722456465</v>
      </c>
      <c r="J1692" s="2">
        <v>496.83298850782768</v>
      </c>
      <c r="K1692" s="2">
        <v>481.92799885259285</v>
      </c>
      <c r="L1692" s="2">
        <v>467.47015888701503</v>
      </c>
      <c r="M1692" s="2">
        <v>453.4460541204046</v>
      </c>
      <c r="N1692" s="2">
        <v>439.84267249679243</v>
      </c>
      <c r="O1692" s="2">
        <v>426.64739232188867</v>
      </c>
    </row>
    <row r="1693" spans="1:15" x14ac:dyDescent="0.25">
      <c r="A1693" t="s">
        <v>4388</v>
      </c>
      <c r="B1693" t="s">
        <v>4389</v>
      </c>
      <c r="C1693" s="2">
        <v>614.31182999999999</v>
      </c>
      <c r="D1693" s="2">
        <v>595.88247509999997</v>
      </c>
      <c r="E1693" s="2">
        <v>578.006000847</v>
      </c>
      <c r="F1693" s="2">
        <v>560.66582082158993</v>
      </c>
      <c r="G1693" s="2">
        <v>543.84584619694226</v>
      </c>
      <c r="H1693" s="2">
        <v>527.53047081103398</v>
      </c>
      <c r="I1693" s="2">
        <v>511.70455668670297</v>
      </c>
      <c r="J1693" s="2">
        <v>496.35341998610187</v>
      </c>
      <c r="K1693" s="2">
        <v>481.46281738651879</v>
      </c>
      <c r="L1693" s="2">
        <v>467.01893286492322</v>
      </c>
      <c r="M1693" s="2">
        <v>453.0083648789755</v>
      </c>
      <c r="N1693" s="2">
        <v>439.41811393260622</v>
      </c>
      <c r="O1693" s="2">
        <v>426.23557051462802</v>
      </c>
    </row>
    <row r="1694" spans="1:15" x14ac:dyDescent="0.25">
      <c r="A1694" t="s">
        <v>4390</v>
      </c>
      <c r="B1694" t="s">
        <v>4391</v>
      </c>
      <c r="C1694" s="2">
        <v>611.26672200000007</v>
      </c>
      <c r="D1694" s="2">
        <v>592.92872034000004</v>
      </c>
      <c r="E1694" s="2">
        <v>575.14085872980002</v>
      </c>
      <c r="F1694" s="2">
        <v>557.88663296790605</v>
      </c>
      <c r="G1694" s="2">
        <v>541.15003397886881</v>
      </c>
      <c r="H1694" s="2">
        <v>524.91553295950268</v>
      </c>
      <c r="I1694" s="2">
        <v>509.16806697071758</v>
      </c>
      <c r="J1694" s="2">
        <v>493.89302496159604</v>
      </c>
      <c r="K1694" s="2">
        <v>479.07623421274815</v>
      </c>
      <c r="L1694" s="2">
        <v>464.70394718636567</v>
      </c>
      <c r="M1694" s="2">
        <v>450.76282877077466</v>
      </c>
      <c r="N1694" s="2">
        <v>437.23994390765142</v>
      </c>
      <c r="O1694" s="2">
        <v>424.12274559042186</v>
      </c>
    </row>
    <row r="1695" spans="1:15" x14ac:dyDescent="0.25">
      <c r="A1695" t="s">
        <v>4392</v>
      </c>
      <c r="B1695" t="s">
        <v>4391</v>
      </c>
      <c r="C1695" s="2">
        <v>611.26672200000007</v>
      </c>
      <c r="D1695" s="2">
        <v>592.92872034000004</v>
      </c>
      <c r="E1695" s="2">
        <v>575.14085872980002</v>
      </c>
      <c r="F1695" s="2">
        <v>557.88663296790605</v>
      </c>
      <c r="G1695" s="2">
        <v>541.15003397886881</v>
      </c>
      <c r="H1695" s="2">
        <v>524.91553295950268</v>
      </c>
      <c r="I1695" s="2">
        <v>509.16806697071758</v>
      </c>
      <c r="J1695" s="2">
        <v>493.89302496159604</v>
      </c>
      <c r="K1695" s="2">
        <v>479.07623421274815</v>
      </c>
      <c r="L1695" s="2">
        <v>464.70394718636567</v>
      </c>
      <c r="M1695" s="2">
        <v>450.76282877077466</v>
      </c>
      <c r="N1695" s="2">
        <v>437.23994390765142</v>
      </c>
      <c r="O1695" s="2">
        <v>424.12274559042186</v>
      </c>
    </row>
    <row r="1696" spans="1:15" x14ac:dyDescent="0.25">
      <c r="A1696" t="s">
        <v>4393</v>
      </c>
      <c r="B1696" t="s">
        <v>4391</v>
      </c>
      <c r="C1696" s="2">
        <v>611.26672200000007</v>
      </c>
      <c r="D1696" s="2">
        <v>592.92872034000004</v>
      </c>
      <c r="E1696" s="2">
        <v>575.14085872980002</v>
      </c>
      <c r="F1696" s="2">
        <v>557.88663296790605</v>
      </c>
      <c r="G1696" s="2">
        <v>541.15003397886881</v>
      </c>
      <c r="H1696" s="2">
        <v>524.91553295950268</v>
      </c>
      <c r="I1696" s="2">
        <v>509.16806697071758</v>
      </c>
      <c r="J1696" s="2">
        <v>493.89302496159604</v>
      </c>
      <c r="K1696" s="2">
        <v>479.07623421274815</v>
      </c>
      <c r="L1696" s="2">
        <v>464.70394718636567</v>
      </c>
      <c r="M1696" s="2">
        <v>450.76282877077466</v>
      </c>
      <c r="N1696" s="2">
        <v>437.23994390765142</v>
      </c>
      <c r="O1696" s="2">
        <v>424.12274559042186</v>
      </c>
    </row>
    <row r="1697" spans="1:15" x14ac:dyDescent="0.25">
      <c r="A1697" t="s">
        <v>4394</v>
      </c>
      <c r="B1697" t="s">
        <v>4395</v>
      </c>
      <c r="C1697" s="2">
        <v>608.75443199999995</v>
      </c>
      <c r="D1697" s="2">
        <v>590.49179903999993</v>
      </c>
      <c r="E1697" s="2">
        <v>572.77704506879991</v>
      </c>
      <c r="F1697" s="2">
        <v>555.59373371673587</v>
      </c>
      <c r="G1697" s="2">
        <v>538.9259217052338</v>
      </c>
      <c r="H1697" s="2">
        <v>522.75814405407675</v>
      </c>
      <c r="I1697" s="2">
        <v>507.07539973245446</v>
      </c>
      <c r="J1697" s="2">
        <v>491.86313774048079</v>
      </c>
      <c r="K1697" s="2">
        <v>477.10724360826634</v>
      </c>
      <c r="L1697" s="2">
        <v>462.79402630001834</v>
      </c>
      <c r="M1697" s="2">
        <v>448.91020551101781</v>
      </c>
      <c r="N1697" s="2">
        <v>435.44289934568724</v>
      </c>
      <c r="O1697" s="2">
        <v>422.37961236531663</v>
      </c>
    </row>
    <row r="1698" spans="1:15" x14ac:dyDescent="0.25">
      <c r="A1698" t="s">
        <v>4396</v>
      </c>
      <c r="B1698" t="s">
        <v>4397</v>
      </c>
      <c r="C1698" s="2">
        <v>608.75443199999995</v>
      </c>
      <c r="D1698" s="2">
        <v>590.49179903999993</v>
      </c>
      <c r="E1698" s="2">
        <v>572.77704506879991</v>
      </c>
      <c r="F1698" s="2">
        <v>555.59373371673587</v>
      </c>
      <c r="G1698" s="2">
        <v>538.9259217052338</v>
      </c>
      <c r="H1698" s="2">
        <v>522.75814405407675</v>
      </c>
      <c r="I1698" s="2">
        <v>507.07539973245446</v>
      </c>
      <c r="J1698" s="2">
        <v>491.86313774048079</v>
      </c>
      <c r="K1698" s="2">
        <v>477.10724360826634</v>
      </c>
      <c r="L1698" s="2">
        <v>462.79402630001834</v>
      </c>
      <c r="M1698" s="2">
        <v>448.91020551101781</v>
      </c>
      <c r="N1698" s="2">
        <v>435.44289934568724</v>
      </c>
      <c r="O1698" s="2">
        <v>422.37961236531663</v>
      </c>
    </row>
    <row r="1699" spans="1:15" x14ac:dyDescent="0.25">
      <c r="A1699" t="s">
        <v>4398</v>
      </c>
      <c r="B1699" t="s">
        <v>4399</v>
      </c>
      <c r="C1699" s="2">
        <v>608.23881800000004</v>
      </c>
      <c r="D1699" s="2">
        <v>589.99165346000007</v>
      </c>
      <c r="E1699" s="2">
        <v>572.29190385620007</v>
      </c>
      <c r="F1699" s="2">
        <v>555.12314674051402</v>
      </c>
      <c r="G1699" s="2">
        <v>538.46945233829854</v>
      </c>
      <c r="H1699" s="2">
        <v>522.3153687681496</v>
      </c>
      <c r="I1699" s="2">
        <v>506.64590770510512</v>
      </c>
      <c r="J1699" s="2">
        <v>491.44653047395195</v>
      </c>
      <c r="K1699" s="2">
        <v>476.70313455973337</v>
      </c>
      <c r="L1699" s="2">
        <v>462.40204052294138</v>
      </c>
      <c r="M1699" s="2">
        <v>448.52997930725314</v>
      </c>
      <c r="N1699" s="2">
        <v>435.07407992803553</v>
      </c>
      <c r="O1699" s="2">
        <v>422.02185753019444</v>
      </c>
    </row>
    <row r="1700" spans="1:15" x14ac:dyDescent="0.25">
      <c r="A1700" t="s">
        <v>4400</v>
      </c>
      <c r="B1700" t="s">
        <v>4401</v>
      </c>
      <c r="C1700" s="2">
        <v>602.79375200000004</v>
      </c>
      <c r="D1700" s="2">
        <v>584.70993943999997</v>
      </c>
      <c r="E1700" s="2">
        <v>567.1686412567999</v>
      </c>
      <c r="F1700" s="2">
        <v>550.15358201909589</v>
      </c>
      <c r="G1700" s="2">
        <v>533.64897455852304</v>
      </c>
      <c r="H1700" s="2">
        <v>517.63950532176739</v>
      </c>
      <c r="I1700" s="2">
        <v>502.11032016211436</v>
      </c>
      <c r="J1700" s="2">
        <v>487.04701055725093</v>
      </c>
      <c r="K1700" s="2">
        <v>472.4356002405334</v>
      </c>
      <c r="L1700" s="2">
        <v>458.26253223331742</v>
      </c>
      <c r="M1700" s="2">
        <v>444.5146562663179</v>
      </c>
      <c r="N1700" s="2">
        <v>431.17921657832835</v>
      </c>
      <c r="O1700" s="2">
        <v>418.24384008097849</v>
      </c>
    </row>
    <row r="1701" spans="1:15" x14ac:dyDescent="0.25">
      <c r="A1701" t="s">
        <v>4402</v>
      </c>
      <c r="B1701" t="s">
        <v>4331</v>
      </c>
      <c r="C1701" s="2">
        <v>602.79375200000004</v>
      </c>
      <c r="D1701" s="2">
        <v>584.70993943999997</v>
      </c>
      <c r="E1701" s="2">
        <v>567.1686412567999</v>
      </c>
      <c r="F1701" s="2">
        <v>550.15358201909589</v>
      </c>
      <c r="G1701" s="2">
        <v>533.64897455852304</v>
      </c>
      <c r="H1701" s="2">
        <v>517.63950532176739</v>
      </c>
      <c r="I1701" s="2">
        <v>502.11032016211436</v>
      </c>
      <c r="J1701" s="2">
        <v>487.04701055725093</v>
      </c>
      <c r="K1701" s="2">
        <v>472.4356002405334</v>
      </c>
      <c r="L1701" s="2">
        <v>458.26253223331742</v>
      </c>
      <c r="M1701" s="2">
        <v>444.5146562663179</v>
      </c>
      <c r="N1701" s="2">
        <v>431.17921657832835</v>
      </c>
      <c r="O1701" s="2">
        <v>418.24384008097849</v>
      </c>
    </row>
    <row r="1702" spans="1:15" x14ac:dyDescent="0.25">
      <c r="A1702" t="s">
        <v>4403</v>
      </c>
      <c r="B1702" t="s">
        <v>4404</v>
      </c>
      <c r="C1702" s="2">
        <v>602.79375200000004</v>
      </c>
      <c r="D1702" s="2">
        <v>584.70993943999997</v>
      </c>
      <c r="E1702" s="2">
        <v>567.1686412567999</v>
      </c>
      <c r="F1702" s="2">
        <v>550.15358201909589</v>
      </c>
      <c r="G1702" s="2">
        <v>533.64897455852304</v>
      </c>
      <c r="H1702" s="2">
        <v>517.63950532176739</v>
      </c>
      <c r="I1702" s="2">
        <v>502.11032016211436</v>
      </c>
      <c r="J1702" s="2">
        <v>487.04701055725093</v>
      </c>
      <c r="K1702" s="2">
        <v>472.4356002405334</v>
      </c>
      <c r="L1702" s="2">
        <v>458.26253223331742</v>
      </c>
      <c r="M1702" s="2">
        <v>444.5146562663179</v>
      </c>
      <c r="N1702" s="2">
        <v>431.17921657832835</v>
      </c>
      <c r="O1702" s="2">
        <v>418.24384008097849</v>
      </c>
    </row>
    <row r="1703" spans="1:15" x14ac:dyDescent="0.25">
      <c r="A1703" t="s">
        <v>4405</v>
      </c>
      <c r="B1703" t="s">
        <v>4406</v>
      </c>
      <c r="C1703" s="2">
        <v>602.55289600000015</v>
      </c>
      <c r="D1703" s="2">
        <v>584.47630912000011</v>
      </c>
      <c r="E1703" s="2">
        <v>566.94201984640006</v>
      </c>
      <c r="F1703" s="2">
        <v>549.93375925100804</v>
      </c>
      <c r="G1703" s="2">
        <v>533.43574647347782</v>
      </c>
      <c r="H1703" s="2">
        <v>517.43267407927351</v>
      </c>
      <c r="I1703" s="2">
        <v>501.90969385689527</v>
      </c>
      <c r="J1703" s="2">
        <v>486.85240304118838</v>
      </c>
      <c r="K1703" s="2">
        <v>472.24683094995271</v>
      </c>
      <c r="L1703" s="2">
        <v>458.07942602145414</v>
      </c>
      <c r="M1703" s="2">
        <v>444.33704324081049</v>
      </c>
      <c r="N1703" s="2">
        <v>431.00693194358615</v>
      </c>
      <c r="O1703" s="2">
        <v>418.07672398527853</v>
      </c>
    </row>
    <row r="1704" spans="1:15" x14ac:dyDescent="0.25">
      <c r="A1704" t="s">
        <v>4407</v>
      </c>
      <c r="B1704" t="s">
        <v>4406</v>
      </c>
      <c r="C1704" s="2">
        <v>602.55289600000015</v>
      </c>
      <c r="D1704" s="2">
        <v>584.47630912000011</v>
      </c>
      <c r="E1704" s="2">
        <v>566.94201984640006</v>
      </c>
      <c r="F1704" s="2">
        <v>549.93375925100804</v>
      </c>
      <c r="G1704" s="2">
        <v>533.43574647347782</v>
      </c>
      <c r="H1704" s="2">
        <v>517.43267407927351</v>
      </c>
      <c r="I1704" s="2">
        <v>501.90969385689527</v>
      </c>
      <c r="J1704" s="2">
        <v>486.85240304118838</v>
      </c>
      <c r="K1704" s="2">
        <v>472.24683094995271</v>
      </c>
      <c r="L1704" s="2">
        <v>458.07942602145414</v>
      </c>
      <c r="M1704" s="2">
        <v>444.33704324081049</v>
      </c>
      <c r="N1704" s="2">
        <v>431.00693194358615</v>
      </c>
      <c r="O1704" s="2">
        <v>418.07672398527853</v>
      </c>
    </row>
    <row r="1705" spans="1:15" x14ac:dyDescent="0.25">
      <c r="A1705" t="s">
        <v>4408</v>
      </c>
      <c r="B1705" t="s">
        <v>4406</v>
      </c>
      <c r="C1705" s="2">
        <v>602.55289600000015</v>
      </c>
      <c r="D1705" s="2">
        <v>584.47630912000011</v>
      </c>
      <c r="E1705" s="2">
        <v>566.94201984640006</v>
      </c>
      <c r="F1705" s="2">
        <v>549.93375925100804</v>
      </c>
      <c r="G1705" s="2">
        <v>533.43574647347782</v>
      </c>
      <c r="H1705" s="2">
        <v>517.43267407927351</v>
      </c>
      <c r="I1705" s="2">
        <v>501.90969385689527</v>
      </c>
      <c r="J1705" s="2">
        <v>486.85240304118838</v>
      </c>
      <c r="K1705" s="2">
        <v>472.24683094995271</v>
      </c>
      <c r="L1705" s="2">
        <v>458.07942602145414</v>
      </c>
      <c r="M1705" s="2">
        <v>444.33704324081049</v>
      </c>
      <c r="N1705" s="2">
        <v>431.00693194358615</v>
      </c>
      <c r="O1705" s="2">
        <v>418.07672398527853</v>
      </c>
    </row>
    <row r="1706" spans="1:15" x14ac:dyDescent="0.25">
      <c r="A1706" t="s">
        <v>4409</v>
      </c>
      <c r="B1706" t="s">
        <v>4410</v>
      </c>
      <c r="C1706" s="2">
        <v>601.47612800000002</v>
      </c>
      <c r="D1706" s="2">
        <v>583.43184415999997</v>
      </c>
      <c r="E1706" s="2">
        <v>565.92888883519993</v>
      </c>
      <c r="F1706" s="2">
        <v>548.95102217014391</v>
      </c>
      <c r="G1706" s="2">
        <v>532.48249150503955</v>
      </c>
      <c r="H1706" s="2">
        <v>516.50801675988839</v>
      </c>
      <c r="I1706" s="2">
        <v>501.01277625709173</v>
      </c>
      <c r="J1706" s="2">
        <v>485.98239296937896</v>
      </c>
      <c r="K1706" s="2">
        <v>471.4029211802976</v>
      </c>
      <c r="L1706" s="2">
        <v>457.26083354488867</v>
      </c>
      <c r="M1706" s="2">
        <v>443.54300853854198</v>
      </c>
      <c r="N1706" s="2">
        <v>430.23671828238571</v>
      </c>
      <c r="O1706" s="2">
        <v>417.32961673391412</v>
      </c>
    </row>
    <row r="1707" spans="1:15" x14ac:dyDescent="0.25">
      <c r="A1707" t="s">
        <v>4411</v>
      </c>
      <c r="B1707" t="s">
        <v>4412</v>
      </c>
      <c r="C1707" s="2">
        <v>599.33878400000003</v>
      </c>
      <c r="D1707" s="2">
        <v>581.35862048000001</v>
      </c>
      <c r="E1707" s="2">
        <v>563.9178618656</v>
      </c>
      <c r="F1707" s="2">
        <v>547.00032600963198</v>
      </c>
      <c r="G1707" s="2">
        <v>530.59031622934299</v>
      </c>
      <c r="H1707" s="2">
        <v>514.67260674246268</v>
      </c>
      <c r="I1707" s="2">
        <v>499.23242854018878</v>
      </c>
      <c r="J1707" s="2">
        <v>484.25545568398309</v>
      </c>
      <c r="K1707" s="2">
        <v>469.72779201346356</v>
      </c>
      <c r="L1707" s="2">
        <v>455.63595825305964</v>
      </c>
      <c r="M1707" s="2">
        <v>441.96687950546783</v>
      </c>
      <c r="N1707" s="2">
        <v>428.70787312030376</v>
      </c>
      <c r="O1707" s="2">
        <v>415.84663692669466</v>
      </c>
    </row>
    <row r="1708" spans="1:15" x14ac:dyDescent="0.25">
      <c r="A1708" t="s">
        <v>4413</v>
      </c>
      <c r="B1708" t="s">
        <v>4414</v>
      </c>
      <c r="C1708" s="2">
        <v>599.33878400000003</v>
      </c>
      <c r="D1708" s="2">
        <v>581.35862048000001</v>
      </c>
      <c r="E1708" s="2">
        <v>563.9178618656</v>
      </c>
      <c r="F1708" s="2">
        <v>547.00032600963198</v>
      </c>
      <c r="G1708" s="2">
        <v>530.59031622934299</v>
      </c>
      <c r="H1708" s="2">
        <v>514.67260674246268</v>
      </c>
      <c r="I1708" s="2">
        <v>499.23242854018878</v>
      </c>
      <c r="J1708" s="2">
        <v>484.25545568398309</v>
      </c>
      <c r="K1708" s="2">
        <v>469.72779201346356</v>
      </c>
      <c r="L1708" s="2">
        <v>455.63595825305964</v>
      </c>
      <c r="M1708" s="2">
        <v>441.96687950546783</v>
      </c>
      <c r="N1708" s="2">
        <v>428.70787312030376</v>
      </c>
      <c r="O1708" s="2">
        <v>415.84663692669466</v>
      </c>
    </row>
    <row r="1709" spans="1:15" x14ac:dyDescent="0.25">
      <c r="A1709" t="s">
        <v>4415</v>
      </c>
      <c r="B1709" t="s">
        <v>4416</v>
      </c>
      <c r="C1709" s="2">
        <v>599.25832999999989</v>
      </c>
      <c r="D1709" s="2">
        <v>581.28058009999984</v>
      </c>
      <c r="E1709" s="2">
        <v>563.84216269699982</v>
      </c>
      <c r="F1709" s="2">
        <v>546.92689781608976</v>
      </c>
      <c r="G1709" s="2">
        <v>530.5190908816071</v>
      </c>
      <c r="H1709" s="2">
        <v>514.60351815515889</v>
      </c>
      <c r="I1709" s="2">
        <v>499.16541261050412</v>
      </c>
      <c r="J1709" s="2">
        <v>484.19045023218899</v>
      </c>
      <c r="K1709" s="2">
        <v>469.66473672522329</v>
      </c>
      <c r="L1709" s="2">
        <v>455.57479462346657</v>
      </c>
      <c r="M1709" s="2">
        <v>441.90755078476258</v>
      </c>
      <c r="N1709" s="2">
        <v>428.65032426121968</v>
      </c>
      <c r="O1709" s="2">
        <v>415.79081453338307</v>
      </c>
    </row>
    <row r="1710" spans="1:15" x14ac:dyDescent="0.25">
      <c r="A1710" t="s">
        <v>4417</v>
      </c>
      <c r="B1710" t="s">
        <v>4416</v>
      </c>
      <c r="C1710" s="2">
        <v>599.25832999999989</v>
      </c>
      <c r="D1710" s="2">
        <v>581.28058009999984</v>
      </c>
      <c r="E1710" s="2">
        <v>563.84216269699982</v>
      </c>
      <c r="F1710" s="2">
        <v>546.92689781608976</v>
      </c>
      <c r="G1710" s="2">
        <v>530.5190908816071</v>
      </c>
      <c r="H1710" s="2">
        <v>514.60351815515889</v>
      </c>
      <c r="I1710" s="2">
        <v>499.16541261050412</v>
      </c>
      <c r="J1710" s="2">
        <v>484.19045023218899</v>
      </c>
      <c r="K1710" s="2">
        <v>469.66473672522329</v>
      </c>
      <c r="L1710" s="2">
        <v>455.57479462346657</v>
      </c>
      <c r="M1710" s="2">
        <v>441.90755078476258</v>
      </c>
      <c r="N1710" s="2">
        <v>428.65032426121968</v>
      </c>
      <c r="O1710" s="2">
        <v>415.79081453338307</v>
      </c>
    </row>
    <row r="1711" spans="1:15" x14ac:dyDescent="0.25">
      <c r="A1711" t="s">
        <v>4418</v>
      </c>
      <c r="B1711" t="s">
        <v>4416</v>
      </c>
      <c r="C1711" s="2">
        <v>599.25832999999989</v>
      </c>
      <c r="D1711" s="2">
        <v>581.28058009999984</v>
      </c>
      <c r="E1711" s="2">
        <v>563.84216269699982</v>
      </c>
      <c r="F1711" s="2">
        <v>546.92689781608976</v>
      </c>
      <c r="G1711" s="2">
        <v>530.5190908816071</v>
      </c>
      <c r="H1711" s="2">
        <v>514.60351815515889</v>
      </c>
      <c r="I1711" s="2">
        <v>499.16541261050412</v>
      </c>
      <c r="J1711" s="2">
        <v>484.19045023218899</v>
      </c>
      <c r="K1711" s="2">
        <v>469.66473672522329</v>
      </c>
      <c r="L1711" s="2">
        <v>455.57479462346657</v>
      </c>
      <c r="M1711" s="2">
        <v>441.90755078476258</v>
      </c>
      <c r="N1711" s="2">
        <v>428.65032426121968</v>
      </c>
      <c r="O1711" s="2">
        <v>415.79081453338307</v>
      </c>
    </row>
    <row r="1712" spans="1:15" x14ac:dyDescent="0.25">
      <c r="A1712" t="s">
        <v>4419</v>
      </c>
      <c r="B1712" t="s">
        <v>4420</v>
      </c>
      <c r="C1712" s="2">
        <v>595.73150999999996</v>
      </c>
      <c r="D1712" s="2">
        <v>577.85956469999996</v>
      </c>
      <c r="E1712" s="2">
        <v>560.52377775899993</v>
      </c>
      <c r="F1712" s="2">
        <v>543.70806442622995</v>
      </c>
      <c r="G1712" s="2">
        <v>527.3968224934431</v>
      </c>
      <c r="H1712" s="2">
        <v>511.57491781863979</v>
      </c>
      <c r="I1712" s="2">
        <v>496.2276702840806</v>
      </c>
      <c r="J1712" s="2">
        <v>481.34084017555818</v>
      </c>
      <c r="K1712" s="2">
        <v>466.90061497029143</v>
      </c>
      <c r="L1712" s="2">
        <v>452.8935965211827</v>
      </c>
      <c r="M1712" s="2">
        <v>439.3067886255472</v>
      </c>
      <c r="N1712" s="2">
        <v>426.12758496678077</v>
      </c>
      <c r="O1712" s="2">
        <v>413.34375741777734</v>
      </c>
    </row>
    <row r="1713" spans="1:15" x14ac:dyDescent="0.25">
      <c r="A1713" t="s">
        <v>4421</v>
      </c>
      <c r="B1713" t="s">
        <v>4420</v>
      </c>
      <c r="C1713" s="2">
        <v>595.73150999999996</v>
      </c>
      <c r="D1713" s="2">
        <v>577.85956469999996</v>
      </c>
      <c r="E1713" s="2">
        <v>560.52377775899993</v>
      </c>
      <c r="F1713" s="2">
        <v>543.70806442622995</v>
      </c>
      <c r="G1713" s="2">
        <v>527.3968224934431</v>
      </c>
      <c r="H1713" s="2">
        <v>511.57491781863979</v>
      </c>
      <c r="I1713" s="2">
        <v>496.2276702840806</v>
      </c>
      <c r="J1713" s="2">
        <v>481.34084017555818</v>
      </c>
      <c r="K1713" s="2">
        <v>466.90061497029143</v>
      </c>
      <c r="L1713" s="2">
        <v>452.8935965211827</v>
      </c>
      <c r="M1713" s="2">
        <v>439.3067886255472</v>
      </c>
      <c r="N1713" s="2">
        <v>426.12758496678077</v>
      </c>
      <c r="O1713" s="2">
        <v>413.34375741777734</v>
      </c>
    </row>
    <row r="1714" spans="1:15" x14ac:dyDescent="0.25">
      <c r="A1714" t="s">
        <v>4422</v>
      </c>
      <c r="B1714" t="s">
        <v>4420</v>
      </c>
      <c r="C1714" s="2">
        <v>595.73150999999996</v>
      </c>
      <c r="D1714" s="2">
        <v>577.85956469999996</v>
      </c>
      <c r="E1714" s="2">
        <v>560.52377775899993</v>
      </c>
      <c r="F1714" s="2">
        <v>543.70806442622995</v>
      </c>
      <c r="G1714" s="2">
        <v>527.3968224934431</v>
      </c>
      <c r="H1714" s="2">
        <v>511.57491781863979</v>
      </c>
      <c r="I1714" s="2">
        <v>496.2276702840806</v>
      </c>
      <c r="J1714" s="2">
        <v>481.34084017555818</v>
      </c>
      <c r="K1714" s="2">
        <v>466.90061497029143</v>
      </c>
      <c r="L1714" s="2">
        <v>452.8935965211827</v>
      </c>
      <c r="M1714" s="2">
        <v>439.3067886255472</v>
      </c>
      <c r="N1714" s="2">
        <v>426.12758496678077</v>
      </c>
      <c r="O1714" s="2">
        <v>413.34375741777734</v>
      </c>
    </row>
    <row r="1715" spans="1:15" x14ac:dyDescent="0.25">
      <c r="A1715" t="s">
        <v>4423</v>
      </c>
      <c r="B1715" t="s">
        <v>4424</v>
      </c>
      <c r="C1715" s="2">
        <v>595.73150999999996</v>
      </c>
      <c r="D1715" s="2">
        <v>577.85956469999996</v>
      </c>
      <c r="E1715" s="2">
        <v>560.52377775899993</v>
      </c>
      <c r="F1715" s="2">
        <v>543.70806442622995</v>
      </c>
      <c r="G1715" s="2">
        <v>527.3968224934431</v>
      </c>
      <c r="H1715" s="2">
        <v>511.57491781863979</v>
      </c>
      <c r="I1715" s="2">
        <v>496.2276702840806</v>
      </c>
      <c r="J1715" s="2">
        <v>481.34084017555818</v>
      </c>
      <c r="K1715" s="2">
        <v>466.90061497029143</v>
      </c>
      <c r="L1715" s="2">
        <v>452.8935965211827</v>
      </c>
      <c r="M1715" s="2">
        <v>439.3067886255472</v>
      </c>
      <c r="N1715" s="2">
        <v>426.12758496678077</v>
      </c>
      <c r="O1715" s="2">
        <v>413.34375741777734</v>
      </c>
    </row>
    <row r="1716" spans="1:15" x14ac:dyDescent="0.25">
      <c r="A1716" t="s">
        <v>4425</v>
      </c>
      <c r="B1716" t="s">
        <v>4426</v>
      </c>
      <c r="C1716" s="2">
        <v>595.73150999999996</v>
      </c>
      <c r="D1716" s="2">
        <v>577.85956469999996</v>
      </c>
      <c r="E1716" s="2">
        <v>560.52377775899993</v>
      </c>
      <c r="F1716" s="2">
        <v>543.70806442622995</v>
      </c>
      <c r="G1716" s="2">
        <v>527.3968224934431</v>
      </c>
      <c r="H1716" s="2">
        <v>511.57491781863979</v>
      </c>
      <c r="I1716" s="2">
        <v>496.2276702840806</v>
      </c>
      <c r="J1716" s="2">
        <v>481.34084017555818</v>
      </c>
      <c r="K1716" s="2">
        <v>466.90061497029143</v>
      </c>
      <c r="L1716" s="2">
        <v>452.8935965211827</v>
      </c>
      <c r="M1716" s="2">
        <v>439.3067886255472</v>
      </c>
      <c r="N1716" s="2">
        <v>426.12758496678077</v>
      </c>
      <c r="O1716" s="2">
        <v>413.34375741777734</v>
      </c>
    </row>
    <row r="1717" spans="1:15" x14ac:dyDescent="0.25">
      <c r="A1717" t="s">
        <v>4427</v>
      </c>
      <c r="B1717" t="s">
        <v>4428</v>
      </c>
      <c r="C1717" s="2">
        <v>595.68748800000003</v>
      </c>
      <c r="D1717" s="2">
        <v>577.81686336000007</v>
      </c>
      <c r="E1717" s="2">
        <v>560.4823574592001</v>
      </c>
      <c r="F1717" s="2">
        <v>543.66788673542408</v>
      </c>
      <c r="G1717" s="2">
        <v>527.35785013336135</v>
      </c>
      <c r="H1717" s="2">
        <v>511.53711462936047</v>
      </c>
      <c r="I1717" s="2">
        <v>496.19100119047965</v>
      </c>
      <c r="J1717" s="2">
        <v>481.30527115476525</v>
      </c>
      <c r="K1717" s="2">
        <v>466.86611302012227</v>
      </c>
      <c r="L1717" s="2">
        <v>452.86012962951861</v>
      </c>
      <c r="M1717" s="2">
        <v>439.27432574063306</v>
      </c>
      <c r="N1717" s="2">
        <v>426.09609596841403</v>
      </c>
      <c r="O1717" s="2">
        <v>413.31321308936162</v>
      </c>
    </row>
    <row r="1718" spans="1:15" x14ac:dyDescent="0.25">
      <c r="A1718" t="s">
        <v>4429</v>
      </c>
      <c r="B1718" t="s">
        <v>4430</v>
      </c>
      <c r="C1718" s="2">
        <v>593.73584600000004</v>
      </c>
      <c r="D1718" s="2">
        <v>575.92377062000003</v>
      </c>
      <c r="E1718" s="2">
        <v>558.64605750140004</v>
      </c>
      <c r="F1718" s="2">
        <v>541.88667577635806</v>
      </c>
      <c r="G1718" s="2">
        <v>525.63007550306736</v>
      </c>
      <c r="H1718" s="2">
        <v>509.86117323797532</v>
      </c>
      <c r="I1718" s="2">
        <v>494.56533804083602</v>
      </c>
      <c r="J1718" s="2">
        <v>479.7283778996109</v>
      </c>
      <c r="K1718" s="2">
        <v>465.33652656262257</v>
      </c>
      <c r="L1718" s="2">
        <v>451.37643076574386</v>
      </c>
      <c r="M1718" s="2">
        <v>437.83513784277153</v>
      </c>
      <c r="N1718" s="2">
        <v>424.70008370748837</v>
      </c>
      <c r="O1718" s="2">
        <v>411.9590811962637</v>
      </c>
    </row>
    <row r="1719" spans="1:15" x14ac:dyDescent="0.25">
      <c r="A1719" t="s">
        <v>4431</v>
      </c>
      <c r="B1719" t="s">
        <v>4430</v>
      </c>
      <c r="C1719" s="2">
        <v>593.73584600000004</v>
      </c>
      <c r="D1719" s="2">
        <v>575.92377062000003</v>
      </c>
      <c r="E1719" s="2">
        <v>558.64605750140004</v>
      </c>
      <c r="F1719" s="2">
        <v>541.88667577635806</v>
      </c>
      <c r="G1719" s="2">
        <v>525.63007550306736</v>
      </c>
      <c r="H1719" s="2">
        <v>509.86117323797532</v>
      </c>
      <c r="I1719" s="2">
        <v>494.56533804083602</v>
      </c>
      <c r="J1719" s="2">
        <v>479.7283778996109</v>
      </c>
      <c r="K1719" s="2">
        <v>465.33652656262257</v>
      </c>
      <c r="L1719" s="2">
        <v>451.37643076574386</v>
      </c>
      <c r="M1719" s="2">
        <v>437.83513784277153</v>
      </c>
      <c r="N1719" s="2">
        <v>424.70008370748837</v>
      </c>
      <c r="O1719" s="2">
        <v>411.9590811962637</v>
      </c>
    </row>
    <row r="1720" spans="1:15" x14ac:dyDescent="0.25">
      <c r="A1720" t="s">
        <v>4432</v>
      </c>
      <c r="B1720" t="s">
        <v>4430</v>
      </c>
      <c r="C1720" s="2">
        <v>593.73584600000004</v>
      </c>
      <c r="D1720" s="2">
        <v>575.92377062000003</v>
      </c>
      <c r="E1720" s="2">
        <v>558.64605750140004</v>
      </c>
      <c r="F1720" s="2">
        <v>541.88667577635806</v>
      </c>
      <c r="G1720" s="2">
        <v>525.63007550306736</v>
      </c>
      <c r="H1720" s="2">
        <v>509.86117323797532</v>
      </c>
      <c r="I1720" s="2">
        <v>494.56533804083602</v>
      </c>
      <c r="J1720" s="2">
        <v>479.7283778996109</v>
      </c>
      <c r="K1720" s="2">
        <v>465.33652656262257</v>
      </c>
      <c r="L1720" s="2">
        <v>451.37643076574386</v>
      </c>
      <c r="M1720" s="2">
        <v>437.83513784277153</v>
      </c>
      <c r="N1720" s="2">
        <v>424.70008370748837</v>
      </c>
      <c r="O1720" s="2">
        <v>411.9590811962637</v>
      </c>
    </row>
    <row r="1721" spans="1:15" x14ac:dyDescent="0.25">
      <c r="A1721" t="s">
        <v>4433</v>
      </c>
      <c r="B1721" t="s">
        <v>4430</v>
      </c>
      <c r="C1721" s="2">
        <v>593.73584600000004</v>
      </c>
      <c r="D1721" s="2">
        <v>575.92377062000003</v>
      </c>
      <c r="E1721" s="2">
        <v>558.64605750140004</v>
      </c>
      <c r="F1721" s="2">
        <v>541.88667577635806</v>
      </c>
      <c r="G1721" s="2">
        <v>525.63007550306736</v>
      </c>
      <c r="H1721" s="2">
        <v>509.86117323797532</v>
      </c>
      <c r="I1721" s="2">
        <v>494.56533804083602</v>
      </c>
      <c r="J1721" s="2">
        <v>479.7283778996109</v>
      </c>
      <c r="K1721" s="2">
        <v>465.33652656262257</v>
      </c>
      <c r="L1721" s="2">
        <v>451.37643076574386</v>
      </c>
      <c r="M1721" s="2">
        <v>437.83513784277153</v>
      </c>
      <c r="N1721" s="2">
        <v>424.70008370748837</v>
      </c>
      <c r="O1721" s="2">
        <v>411.9590811962637</v>
      </c>
    </row>
    <row r="1722" spans="1:15" x14ac:dyDescent="0.25">
      <c r="A1722" t="s">
        <v>4434</v>
      </c>
      <c r="B1722" t="s">
        <v>4435</v>
      </c>
      <c r="C1722" s="2">
        <v>593.30726400000015</v>
      </c>
      <c r="D1722" s="2">
        <v>575.5080460800001</v>
      </c>
      <c r="E1722" s="2">
        <v>558.24280469760004</v>
      </c>
      <c r="F1722" s="2">
        <v>541.49552055667198</v>
      </c>
      <c r="G1722" s="2">
        <v>525.25065493997181</v>
      </c>
      <c r="H1722" s="2">
        <v>509.49313529177266</v>
      </c>
      <c r="I1722" s="2">
        <v>494.20834123301944</v>
      </c>
      <c r="J1722" s="2">
        <v>479.38209099602886</v>
      </c>
      <c r="K1722" s="2">
        <v>465.000628266148</v>
      </c>
      <c r="L1722" s="2">
        <v>451.05060941816356</v>
      </c>
      <c r="M1722" s="2">
        <v>437.51909113561862</v>
      </c>
      <c r="N1722" s="2">
        <v>424.39351840155007</v>
      </c>
      <c r="O1722" s="2">
        <v>411.66171284950354</v>
      </c>
    </row>
    <row r="1723" spans="1:15" x14ac:dyDescent="0.25">
      <c r="A1723" t="s">
        <v>4436</v>
      </c>
      <c r="B1723" t="s">
        <v>4437</v>
      </c>
      <c r="C1723" s="2">
        <v>589.37463200000002</v>
      </c>
      <c r="D1723" s="2">
        <v>571.69339304000005</v>
      </c>
      <c r="E1723" s="2">
        <v>554.54259124880002</v>
      </c>
      <c r="F1723" s="2">
        <v>537.90631351133595</v>
      </c>
      <c r="G1723" s="2">
        <v>521.76912410599584</v>
      </c>
      <c r="H1723" s="2">
        <v>506.11605038281596</v>
      </c>
      <c r="I1723" s="2">
        <v>490.93256887133145</v>
      </c>
      <c r="J1723" s="2">
        <v>476.20459180519151</v>
      </c>
      <c r="K1723" s="2">
        <v>461.91845405103578</v>
      </c>
      <c r="L1723" s="2">
        <v>448.06090042950467</v>
      </c>
      <c r="M1723" s="2">
        <v>434.61907341661953</v>
      </c>
      <c r="N1723" s="2">
        <v>421.58050121412094</v>
      </c>
      <c r="O1723" s="2">
        <v>408.93308617769731</v>
      </c>
    </row>
    <row r="1724" spans="1:15" x14ac:dyDescent="0.25">
      <c r="A1724" t="s">
        <v>4438</v>
      </c>
      <c r="B1724" t="s">
        <v>4439</v>
      </c>
      <c r="C1724" s="2">
        <v>587.85207800000001</v>
      </c>
      <c r="D1724" s="2">
        <v>570.21651566000003</v>
      </c>
      <c r="E1724" s="2">
        <v>553.11002019019998</v>
      </c>
      <c r="F1724" s="2">
        <v>536.51671958449401</v>
      </c>
      <c r="G1724" s="2">
        <v>520.42121799695917</v>
      </c>
      <c r="H1724" s="2">
        <v>504.80858145705037</v>
      </c>
      <c r="I1724" s="2">
        <v>489.66432401333884</v>
      </c>
      <c r="J1724" s="2">
        <v>474.97439429293865</v>
      </c>
      <c r="K1724" s="2">
        <v>460.72516246415046</v>
      </c>
      <c r="L1724" s="2">
        <v>446.90340759022592</v>
      </c>
      <c r="M1724" s="2">
        <v>433.49630536251914</v>
      </c>
      <c r="N1724" s="2">
        <v>420.49141620164357</v>
      </c>
      <c r="O1724" s="2">
        <v>407.87667371559428</v>
      </c>
    </row>
    <row r="1725" spans="1:15" x14ac:dyDescent="0.25">
      <c r="A1725" t="s">
        <v>4440</v>
      </c>
      <c r="B1725" t="s">
        <v>4439</v>
      </c>
      <c r="C1725" s="2">
        <v>587.85207800000001</v>
      </c>
      <c r="D1725" s="2">
        <v>570.21651566000003</v>
      </c>
      <c r="E1725" s="2">
        <v>553.11002019019998</v>
      </c>
      <c r="F1725" s="2">
        <v>536.51671958449401</v>
      </c>
      <c r="G1725" s="2">
        <v>520.42121799695917</v>
      </c>
      <c r="H1725" s="2">
        <v>504.80858145705037</v>
      </c>
      <c r="I1725" s="2">
        <v>489.66432401333884</v>
      </c>
      <c r="J1725" s="2">
        <v>474.97439429293865</v>
      </c>
      <c r="K1725" s="2">
        <v>460.72516246415046</v>
      </c>
      <c r="L1725" s="2">
        <v>446.90340759022592</v>
      </c>
      <c r="M1725" s="2">
        <v>433.49630536251914</v>
      </c>
      <c r="N1725" s="2">
        <v>420.49141620164357</v>
      </c>
      <c r="O1725" s="2">
        <v>407.87667371559428</v>
      </c>
    </row>
    <row r="1726" spans="1:15" x14ac:dyDescent="0.25">
      <c r="A1726" t="s">
        <v>4441</v>
      </c>
      <c r="B1726" t="s">
        <v>4439</v>
      </c>
      <c r="C1726" s="2">
        <v>587.85207800000001</v>
      </c>
      <c r="D1726" s="2">
        <v>570.21651566000003</v>
      </c>
      <c r="E1726" s="2">
        <v>553.11002019019998</v>
      </c>
      <c r="F1726" s="2">
        <v>536.51671958449401</v>
      </c>
      <c r="G1726" s="2">
        <v>520.42121799695917</v>
      </c>
      <c r="H1726" s="2">
        <v>504.80858145705037</v>
      </c>
      <c r="I1726" s="2">
        <v>489.66432401333884</v>
      </c>
      <c r="J1726" s="2">
        <v>474.97439429293865</v>
      </c>
      <c r="K1726" s="2">
        <v>460.72516246415046</v>
      </c>
      <c r="L1726" s="2">
        <v>446.90340759022592</v>
      </c>
      <c r="M1726" s="2">
        <v>433.49630536251914</v>
      </c>
      <c r="N1726" s="2">
        <v>420.49141620164357</v>
      </c>
      <c r="O1726" s="2">
        <v>407.87667371559428</v>
      </c>
    </row>
    <row r="1727" spans="1:15" x14ac:dyDescent="0.25">
      <c r="A1727" t="s">
        <v>4442</v>
      </c>
      <c r="B1727" t="s">
        <v>4443</v>
      </c>
      <c r="C1727" s="2">
        <v>585.39747200000011</v>
      </c>
      <c r="D1727" s="2">
        <v>567.83554784000012</v>
      </c>
      <c r="E1727" s="2">
        <v>550.80048140480005</v>
      </c>
      <c r="F1727" s="2">
        <v>534.27646696265606</v>
      </c>
      <c r="G1727" s="2">
        <v>518.24817295377636</v>
      </c>
      <c r="H1727" s="2">
        <v>502.70072776516304</v>
      </c>
      <c r="I1727" s="2">
        <v>487.61970593220815</v>
      </c>
      <c r="J1727" s="2">
        <v>472.99111475424189</v>
      </c>
      <c r="K1727" s="2">
        <v>458.80138131161465</v>
      </c>
      <c r="L1727" s="2">
        <v>445.03733987226622</v>
      </c>
      <c r="M1727" s="2">
        <v>431.68621967609823</v>
      </c>
      <c r="N1727" s="2">
        <v>418.73563308581527</v>
      </c>
      <c r="O1727" s="2">
        <v>406.17356409324077</v>
      </c>
    </row>
    <row r="1728" spans="1:15" x14ac:dyDescent="0.25">
      <c r="A1728" t="s">
        <v>4444</v>
      </c>
      <c r="B1728" t="s">
        <v>4445</v>
      </c>
      <c r="C1728" s="2">
        <v>585.39747200000011</v>
      </c>
      <c r="D1728" s="2">
        <v>567.83554784000012</v>
      </c>
      <c r="E1728" s="2">
        <v>550.80048140480005</v>
      </c>
      <c r="F1728" s="2">
        <v>534.27646696265606</v>
      </c>
      <c r="G1728" s="2">
        <v>518.24817295377636</v>
      </c>
      <c r="H1728" s="2">
        <v>502.70072776516304</v>
      </c>
      <c r="I1728" s="2">
        <v>487.61970593220815</v>
      </c>
      <c r="J1728" s="2">
        <v>472.99111475424189</v>
      </c>
      <c r="K1728" s="2">
        <v>458.80138131161465</v>
      </c>
      <c r="L1728" s="2">
        <v>445.03733987226622</v>
      </c>
      <c r="M1728" s="2">
        <v>431.68621967609823</v>
      </c>
      <c r="N1728" s="2">
        <v>418.73563308581527</v>
      </c>
      <c r="O1728" s="2">
        <v>406.17356409324077</v>
      </c>
    </row>
    <row r="1729" spans="1:15" x14ac:dyDescent="0.25">
      <c r="A1729" t="s">
        <v>4446</v>
      </c>
      <c r="B1729" t="s">
        <v>4195</v>
      </c>
      <c r="C1729" s="2">
        <v>584.72095000000013</v>
      </c>
      <c r="D1729" s="2">
        <v>567.17932150000013</v>
      </c>
      <c r="E1729" s="2">
        <v>550.16394185500008</v>
      </c>
      <c r="F1729" s="2">
        <v>533.65902359935001</v>
      </c>
      <c r="G1729" s="2">
        <v>517.64925289136954</v>
      </c>
      <c r="H1729" s="2">
        <v>502.11977530462843</v>
      </c>
      <c r="I1729" s="2">
        <v>487.05618204548955</v>
      </c>
      <c r="J1729" s="2">
        <v>472.44449658412486</v>
      </c>
      <c r="K1729" s="2">
        <v>458.27116168660109</v>
      </c>
      <c r="L1729" s="2">
        <v>444.52302683600305</v>
      </c>
      <c r="M1729" s="2">
        <v>431.18733603092295</v>
      </c>
      <c r="N1729" s="2">
        <v>418.25171594999523</v>
      </c>
      <c r="O1729" s="2">
        <v>405.70416447149535</v>
      </c>
    </row>
    <row r="1730" spans="1:15" x14ac:dyDescent="0.25">
      <c r="A1730" t="s">
        <v>4447</v>
      </c>
      <c r="B1730" t="s">
        <v>4195</v>
      </c>
      <c r="C1730" s="2">
        <v>584.72095000000013</v>
      </c>
      <c r="D1730" s="2">
        <v>567.17932150000013</v>
      </c>
      <c r="E1730" s="2">
        <v>550.16394185500008</v>
      </c>
      <c r="F1730" s="2">
        <v>533.65902359935001</v>
      </c>
      <c r="G1730" s="2">
        <v>517.64925289136954</v>
      </c>
      <c r="H1730" s="2">
        <v>502.11977530462843</v>
      </c>
      <c r="I1730" s="2">
        <v>487.05618204548955</v>
      </c>
      <c r="J1730" s="2">
        <v>472.44449658412486</v>
      </c>
      <c r="K1730" s="2">
        <v>458.27116168660109</v>
      </c>
      <c r="L1730" s="2">
        <v>444.52302683600305</v>
      </c>
      <c r="M1730" s="2">
        <v>431.18733603092295</v>
      </c>
      <c r="N1730" s="2">
        <v>418.25171594999523</v>
      </c>
      <c r="O1730" s="2">
        <v>405.70416447149535</v>
      </c>
    </row>
    <row r="1731" spans="1:15" x14ac:dyDescent="0.25">
      <c r="A1731" t="s">
        <v>4448</v>
      </c>
      <c r="B1731" t="s">
        <v>4449</v>
      </c>
      <c r="C1731" s="2">
        <v>581.46079200000008</v>
      </c>
      <c r="D1731" s="2">
        <v>564.0169682400001</v>
      </c>
      <c r="E1731" s="2">
        <v>547.09645919280013</v>
      </c>
      <c r="F1731" s="2">
        <v>530.6835654170161</v>
      </c>
      <c r="G1731" s="2">
        <v>514.76305845450565</v>
      </c>
      <c r="H1731" s="2">
        <v>499.32016670087046</v>
      </c>
      <c r="I1731" s="2">
        <v>484.34056169984433</v>
      </c>
      <c r="J1731" s="2">
        <v>469.81034484884901</v>
      </c>
      <c r="K1731" s="2">
        <v>455.71603450338353</v>
      </c>
      <c r="L1731" s="2">
        <v>442.044553468282</v>
      </c>
      <c r="M1731" s="2">
        <v>428.78321686423351</v>
      </c>
      <c r="N1731" s="2">
        <v>415.91972035830651</v>
      </c>
      <c r="O1731" s="2">
        <v>403.44212874755732</v>
      </c>
    </row>
    <row r="1732" spans="1:15" x14ac:dyDescent="0.25">
      <c r="A1732" t="s">
        <v>4450</v>
      </c>
      <c r="B1732" t="s">
        <v>4451</v>
      </c>
      <c r="C1732" s="2">
        <v>581.33176200000003</v>
      </c>
      <c r="D1732" s="2">
        <v>563.89180913999996</v>
      </c>
      <c r="E1732" s="2">
        <v>546.97505486579996</v>
      </c>
      <c r="F1732" s="2">
        <v>530.56580321982597</v>
      </c>
      <c r="G1732" s="2">
        <v>514.64882912323117</v>
      </c>
      <c r="H1732" s="2">
        <v>499.20936424953419</v>
      </c>
      <c r="I1732" s="2">
        <v>484.23308332204817</v>
      </c>
      <c r="J1732" s="2">
        <v>469.70609082238673</v>
      </c>
      <c r="K1732" s="2">
        <v>455.6149080977151</v>
      </c>
      <c r="L1732" s="2">
        <v>441.94646085478365</v>
      </c>
      <c r="M1732" s="2">
        <v>428.68806702914014</v>
      </c>
      <c r="N1732" s="2">
        <v>415.8274250182659</v>
      </c>
      <c r="O1732" s="2">
        <v>403.35260226771788</v>
      </c>
    </row>
    <row r="1733" spans="1:15" x14ac:dyDescent="0.25">
      <c r="A1733" t="s">
        <v>4452</v>
      </c>
      <c r="B1733" t="s">
        <v>4451</v>
      </c>
      <c r="C1733" s="2">
        <v>581.33176200000003</v>
      </c>
      <c r="D1733" s="2">
        <v>563.89180913999996</v>
      </c>
      <c r="E1733" s="2">
        <v>546.97505486579996</v>
      </c>
      <c r="F1733" s="2">
        <v>530.56580321982597</v>
      </c>
      <c r="G1733" s="2">
        <v>514.64882912323117</v>
      </c>
      <c r="H1733" s="2">
        <v>499.20936424953419</v>
      </c>
      <c r="I1733" s="2">
        <v>484.23308332204817</v>
      </c>
      <c r="J1733" s="2">
        <v>469.70609082238673</v>
      </c>
      <c r="K1733" s="2">
        <v>455.6149080977151</v>
      </c>
      <c r="L1733" s="2">
        <v>441.94646085478365</v>
      </c>
      <c r="M1733" s="2">
        <v>428.68806702914014</v>
      </c>
      <c r="N1733" s="2">
        <v>415.8274250182659</v>
      </c>
      <c r="O1733" s="2">
        <v>403.35260226771788</v>
      </c>
    </row>
    <row r="1734" spans="1:15" x14ac:dyDescent="0.25">
      <c r="A1734" t="s">
        <v>4453</v>
      </c>
      <c r="B1734" t="s">
        <v>4451</v>
      </c>
      <c r="C1734" s="2">
        <v>581.33176200000003</v>
      </c>
      <c r="D1734" s="2">
        <v>563.89180913999996</v>
      </c>
      <c r="E1734" s="2">
        <v>546.97505486579996</v>
      </c>
      <c r="F1734" s="2">
        <v>530.56580321982597</v>
      </c>
      <c r="G1734" s="2">
        <v>514.64882912323117</v>
      </c>
      <c r="H1734" s="2">
        <v>499.20936424953419</v>
      </c>
      <c r="I1734" s="2">
        <v>484.23308332204817</v>
      </c>
      <c r="J1734" s="2">
        <v>469.70609082238673</v>
      </c>
      <c r="K1734" s="2">
        <v>455.6149080977151</v>
      </c>
      <c r="L1734" s="2">
        <v>441.94646085478365</v>
      </c>
      <c r="M1734" s="2">
        <v>428.68806702914014</v>
      </c>
      <c r="N1734" s="2">
        <v>415.8274250182659</v>
      </c>
      <c r="O1734" s="2">
        <v>403.35260226771788</v>
      </c>
    </row>
    <row r="1735" spans="1:15" x14ac:dyDescent="0.25">
      <c r="A1735" t="s">
        <v>4454</v>
      </c>
      <c r="B1735" t="s">
        <v>4361</v>
      </c>
      <c r="C1735" s="2">
        <v>579.73179000000016</v>
      </c>
      <c r="D1735" s="2">
        <v>562.33983630000012</v>
      </c>
      <c r="E1735" s="2">
        <v>545.46964121100007</v>
      </c>
      <c r="F1735" s="2">
        <v>529.10555197467011</v>
      </c>
      <c r="G1735" s="2">
        <v>513.23238541543003</v>
      </c>
      <c r="H1735" s="2">
        <v>497.83541385296712</v>
      </c>
      <c r="I1735" s="2">
        <v>482.90035143737811</v>
      </c>
      <c r="J1735" s="2">
        <v>468.41334089425675</v>
      </c>
      <c r="K1735" s="2">
        <v>454.36094066742902</v>
      </c>
      <c r="L1735" s="2">
        <v>440.73011244740616</v>
      </c>
      <c r="M1735" s="2">
        <v>427.50820907398395</v>
      </c>
      <c r="N1735" s="2">
        <v>414.6829628017644</v>
      </c>
      <c r="O1735" s="2">
        <v>402.24247391771144</v>
      </c>
    </row>
    <row r="1736" spans="1:15" x14ac:dyDescent="0.25">
      <c r="A1736" t="s">
        <v>4455</v>
      </c>
      <c r="B1736" t="s">
        <v>4361</v>
      </c>
      <c r="C1736" s="2">
        <v>579.73179000000016</v>
      </c>
      <c r="D1736" s="2">
        <v>562.33983630000012</v>
      </c>
      <c r="E1736" s="2">
        <v>545.46964121100007</v>
      </c>
      <c r="F1736" s="2">
        <v>529.10555197467011</v>
      </c>
      <c r="G1736" s="2">
        <v>513.23238541543003</v>
      </c>
      <c r="H1736" s="2">
        <v>497.83541385296712</v>
      </c>
      <c r="I1736" s="2">
        <v>482.90035143737811</v>
      </c>
      <c r="J1736" s="2">
        <v>468.41334089425675</v>
      </c>
      <c r="K1736" s="2">
        <v>454.36094066742902</v>
      </c>
      <c r="L1736" s="2">
        <v>440.73011244740616</v>
      </c>
      <c r="M1736" s="2">
        <v>427.50820907398395</v>
      </c>
      <c r="N1736" s="2">
        <v>414.6829628017644</v>
      </c>
      <c r="O1736" s="2">
        <v>402.24247391771144</v>
      </c>
    </row>
    <row r="1737" spans="1:15" x14ac:dyDescent="0.25">
      <c r="A1737" t="s">
        <v>4456</v>
      </c>
      <c r="B1737" t="s">
        <v>4457</v>
      </c>
      <c r="C1737" s="2">
        <v>578.24870400000009</v>
      </c>
      <c r="D1737" s="2">
        <v>560.90124288000004</v>
      </c>
      <c r="E1737" s="2">
        <v>544.07420559360003</v>
      </c>
      <c r="F1737" s="2">
        <v>527.751979425792</v>
      </c>
      <c r="G1737" s="2">
        <v>511.91942004301825</v>
      </c>
      <c r="H1737" s="2">
        <v>496.56183744172768</v>
      </c>
      <c r="I1737" s="2">
        <v>481.66498231847584</v>
      </c>
      <c r="J1737" s="2">
        <v>467.21503284892157</v>
      </c>
      <c r="K1737" s="2">
        <v>453.19858186345391</v>
      </c>
      <c r="L1737" s="2">
        <v>439.60262440755031</v>
      </c>
      <c r="M1737" s="2">
        <v>426.41454567532378</v>
      </c>
      <c r="N1737" s="2">
        <v>413.62210930506404</v>
      </c>
      <c r="O1737" s="2">
        <v>401.21344602591211</v>
      </c>
    </row>
    <row r="1738" spans="1:15" x14ac:dyDescent="0.25">
      <c r="A1738" t="s">
        <v>4458</v>
      </c>
      <c r="B1738" t="s">
        <v>4459</v>
      </c>
      <c r="C1738" s="2">
        <v>577.35004800000013</v>
      </c>
      <c r="D1738" s="2">
        <v>560.02954656000009</v>
      </c>
      <c r="E1738" s="2">
        <v>543.22866016320006</v>
      </c>
      <c r="F1738" s="2">
        <v>526.93180035830403</v>
      </c>
      <c r="G1738" s="2">
        <v>511.12384634755489</v>
      </c>
      <c r="H1738" s="2">
        <v>495.79013095712821</v>
      </c>
      <c r="I1738" s="2">
        <v>480.91642702841438</v>
      </c>
      <c r="J1738" s="2">
        <v>466.4889342175619</v>
      </c>
      <c r="K1738" s="2">
        <v>452.49426619103502</v>
      </c>
      <c r="L1738" s="2">
        <v>438.91943820530395</v>
      </c>
      <c r="M1738" s="2">
        <v>425.75185505914482</v>
      </c>
      <c r="N1738" s="2">
        <v>412.97929940737043</v>
      </c>
      <c r="O1738" s="2">
        <v>400.58992042514933</v>
      </c>
    </row>
    <row r="1739" spans="1:15" x14ac:dyDescent="0.25">
      <c r="A1739" t="s">
        <v>4460</v>
      </c>
      <c r="B1739" t="s">
        <v>4461</v>
      </c>
      <c r="C1739" s="2">
        <v>577.35004800000013</v>
      </c>
      <c r="D1739" s="2">
        <v>560.02954656000009</v>
      </c>
      <c r="E1739" s="2">
        <v>543.22866016320006</v>
      </c>
      <c r="F1739" s="2">
        <v>526.93180035830403</v>
      </c>
      <c r="G1739" s="2">
        <v>511.12384634755489</v>
      </c>
      <c r="H1739" s="2">
        <v>495.79013095712821</v>
      </c>
      <c r="I1739" s="2">
        <v>480.91642702841438</v>
      </c>
      <c r="J1739" s="2">
        <v>466.4889342175619</v>
      </c>
      <c r="K1739" s="2">
        <v>452.49426619103502</v>
      </c>
      <c r="L1739" s="2">
        <v>438.91943820530395</v>
      </c>
      <c r="M1739" s="2">
        <v>425.75185505914482</v>
      </c>
      <c r="N1739" s="2">
        <v>412.97929940737043</v>
      </c>
      <c r="O1739" s="2">
        <v>400.58992042514933</v>
      </c>
    </row>
    <row r="1740" spans="1:15" x14ac:dyDescent="0.25">
      <c r="A1740" t="s">
        <v>4462</v>
      </c>
      <c r="B1740" t="s">
        <v>4463</v>
      </c>
      <c r="C1740" s="2">
        <v>576.78990599999997</v>
      </c>
      <c r="D1740" s="2">
        <v>559.48620882</v>
      </c>
      <c r="E1740" s="2">
        <v>542.70162255540004</v>
      </c>
      <c r="F1740" s="2">
        <v>526.42057387873797</v>
      </c>
      <c r="G1740" s="2">
        <v>510.62795666237582</v>
      </c>
      <c r="H1740" s="2">
        <v>495.30911796250456</v>
      </c>
      <c r="I1740" s="2">
        <v>480.44984442362943</v>
      </c>
      <c r="J1740" s="2">
        <v>466.03634909092051</v>
      </c>
      <c r="K1740" s="2">
        <v>452.05525861819291</v>
      </c>
      <c r="L1740" s="2">
        <v>438.49360085964713</v>
      </c>
      <c r="M1740" s="2">
        <v>425.33879283385772</v>
      </c>
      <c r="N1740" s="2">
        <v>412.578629048842</v>
      </c>
      <c r="O1740" s="2">
        <v>400.20127017737673</v>
      </c>
    </row>
    <row r="1741" spans="1:15" x14ac:dyDescent="0.25">
      <c r="A1741" t="s">
        <v>4464</v>
      </c>
      <c r="B1741" t="s">
        <v>4465</v>
      </c>
      <c r="C1741" s="2">
        <v>570.34700800000007</v>
      </c>
      <c r="D1741" s="2">
        <v>553.23659776000011</v>
      </c>
      <c r="E1741" s="2">
        <v>536.6394998272001</v>
      </c>
      <c r="F1741" s="2">
        <v>520.54031483238407</v>
      </c>
      <c r="G1741" s="2">
        <v>504.92410538741251</v>
      </c>
      <c r="H1741" s="2">
        <v>489.77638222579014</v>
      </c>
      <c r="I1741" s="2">
        <v>475.08309075901644</v>
      </c>
      <c r="J1741" s="2">
        <v>460.83059803624593</v>
      </c>
      <c r="K1741" s="2">
        <v>447.00568009515854</v>
      </c>
      <c r="L1741" s="2">
        <v>433.59550969230378</v>
      </c>
      <c r="M1741" s="2">
        <v>420.58764440153465</v>
      </c>
      <c r="N1741" s="2">
        <v>407.97001506948857</v>
      </c>
      <c r="O1741" s="2">
        <v>395.73091461740393</v>
      </c>
    </row>
    <row r="1742" spans="1:15" x14ac:dyDescent="0.25">
      <c r="A1742" t="s">
        <v>4466</v>
      </c>
      <c r="B1742" t="s">
        <v>4467</v>
      </c>
      <c r="C1742" s="2">
        <v>570.34700800000007</v>
      </c>
      <c r="D1742" s="2">
        <v>553.23659776000011</v>
      </c>
      <c r="E1742" s="2">
        <v>536.6394998272001</v>
      </c>
      <c r="F1742" s="2">
        <v>520.54031483238407</v>
      </c>
      <c r="G1742" s="2">
        <v>504.92410538741251</v>
      </c>
      <c r="H1742" s="2">
        <v>489.77638222579014</v>
      </c>
      <c r="I1742" s="2">
        <v>475.08309075901644</v>
      </c>
      <c r="J1742" s="2">
        <v>460.83059803624593</v>
      </c>
      <c r="K1742" s="2">
        <v>447.00568009515854</v>
      </c>
      <c r="L1742" s="2">
        <v>433.59550969230378</v>
      </c>
      <c r="M1742" s="2">
        <v>420.58764440153465</v>
      </c>
      <c r="N1742" s="2">
        <v>407.97001506948857</v>
      </c>
      <c r="O1742" s="2">
        <v>395.73091461740393</v>
      </c>
    </row>
    <row r="1743" spans="1:15" x14ac:dyDescent="0.25">
      <c r="A1743" t="s">
        <v>4468</v>
      </c>
      <c r="B1743" t="s">
        <v>4469</v>
      </c>
      <c r="C1743" s="2">
        <v>566.61475200000018</v>
      </c>
      <c r="D1743" s="2">
        <v>549.61630944000012</v>
      </c>
      <c r="E1743" s="2">
        <v>533.12782015680011</v>
      </c>
      <c r="F1743" s="2">
        <v>517.13398555209608</v>
      </c>
      <c r="G1743" s="2">
        <v>501.61996598553316</v>
      </c>
      <c r="H1743" s="2">
        <v>486.57136700596715</v>
      </c>
      <c r="I1743" s="2">
        <v>471.97422599578812</v>
      </c>
      <c r="J1743" s="2">
        <v>457.81499921591444</v>
      </c>
      <c r="K1743" s="2">
        <v>444.080549239437</v>
      </c>
      <c r="L1743" s="2">
        <v>430.75813276225387</v>
      </c>
      <c r="M1743" s="2">
        <v>417.83538877938622</v>
      </c>
      <c r="N1743" s="2">
        <v>405.30032711600461</v>
      </c>
      <c r="O1743" s="2">
        <v>393.14131730252444</v>
      </c>
    </row>
    <row r="1744" spans="1:15" x14ac:dyDescent="0.25">
      <c r="A1744" t="s">
        <v>4470</v>
      </c>
      <c r="B1744" t="s">
        <v>4469</v>
      </c>
      <c r="C1744" s="2">
        <v>566.61475200000018</v>
      </c>
      <c r="D1744" s="2">
        <v>549.61630944000012</v>
      </c>
      <c r="E1744" s="2">
        <v>533.12782015680011</v>
      </c>
      <c r="F1744" s="2">
        <v>517.13398555209608</v>
      </c>
      <c r="G1744" s="2">
        <v>501.61996598553316</v>
      </c>
      <c r="H1744" s="2">
        <v>486.57136700596715</v>
      </c>
      <c r="I1744" s="2">
        <v>471.97422599578812</v>
      </c>
      <c r="J1744" s="2">
        <v>457.81499921591444</v>
      </c>
      <c r="K1744" s="2">
        <v>444.080549239437</v>
      </c>
      <c r="L1744" s="2">
        <v>430.75813276225387</v>
      </c>
      <c r="M1744" s="2">
        <v>417.83538877938622</v>
      </c>
      <c r="N1744" s="2">
        <v>405.30032711600461</v>
      </c>
      <c r="O1744" s="2">
        <v>393.14131730252444</v>
      </c>
    </row>
    <row r="1745" spans="1:15" x14ac:dyDescent="0.25">
      <c r="A1745" t="s">
        <v>4471</v>
      </c>
      <c r="B1745" t="s">
        <v>4469</v>
      </c>
      <c r="C1745" s="2">
        <v>566.61475200000018</v>
      </c>
      <c r="D1745" s="2">
        <v>549.61630944000012</v>
      </c>
      <c r="E1745" s="2">
        <v>533.12782015680011</v>
      </c>
      <c r="F1745" s="2">
        <v>517.13398555209608</v>
      </c>
      <c r="G1745" s="2">
        <v>501.61996598553316</v>
      </c>
      <c r="H1745" s="2">
        <v>486.57136700596715</v>
      </c>
      <c r="I1745" s="2">
        <v>471.97422599578812</v>
      </c>
      <c r="J1745" s="2">
        <v>457.81499921591444</v>
      </c>
      <c r="K1745" s="2">
        <v>444.080549239437</v>
      </c>
      <c r="L1745" s="2">
        <v>430.75813276225387</v>
      </c>
      <c r="M1745" s="2">
        <v>417.83538877938622</v>
      </c>
      <c r="N1745" s="2">
        <v>405.30032711600461</v>
      </c>
      <c r="O1745" s="2">
        <v>393.14131730252444</v>
      </c>
    </row>
    <row r="1746" spans="1:15" x14ac:dyDescent="0.25">
      <c r="A1746" t="s">
        <v>4472</v>
      </c>
      <c r="B1746" t="s">
        <v>4361</v>
      </c>
      <c r="C1746" s="2">
        <v>566.31267000000003</v>
      </c>
      <c r="D1746" s="2">
        <v>549.32328989999996</v>
      </c>
      <c r="E1746" s="2">
        <v>532.84359120299996</v>
      </c>
      <c r="F1746" s="2">
        <v>516.85828346690994</v>
      </c>
      <c r="G1746" s="2">
        <v>501.35253496290261</v>
      </c>
      <c r="H1746" s="2">
        <v>486.31195891401552</v>
      </c>
      <c r="I1746" s="2">
        <v>471.72260014659503</v>
      </c>
      <c r="J1746" s="2">
        <v>457.57092214219716</v>
      </c>
      <c r="K1746" s="2">
        <v>443.84379447793123</v>
      </c>
      <c r="L1746" s="2">
        <v>430.5284806435933</v>
      </c>
      <c r="M1746" s="2">
        <v>417.61262622428546</v>
      </c>
      <c r="N1746" s="2">
        <v>405.08424743755688</v>
      </c>
      <c r="O1746" s="2">
        <v>392.93172001443014</v>
      </c>
    </row>
    <row r="1747" spans="1:15" x14ac:dyDescent="0.25">
      <c r="A1747" t="s">
        <v>4473</v>
      </c>
      <c r="B1747" t="s">
        <v>4474</v>
      </c>
      <c r="C1747" s="2">
        <v>566.31267000000003</v>
      </c>
      <c r="D1747" s="2">
        <v>549.32328989999996</v>
      </c>
      <c r="E1747" s="2">
        <v>532.84359120299996</v>
      </c>
      <c r="F1747" s="2">
        <v>516.85828346690994</v>
      </c>
      <c r="G1747" s="2">
        <v>501.35253496290261</v>
      </c>
      <c r="H1747" s="2">
        <v>486.31195891401552</v>
      </c>
      <c r="I1747" s="2">
        <v>471.72260014659503</v>
      </c>
      <c r="J1747" s="2">
        <v>457.57092214219716</v>
      </c>
      <c r="K1747" s="2">
        <v>443.84379447793123</v>
      </c>
      <c r="L1747" s="2">
        <v>430.5284806435933</v>
      </c>
      <c r="M1747" s="2">
        <v>417.61262622428546</v>
      </c>
      <c r="N1747" s="2">
        <v>405.08424743755688</v>
      </c>
      <c r="O1747" s="2">
        <v>392.93172001443014</v>
      </c>
    </row>
    <row r="1748" spans="1:15" x14ac:dyDescent="0.25">
      <c r="A1748" t="s">
        <v>4475</v>
      </c>
      <c r="B1748" t="s">
        <v>4476</v>
      </c>
      <c r="C1748" s="2">
        <v>565.5136960000001</v>
      </c>
      <c r="D1748" s="2">
        <v>548.54828512000006</v>
      </c>
      <c r="E1748" s="2">
        <v>532.09183656640005</v>
      </c>
      <c r="F1748" s="2">
        <v>516.12908146940799</v>
      </c>
      <c r="G1748" s="2">
        <v>500.64520902532576</v>
      </c>
      <c r="H1748" s="2">
        <v>485.62585275456598</v>
      </c>
      <c r="I1748" s="2">
        <v>471.057077171929</v>
      </c>
      <c r="J1748" s="2">
        <v>456.92536485677113</v>
      </c>
      <c r="K1748" s="2">
        <v>443.21760391106795</v>
      </c>
      <c r="L1748" s="2">
        <v>429.92107579373589</v>
      </c>
      <c r="M1748" s="2">
        <v>417.02344351992383</v>
      </c>
      <c r="N1748" s="2">
        <v>404.51274021432613</v>
      </c>
      <c r="O1748" s="2">
        <v>392.37735800789636</v>
      </c>
    </row>
    <row r="1749" spans="1:15" x14ac:dyDescent="0.25">
      <c r="A1749" t="s">
        <v>4477</v>
      </c>
      <c r="B1749" t="s">
        <v>4478</v>
      </c>
      <c r="C1749" s="2">
        <v>565.5136960000001</v>
      </c>
      <c r="D1749" s="2">
        <v>548.54828512000006</v>
      </c>
      <c r="E1749" s="2">
        <v>532.09183656640005</v>
      </c>
      <c r="F1749" s="2">
        <v>516.12908146940799</v>
      </c>
      <c r="G1749" s="2">
        <v>500.64520902532576</v>
      </c>
      <c r="H1749" s="2">
        <v>485.62585275456598</v>
      </c>
      <c r="I1749" s="2">
        <v>471.057077171929</v>
      </c>
      <c r="J1749" s="2">
        <v>456.92536485677113</v>
      </c>
      <c r="K1749" s="2">
        <v>443.21760391106795</v>
      </c>
      <c r="L1749" s="2">
        <v>429.92107579373589</v>
      </c>
      <c r="M1749" s="2">
        <v>417.02344351992383</v>
      </c>
      <c r="N1749" s="2">
        <v>404.51274021432613</v>
      </c>
      <c r="O1749" s="2">
        <v>392.37735800789636</v>
      </c>
    </row>
    <row r="1750" spans="1:15" x14ac:dyDescent="0.25">
      <c r="A1750" t="s">
        <v>4479</v>
      </c>
      <c r="B1750" t="s">
        <v>4480</v>
      </c>
      <c r="C1750" s="2">
        <v>561.66809600000011</v>
      </c>
      <c r="D1750" s="2">
        <v>544.81805312000006</v>
      </c>
      <c r="E1750" s="2">
        <v>528.47351152639999</v>
      </c>
      <c r="F1750" s="2">
        <v>512.61930618060796</v>
      </c>
      <c r="G1750" s="2">
        <v>497.24072699518973</v>
      </c>
      <c r="H1750" s="2">
        <v>482.323505185334</v>
      </c>
      <c r="I1750" s="2">
        <v>467.85380002977399</v>
      </c>
      <c r="J1750" s="2">
        <v>453.81818602888075</v>
      </c>
      <c r="K1750" s="2">
        <v>440.20364044801431</v>
      </c>
      <c r="L1750" s="2">
        <v>426.9975312345739</v>
      </c>
      <c r="M1750" s="2">
        <v>414.18760529753666</v>
      </c>
      <c r="N1750" s="2">
        <v>401.76197713861058</v>
      </c>
      <c r="O1750" s="2">
        <v>389.70911782445222</v>
      </c>
    </row>
    <row r="1751" spans="1:15" x14ac:dyDescent="0.25">
      <c r="A1751" t="s">
        <v>4481</v>
      </c>
      <c r="B1751" t="s">
        <v>4482</v>
      </c>
      <c r="C1751" s="2">
        <v>561.66809600000011</v>
      </c>
      <c r="D1751" s="2">
        <v>544.81805312000006</v>
      </c>
      <c r="E1751" s="2">
        <v>528.47351152639999</v>
      </c>
      <c r="F1751" s="2">
        <v>512.61930618060796</v>
      </c>
      <c r="G1751" s="2">
        <v>497.24072699518973</v>
      </c>
      <c r="H1751" s="2">
        <v>482.323505185334</v>
      </c>
      <c r="I1751" s="2">
        <v>467.85380002977399</v>
      </c>
      <c r="J1751" s="2">
        <v>453.81818602888075</v>
      </c>
      <c r="K1751" s="2">
        <v>440.20364044801431</v>
      </c>
      <c r="L1751" s="2">
        <v>426.9975312345739</v>
      </c>
      <c r="M1751" s="2">
        <v>414.18760529753666</v>
      </c>
      <c r="N1751" s="2">
        <v>401.76197713861058</v>
      </c>
      <c r="O1751" s="2">
        <v>389.70911782445222</v>
      </c>
    </row>
    <row r="1752" spans="1:15" x14ac:dyDescent="0.25">
      <c r="A1752" t="s">
        <v>4483</v>
      </c>
      <c r="B1752" t="s">
        <v>4401</v>
      </c>
      <c r="C1752" s="2">
        <v>561.51275399999997</v>
      </c>
      <c r="D1752" s="2">
        <v>544.66737137999996</v>
      </c>
      <c r="E1752" s="2">
        <v>528.32735023859993</v>
      </c>
      <c r="F1752" s="2">
        <v>512.4775297314419</v>
      </c>
      <c r="G1752" s="2">
        <v>497.10320383949863</v>
      </c>
      <c r="H1752" s="2">
        <v>482.19010772431363</v>
      </c>
      <c r="I1752" s="2">
        <v>467.7244044925842</v>
      </c>
      <c r="J1752" s="2">
        <v>453.69267235780666</v>
      </c>
      <c r="K1752" s="2">
        <v>440.08189218707247</v>
      </c>
      <c r="L1752" s="2">
        <v>426.8794354214603</v>
      </c>
      <c r="M1752" s="2">
        <v>414.07305235881648</v>
      </c>
      <c r="N1752" s="2">
        <v>401.650860788052</v>
      </c>
      <c r="O1752" s="2">
        <v>389.60133496441046</v>
      </c>
    </row>
    <row r="1753" spans="1:15" x14ac:dyDescent="0.25">
      <c r="A1753" t="s">
        <v>4484</v>
      </c>
      <c r="B1753" t="s">
        <v>4401</v>
      </c>
      <c r="C1753" s="2">
        <v>561.51275399999997</v>
      </c>
      <c r="D1753" s="2">
        <v>544.66737137999996</v>
      </c>
      <c r="E1753" s="2">
        <v>528.32735023859993</v>
      </c>
      <c r="F1753" s="2">
        <v>512.4775297314419</v>
      </c>
      <c r="G1753" s="2">
        <v>497.10320383949863</v>
      </c>
      <c r="H1753" s="2">
        <v>482.19010772431363</v>
      </c>
      <c r="I1753" s="2">
        <v>467.7244044925842</v>
      </c>
      <c r="J1753" s="2">
        <v>453.69267235780666</v>
      </c>
      <c r="K1753" s="2">
        <v>440.08189218707247</v>
      </c>
      <c r="L1753" s="2">
        <v>426.8794354214603</v>
      </c>
      <c r="M1753" s="2">
        <v>414.07305235881648</v>
      </c>
      <c r="N1753" s="2">
        <v>401.650860788052</v>
      </c>
      <c r="O1753" s="2">
        <v>389.60133496441046</v>
      </c>
    </row>
    <row r="1754" spans="1:15" x14ac:dyDescent="0.25">
      <c r="A1754" t="s">
        <v>4485</v>
      </c>
      <c r="B1754" t="s">
        <v>4486</v>
      </c>
      <c r="C1754" s="2">
        <v>561.23900800000013</v>
      </c>
      <c r="D1754" s="2">
        <v>544.40183776000015</v>
      </c>
      <c r="E1754" s="2">
        <v>528.06978262720008</v>
      </c>
      <c r="F1754" s="2">
        <v>512.22768914838412</v>
      </c>
      <c r="G1754" s="2">
        <v>496.86085847393258</v>
      </c>
      <c r="H1754" s="2">
        <v>481.95503271971461</v>
      </c>
      <c r="I1754" s="2">
        <v>467.49638173812315</v>
      </c>
      <c r="J1754" s="2">
        <v>453.47149028597943</v>
      </c>
      <c r="K1754" s="2">
        <v>439.86734557740004</v>
      </c>
      <c r="L1754" s="2">
        <v>426.67132521007801</v>
      </c>
      <c r="M1754" s="2">
        <v>413.87118545377564</v>
      </c>
      <c r="N1754" s="2">
        <v>401.45504989016234</v>
      </c>
      <c r="O1754" s="2">
        <v>389.41139839345749</v>
      </c>
    </row>
    <row r="1755" spans="1:15" x14ac:dyDescent="0.25">
      <c r="A1755" t="s">
        <v>4487</v>
      </c>
      <c r="B1755" t="s">
        <v>4488</v>
      </c>
      <c r="C1755" s="2">
        <v>560.48051400000008</v>
      </c>
      <c r="D1755" s="2">
        <v>543.66609858000004</v>
      </c>
      <c r="E1755" s="2">
        <v>527.35611562259999</v>
      </c>
      <c r="F1755" s="2">
        <v>511.53543215392199</v>
      </c>
      <c r="G1755" s="2">
        <v>496.18936918930433</v>
      </c>
      <c r="H1755" s="2">
        <v>481.30368811362518</v>
      </c>
      <c r="I1755" s="2">
        <v>466.86457747021643</v>
      </c>
      <c r="J1755" s="2">
        <v>452.85864014610991</v>
      </c>
      <c r="K1755" s="2">
        <v>439.27288094172661</v>
      </c>
      <c r="L1755" s="2">
        <v>426.09469451347479</v>
      </c>
      <c r="M1755" s="2">
        <v>413.31185367807052</v>
      </c>
      <c r="N1755" s="2">
        <v>400.91249806772839</v>
      </c>
      <c r="O1755" s="2">
        <v>388.88512312569651</v>
      </c>
    </row>
    <row r="1756" spans="1:15" x14ac:dyDescent="0.25">
      <c r="A1756" t="s">
        <v>4489</v>
      </c>
      <c r="B1756" t="s">
        <v>4488</v>
      </c>
      <c r="C1756" s="2">
        <v>560.48051400000008</v>
      </c>
      <c r="D1756" s="2">
        <v>543.66609858000004</v>
      </c>
      <c r="E1756" s="2">
        <v>527.35611562259999</v>
      </c>
      <c r="F1756" s="2">
        <v>511.53543215392199</v>
      </c>
      <c r="G1756" s="2">
        <v>496.18936918930433</v>
      </c>
      <c r="H1756" s="2">
        <v>481.30368811362518</v>
      </c>
      <c r="I1756" s="2">
        <v>466.86457747021643</v>
      </c>
      <c r="J1756" s="2">
        <v>452.85864014610991</v>
      </c>
      <c r="K1756" s="2">
        <v>439.27288094172661</v>
      </c>
      <c r="L1756" s="2">
        <v>426.09469451347479</v>
      </c>
      <c r="M1756" s="2">
        <v>413.31185367807052</v>
      </c>
      <c r="N1756" s="2">
        <v>400.91249806772839</v>
      </c>
      <c r="O1756" s="2">
        <v>388.88512312569651</v>
      </c>
    </row>
    <row r="1757" spans="1:15" x14ac:dyDescent="0.25">
      <c r="A1757" t="s">
        <v>4490</v>
      </c>
      <c r="B1757" t="s">
        <v>4488</v>
      </c>
      <c r="C1757" s="2">
        <v>560.48051400000008</v>
      </c>
      <c r="D1757" s="2">
        <v>543.66609858000004</v>
      </c>
      <c r="E1757" s="2">
        <v>527.35611562259999</v>
      </c>
      <c r="F1757" s="2">
        <v>511.53543215392199</v>
      </c>
      <c r="G1757" s="2">
        <v>496.18936918930433</v>
      </c>
      <c r="H1757" s="2">
        <v>481.30368811362518</v>
      </c>
      <c r="I1757" s="2">
        <v>466.86457747021643</v>
      </c>
      <c r="J1757" s="2">
        <v>452.85864014610991</v>
      </c>
      <c r="K1757" s="2">
        <v>439.27288094172661</v>
      </c>
      <c r="L1757" s="2">
        <v>426.09469451347479</v>
      </c>
      <c r="M1757" s="2">
        <v>413.31185367807052</v>
      </c>
      <c r="N1757" s="2">
        <v>400.91249806772839</v>
      </c>
      <c r="O1757" s="2">
        <v>388.88512312569651</v>
      </c>
    </row>
    <row r="1758" spans="1:15" x14ac:dyDescent="0.25">
      <c r="A1758" t="s">
        <v>4491</v>
      </c>
      <c r="B1758" t="s">
        <v>4492</v>
      </c>
      <c r="C1758" s="2">
        <v>558.32444800000019</v>
      </c>
      <c r="D1758" s="2">
        <v>541.57471456000019</v>
      </c>
      <c r="E1758" s="2">
        <v>525.32747312320021</v>
      </c>
      <c r="F1758" s="2">
        <v>509.56764892950417</v>
      </c>
      <c r="G1758" s="2">
        <v>494.28061946161904</v>
      </c>
      <c r="H1758" s="2">
        <v>479.45220087777045</v>
      </c>
      <c r="I1758" s="2">
        <v>465.06863485143731</v>
      </c>
      <c r="J1758" s="2">
        <v>451.11657580589417</v>
      </c>
      <c r="K1758" s="2">
        <v>437.58307853171732</v>
      </c>
      <c r="L1758" s="2">
        <v>424.4555861757658</v>
      </c>
      <c r="M1758" s="2">
        <v>411.72191859049281</v>
      </c>
      <c r="N1758" s="2">
        <v>399.37026103277799</v>
      </c>
      <c r="O1758" s="2">
        <v>387.38915320179461</v>
      </c>
    </row>
    <row r="1759" spans="1:15" x14ac:dyDescent="0.25">
      <c r="A1759" t="s">
        <v>4493</v>
      </c>
      <c r="B1759" t="s">
        <v>4494</v>
      </c>
      <c r="C1759" s="2">
        <v>551.24044800000013</v>
      </c>
      <c r="D1759" s="2">
        <v>534.70323456000006</v>
      </c>
      <c r="E1759" s="2">
        <v>518.66213752320004</v>
      </c>
      <c r="F1759" s="2">
        <v>503.10227339750401</v>
      </c>
      <c r="G1759" s="2">
        <v>488.00920519557889</v>
      </c>
      <c r="H1759" s="2">
        <v>473.36892903971153</v>
      </c>
      <c r="I1759" s="2">
        <v>459.16786116852018</v>
      </c>
      <c r="J1759" s="2">
        <v>445.39282533346454</v>
      </c>
      <c r="K1759" s="2">
        <v>432.03104057346059</v>
      </c>
      <c r="L1759" s="2">
        <v>419.07010935625675</v>
      </c>
      <c r="M1759" s="2">
        <v>406.49800607556904</v>
      </c>
      <c r="N1759" s="2">
        <v>394.30306589330195</v>
      </c>
      <c r="O1759" s="2">
        <v>382.47397391650287</v>
      </c>
    </row>
    <row r="1760" spans="1:15" x14ac:dyDescent="0.25">
      <c r="A1760" t="s">
        <v>4495</v>
      </c>
      <c r="B1760" t="s">
        <v>4496</v>
      </c>
      <c r="C1760" s="2">
        <v>548.7989980000001</v>
      </c>
      <c r="D1760" s="2">
        <v>532.33502806000013</v>
      </c>
      <c r="E1760" s="2">
        <v>516.36497721820012</v>
      </c>
      <c r="F1760" s="2">
        <v>500.87402790165413</v>
      </c>
      <c r="G1760" s="2">
        <v>485.84780706460447</v>
      </c>
      <c r="H1760" s="2">
        <v>471.27237285266631</v>
      </c>
      <c r="I1760" s="2">
        <v>457.1342016670863</v>
      </c>
      <c r="J1760" s="2">
        <v>443.42017561707371</v>
      </c>
      <c r="K1760" s="2">
        <v>430.11757034856151</v>
      </c>
      <c r="L1760" s="2">
        <v>417.21404323810464</v>
      </c>
      <c r="M1760" s="2">
        <v>404.69762194096148</v>
      </c>
      <c r="N1760" s="2">
        <v>392.55669328273262</v>
      </c>
      <c r="O1760" s="2">
        <v>380.77999248425061</v>
      </c>
    </row>
    <row r="1761" spans="1:15" x14ac:dyDescent="0.25">
      <c r="A1761" t="s">
        <v>4497</v>
      </c>
      <c r="B1761" t="s">
        <v>4496</v>
      </c>
      <c r="C1761" s="2">
        <v>548.7989980000001</v>
      </c>
      <c r="D1761" s="2">
        <v>532.33502806000013</v>
      </c>
      <c r="E1761" s="2">
        <v>516.36497721820012</v>
      </c>
      <c r="F1761" s="2">
        <v>500.87402790165413</v>
      </c>
      <c r="G1761" s="2">
        <v>485.84780706460447</v>
      </c>
      <c r="H1761" s="2">
        <v>471.27237285266631</v>
      </c>
      <c r="I1761" s="2">
        <v>457.1342016670863</v>
      </c>
      <c r="J1761" s="2">
        <v>443.42017561707371</v>
      </c>
      <c r="K1761" s="2">
        <v>430.11757034856151</v>
      </c>
      <c r="L1761" s="2">
        <v>417.21404323810464</v>
      </c>
      <c r="M1761" s="2">
        <v>404.69762194096148</v>
      </c>
      <c r="N1761" s="2">
        <v>392.55669328273262</v>
      </c>
      <c r="O1761" s="2">
        <v>380.77999248425061</v>
      </c>
    </row>
    <row r="1762" spans="1:15" x14ac:dyDescent="0.25">
      <c r="A1762" t="s">
        <v>4498</v>
      </c>
      <c r="B1762" t="s">
        <v>4496</v>
      </c>
      <c r="C1762" s="2">
        <v>548.7989980000001</v>
      </c>
      <c r="D1762" s="2">
        <v>532.33502806000013</v>
      </c>
      <c r="E1762" s="2">
        <v>516.36497721820012</v>
      </c>
      <c r="F1762" s="2">
        <v>500.87402790165413</v>
      </c>
      <c r="G1762" s="2">
        <v>485.84780706460447</v>
      </c>
      <c r="H1762" s="2">
        <v>471.27237285266631</v>
      </c>
      <c r="I1762" s="2">
        <v>457.1342016670863</v>
      </c>
      <c r="J1762" s="2">
        <v>443.42017561707371</v>
      </c>
      <c r="K1762" s="2">
        <v>430.11757034856151</v>
      </c>
      <c r="L1762" s="2">
        <v>417.21404323810464</v>
      </c>
      <c r="M1762" s="2">
        <v>404.69762194096148</v>
      </c>
      <c r="N1762" s="2">
        <v>392.55669328273262</v>
      </c>
      <c r="O1762" s="2">
        <v>380.77999248425061</v>
      </c>
    </row>
    <row r="1763" spans="1:15" x14ac:dyDescent="0.25">
      <c r="A1763" t="s">
        <v>4499</v>
      </c>
      <c r="B1763" t="s">
        <v>4401</v>
      </c>
      <c r="C1763" s="2">
        <v>548.03342000000009</v>
      </c>
      <c r="D1763" s="2">
        <v>531.59241740000004</v>
      </c>
      <c r="E1763" s="2">
        <v>515.64464487800001</v>
      </c>
      <c r="F1763" s="2">
        <v>500.17530553166</v>
      </c>
      <c r="G1763" s="2">
        <v>485.17004636571016</v>
      </c>
      <c r="H1763" s="2">
        <v>470.61494497473882</v>
      </c>
      <c r="I1763" s="2">
        <v>456.49649662549666</v>
      </c>
      <c r="J1763" s="2">
        <v>442.80160172673175</v>
      </c>
      <c r="K1763" s="2">
        <v>429.51755367492979</v>
      </c>
      <c r="L1763" s="2">
        <v>416.63202706468189</v>
      </c>
      <c r="M1763" s="2">
        <v>404.1330662527414</v>
      </c>
      <c r="N1763" s="2">
        <v>392.00907426515914</v>
      </c>
      <c r="O1763" s="2">
        <v>380.24880203720437</v>
      </c>
    </row>
    <row r="1764" spans="1:15" x14ac:dyDescent="0.25">
      <c r="A1764" t="s">
        <v>4500</v>
      </c>
      <c r="B1764" t="s">
        <v>4401</v>
      </c>
      <c r="C1764" s="2">
        <v>548.03342000000009</v>
      </c>
      <c r="D1764" s="2">
        <v>531.59241740000004</v>
      </c>
      <c r="E1764" s="2">
        <v>515.64464487800001</v>
      </c>
      <c r="F1764" s="2">
        <v>500.17530553166</v>
      </c>
      <c r="G1764" s="2">
        <v>485.17004636571016</v>
      </c>
      <c r="H1764" s="2">
        <v>470.61494497473882</v>
      </c>
      <c r="I1764" s="2">
        <v>456.49649662549666</v>
      </c>
      <c r="J1764" s="2">
        <v>442.80160172673175</v>
      </c>
      <c r="K1764" s="2">
        <v>429.51755367492979</v>
      </c>
      <c r="L1764" s="2">
        <v>416.63202706468189</v>
      </c>
      <c r="M1764" s="2">
        <v>404.1330662527414</v>
      </c>
      <c r="N1764" s="2">
        <v>392.00907426515914</v>
      </c>
      <c r="O1764" s="2">
        <v>380.24880203720437</v>
      </c>
    </row>
    <row r="1765" spans="1:15" x14ac:dyDescent="0.25">
      <c r="A1765" t="s">
        <v>4501</v>
      </c>
      <c r="B1765" t="s">
        <v>4496</v>
      </c>
      <c r="C1765" s="2">
        <v>547.94740000000002</v>
      </c>
      <c r="D1765" s="2">
        <v>531.50897799999996</v>
      </c>
      <c r="E1765" s="2">
        <v>515.56370865999997</v>
      </c>
      <c r="F1765" s="2">
        <v>500.09679740019999</v>
      </c>
      <c r="G1765" s="2">
        <v>485.09389347819399</v>
      </c>
      <c r="H1765" s="2">
        <v>470.54107667384818</v>
      </c>
      <c r="I1765" s="2">
        <v>456.42484437363271</v>
      </c>
      <c r="J1765" s="2">
        <v>442.73209904242373</v>
      </c>
      <c r="K1765" s="2">
        <v>429.45013607115101</v>
      </c>
      <c r="L1765" s="2">
        <v>416.56663198901646</v>
      </c>
      <c r="M1765" s="2">
        <v>404.06963302934594</v>
      </c>
      <c r="N1765" s="2">
        <v>391.94754403846554</v>
      </c>
      <c r="O1765" s="2">
        <v>380.18911771731155</v>
      </c>
    </row>
    <row r="1766" spans="1:15" x14ac:dyDescent="0.25">
      <c r="A1766" t="s">
        <v>4502</v>
      </c>
      <c r="B1766" t="s">
        <v>4496</v>
      </c>
      <c r="C1766" s="2">
        <v>547.94740000000002</v>
      </c>
      <c r="D1766" s="2">
        <v>531.50897799999996</v>
      </c>
      <c r="E1766" s="2">
        <v>515.56370865999997</v>
      </c>
      <c r="F1766" s="2">
        <v>500.09679740019999</v>
      </c>
      <c r="G1766" s="2">
        <v>485.09389347819399</v>
      </c>
      <c r="H1766" s="2">
        <v>470.54107667384818</v>
      </c>
      <c r="I1766" s="2">
        <v>456.42484437363271</v>
      </c>
      <c r="J1766" s="2">
        <v>442.73209904242373</v>
      </c>
      <c r="K1766" s="2">
        <v>429.45013607115101</v>
      </c>
      <c r="L1766" s="2">
        <v>416.56663198901646</v>
      </c>
      <c r="M1766" s="2">
        <v>404.06963302934594</v>
      </c>
      <c r="N1766" s="2">
        <v>391.94754403846554</v>
      </c>
      <c r="O1766" s="2">
        <v>380.18911771731155</v>
      </c>
    </row>
    <row r="1767" spans="1:15" x14ac:dyDescent="0.25">
      <c r="A1767" t="s">
        <v>4503</v>
      </c>
      <c r="B1767" t="s">
        <v>4504</v>
      </c>
      <c r="C1767" s="2">
        <v>546.65001600000005</v>
      </c>
      <c r="D1767" s="2">
        <v>530.25051552000002</v>
      </c>
      <c r="E1767" s="2">
        <v>514.34300005440002</v>
      </c>
      <c r="F1767" s="2">
        <v>498.91271005276803</v>
      </c>
      <c r="G1767" s="2">
        <v>483.945328751185</v>
      </c>
      <c r="H1767" s="2">
        <v>469.42696888864941</v>
      </c>
      <c r="I1767" s="2">
        <v>455.34415982198993</v>
      </c>
      <c r="J1767" s="2">
        <v>441.68383502733025</v>
      </c>
      <c r="K1767" s="2">
        <v>428.43331997651035</v>
      </c>
      <c r="L1767" s="2">
        <v>415.580320377215</v>
      </c>
      <c r="M1767" s="2">
        <v>403.11291076589856</v>
      </c>
      <c r="N1767" s="2">
        <v>391.01952344292158</v>
      </c>
      <c r="O1767" s="2">
        <v>379.28893773963392</v>
      </c>
    </row>
    <row r="1768" spans="1:15" x14ac:dyDescent="0.25">
      <c r="A1768" t="s">
        <v>4505</v>
      </c>
      <c r="B1768" t="s">
        <v>4504</v>
      </c>
      <c r="C1768" s="2">
        <v>546.65001600000005</v>
      </c>
      <c r="D1768" s="2">
        <v>530.25051552000002</v>
      </c>
      <c r="E1768" s="2">
        <v>514.34300005440002</v>
      </c>
      <c r="F1768" s="2">
        <v>498.91271005276803</v>
      </c>
      <c r="G1768" s="2">
        <v>483.945328751185</v>
      </c>
      <c r="H1768" s="2">
        <v>469.42696888864941</v>
      </c>
      <c r="I1768" s="2">
        <v>455.34415982198993</v>
      </c>
      <c r="J1768" s="2">
        <v>441.68383502733025</v>
      </c>
      <c r="K1768" s="2">
        <v>428.43331997651035</v>
      </c>
      <c r="L1768" s="2">
        <v>415.580320377215</v>
      </c>
      <c r="M1768" s="2">
        <v>403.11291076589856</v>
      </c>
      <c r="N1768" s="2">
        <v>391.01952344292158</v>
      </c>
      <c r="O1768" s="2">
        <v>379.28893773963392</v>
      </c>
    </row>
    <row r="1769" spans="1:15" x14ac:dyDescent="0.25">
      <c r="A1769" t="s">
        <v>4506</v>
      </c>
      <c r="B1769" t="s">
        <v>4504</v>
      </c>
      <c r="C1769" s="2">
        <v>546.65001600000005</v>
      </c>
      <c r="D1769" s="2">
        <v>530.25051552000002</v>
      </c>
      <c r="E1769" s="2">
        <v>514.34300005440002</v>
      </c>
      <c r="F1769" s="2">
        <v>498.91271005276803</v>
      </c>
      <c r="G1769" s="2">
        <v>483.945328751185</v>
      </c>
      <c r="H1769" s="2">
        <v>469.42696888864941</v>
      </c>
      <c r="I1769" s="2">
        <v>455.34415982198993</v>
      </c>
      <c r="J1769" s="2">
        <v>441.68383502733025</v>
      </c>
      <c r="K1769" s="2">
        <v>428.43331997651035</v>
      </c>
      <c r="L1769" s="2">
        <v>415.580320377215</v>
      </c>
      <c r="M1769" s="2">
        <v>403.11291076589856</v>
      </c>
      <c r="N1769" s="2">
        <v>391.01952344292158</v>
      </c>
      <c r="O1769" s="2">
        <v>379.28893773963392</v>
      </c>
    </row>
    <row r="1770" spans="1:15" x14ac:dyDescent="0.25">
      <c r="A1770" t="s">
        <v>4507</v>
      </c>
      <c r="B1770" t="s">
        <v>4508</v>
      </c>
      <c r="C1770" s="2">
        <v>545.16844800000013</v>
      </c>
      <c r="D1770" s="2">
        <v>528.81339456000012</v>
      </c>
      <c r="E1770" s="2">
        <v>512.94899272320015</v>
      </c>
      <c r="F1770" s="2">
        <v>497.56052294150413</v>
      </c>
      <c r="G1770" s="2">
        <v>482.63370725325899</v>
      </c>
      <c r="H1770" s="2">
        <v>468.15469603566123</v>
      </c>
      <c r="I1770" s="2">
        <v>454.11005515459141</v>
      </c>
      <c r="J1770" s="2">
        <v>440.48675349995364</v>
      </c>
      <c r="K1770" s="2">
        <v>427.27215089495502</v>
      </c>
      <c r="L1770" s="2">
        <v>414.45398636810637</v>
      </c>
      <c r="M1770" s="2">
        <v>402.02036677706315</v>
      </c>
      <c r="N1770" s="2">
        <v>389.95975577375123</v>
      </c>
      <c r="O1770" s="2">
        <v>378.26096310053867</v>
      </c>
    </row>
    <row r="1771" spans="1:15" x14ac:dyDescent="0.25">
      <c r="A1771" t="s">
        <v>4509</v>
      </c>
      <c r="B1771" t="s">
        <v>4510</v>
      </c>
      <c r="C1771" s="2">
        <v>545.16844800000013</v>
      </c>
      <c r="D1771" s="2">
        <v>528.81339456000012</v>
      </c>
      <c r="E1771" s="2">
        <v>512.94899272320015</v>
      </c>
      <c r="F1771" s="2">
        <v>497.56052294150413</v>
      </c>
      <c r="G1771" s="2">
        <v>482.63370725325899</v>
      </c>
      <c r="H1771" s="2">
        <v>468.15469603566123</v>
      </c>
      <c r="I1771" s="2">
        <v>454.11005515459141</v>
      </c>
      <c r="J1771" s="2">
        <v>440.48675349995364</v>
      </c>
      <c r="K1771" s="2">
        <v>427.27215089495502</v>
      </c>
      <c r="L1771" s="2">
        <v>414.45398636810637</v>
      </c>
      <c r="M1771" s="2">
        <v>402.02036677706315</v>
      </c>
      <c r="N1771" s="2">
        <v>389.95975577375123</v>
      </c>
      <c r="O1771" s="2">
        <v>378.26096310053867</v>
      </c>
    </row>
    <row r="1772" spans="1:15" x14ac:dyDescent="0.25">
      <c r="A1772" t="s">
        <v>4511</v>
      </c>
      <c r="B1772" t="s">
        <v>4512</v>
      </c>
      <c r="C1772" s="2">
        <v>545.16844800000013</v>
      </c>
      <c r="D1772" s="2">
        <v>528.81339456000012</v>
      </c>
      <c r="E1772" s="2">
        <v>512.94899272320015</v>
      </c>
      <c r="F1772" s="2">
        <v>497.56052294150413</v>
      </c>
      <c r="G1772" s="2">
        <v>482.63370725325899</v>
      </c>
      <c r="H1772" s="2">
        <v>468.15469603566123</v>
      </c>
      <c r="I1772" s="2">
        <v>454.11005515459141</v>
      </c>
      <c r="J1772" s="2">
        <v>440.48675349995364</v>
      </c>
      <c r="K1772" s="2">
        <v>427.27215089495502</v>
      </c>
      <c r="L1772" s="2">
        <v>414.45398636810637</v>
      </c>
      <c r="M1772" s="2">
        <v>402.02036677706315</v>
      </c>
      <c r="N1772" s="2">
        <v>389.95975577375123</v>
      </c>
      <c r="O1772" s="2">
        <v>378.26096310053867</v>
      </c>
    </row>
    <row r="1773" spans="1:15" x14ac:dyDescent="0.25">
      <c r="A1773" t="s">
        <v>4513</v>
      </c>
      <c r="B1773" t="s">
        <v>4449</v>
      </c>
      <c r="C1773" s="2">
        <v>541.84858200000008</v>
      </c>
      <c r="D1773" s="2">
        <v>525.59312454000008</v>
      </c>
      <c r="E1773" s="2">
        <v>509.82533080380006</v>
      </c>
      <c r="F1773" s="2">
        <v>494.53057087968602</v>
      </c>
      <c r="G1773" s="2">
        <v>479.69465375329543</v>
      </c>
      <c r="H1773" s="2">
        <v>465.30381414069655</v>
      </c>
      <c r="I1773" s="2">
        <v>451.34469971647565</v>
      </c>
      <c r="J1773" s="2">
        <v>437.80435872498134</v>
      </c>
      <c r="K1773" s="2">
        <v>424.67022796323187</v>
      </c>
      <c r="L1773" s="2">
        <v>411.9301211243349</v>
      </c>
      <c r="M1773" s="2">
        <v>399.57221749060483</v>
      </c>
      <c r="N1773" s="2">
        <v>387.58505096588669</v>
      </c>
      <c r="O1773" s="2">
        <v>375.9574994369101</v>
      </c>
    </row>
    <row r="1774" spans="1:15" x14ac:dyDescent="0.25">
      <c r="A1774" t="s">
        <v>4514</v>
      </c>
      <c r="B1774" t="s">
        <v>4449</v>
      </c>
      <c r="C1774" s="2">
        <v>541.84858200000008</v>
      </c>
      <c r="D1774" s="2">
        <v>525.59312454000008</v>
      </c>
      <c r="E1774" s="2">
        <v>509.82533080380006</v>
      </c>
      <c r="F1774" s="2">
        <v>494.53057087968602</v>
      </c>
      <c r="G1774" s="2">
        <v>479.69465375329543</v>
      </c>
      <c r="H1774" s="2">
        <v>465.30381414069655</v>
      </c>
      <c r="I1774" s="2">
        <v>451.34469971647565</v>
      </c>
      <c r="J1774" s="2">
        <v>437.80435872498134</v>
      </c>
      <c r="K1774" s="2">
        <v>424.67022796323187</v>
      </c>
      <c r="L1774" s="2">
        <v>411.9301211243349</v>
      </c>
      <c r="M1774" s="2">
        <v>399.57221749060483</v>
      </c>
      <c r="N1774" s="2">
        <v>387.58505096588669</v>
      </c>
      <c r="O1774" s="2">
        <v>375.9574994369101</v>
      </c>
    </row>
    <row r="1775" spans="1:15" x14ac:dyDescent="0.25">
      <c r="A1775" t="s">
        <v>4515</v>
      </c>
      <c r="B1775" t="s">
        <v>4516</v>
      </c>
      <c r="C1775" s="2">
        <v>541.37142400000016</v>
      </c>
      <c r="D1775" s="2">
        <v>525.13028128000019</v>
      </c>
      <c r="E1775" s="2">
        <v>509.37637284160019</v>
      </c>
      <c r="F1775" s="2">
        <v>494.09508165635219</v>
      </c>
      <c r="G1775" s="2">
        <v>479.27222920666162</v>
      </c>
      <c r="H1775" s="2">
        <v>464.89406233046174</v>
      </c>
      <c r="I1775" s="2">
        <v>450.94724046054785</v>
      </c>
      <c r="J1775" s="2">
        <v>437.41882324673139</v>
      </c>
      <c r="K1775" s="2">
        <v>424.29625854932942</v>
      </c>
      <c r="L1775" s="2">
        <v>411.56737079284954</v>
      </c>
      <c r="M1775" s="2">
        <v>399.22034966906403</v>
      </c>
      <c r="N1775" s="2">
        <v>387.24373917899209</v>
      </c>
      <c r="O1775" s="2">
        <v>375.62642700362233</v>
      </c>
    </row>
    <row r="1776" spans="1:15" x14ac:dyDescent="0.25">
      <c r="A1776" t="s">
        <v>4517</v>
      </c>
      <c r="B1776" t="s">
        <v>4518</v>
      </c>
      <c r="C1776" s="2">
        <v>541.37142400000016</v>
      </c>
      <c r="D1776" s="2">
        <v>525.13028128000019</v>
      </c>
      <c r="E1776" s="2">
        <v>509.37637284160019</v>
      </c>
      <c r="F1776" s="2">
        <v>494.09508165635219</v>
      </c>
      <c r="G1776" s="2">
        <v>479.27222920666162</v>
      </c>
      <c r="H1776" s="2">
        <v>464.89406233046174</v>
      </c>
      <c r="I1776" s="2">
        <v>450.94724046054785</v>
      </c>
      <c r="J1776" s="2">
        <v>437.41882324673139</v>
      </c>
      <c r="K1776" s="2">
        <v>424.29625854932942</v>
      </c>
      <c r="L1776" s="2">
        <v>411.56737079284954</v>
      </c>
      <c r="M1776" s="2">
        <v>399.22034966906403</v>
      </c>
      <c r="N1776" s="2">
        <v>387.24373917899209</v>
      </c>
      <c r="O1776" s="2">
        <v>375.62642700362233</v>
      </c>
    </row>
    <row r="1777" spans="1:15" x14ac:dyDescent="0.25">
      <c r="A1777" t="s">
        <v>4519</v>
      </c>
      <c r="B1777" t="s">
        <v>4520</v>
      </c>
      <c r="C1777" s="2">
        <v>541.29856000000007</v>
      </c>
      <c r="D1777" s="2">
        <v>525.05960320000008</v>
      </c>
      <c r="E1777" s="2">
        <v>509.30781510400004</v>
      </c>
      <c r="F1777" s="2">
        <v>494.02858065088003</v>
      </c>
      <c r="G1777" s="2">
        <v>479.20772323135361</v>
      </c>
      <c r="H1777" s="2">
        <v>464.83149153441298</v>
      </c>
      <c r="I1777" s="2">
        <v>450.8865467883806</v>
      </c>
      <c r="J1777" s="2">
        <v>437.35995038472919</v>
      </c>
      <c r="K1777" s="2">
        <v>424.23915187318732</v>
      </c>
      <c r="L1777" s="2">
        <v>411.5119773169917</v>
      </c>
      <c r="M1777" s="2">
        <v>399.16661799748192</v>
      </c>
      <c r="N1777" s="2">
        <v>387.19161945755747</v>
      </c>
      <c r="O1777" s="2">
        <v>375.57587087383075</v>
      </c>
    </row>
    <row r="1778" spans="1:15" x14ac:dyDescent="0.25">
      <c r="A1778" t="s">
        <v>4521</v>
      </c>
      <c r="B1778" t="s">
        <v>4522</v>
      </c>
      <c r="C1778" s="2">
        <v>537.58199000000002</v>
      </c>
      <c r="D1778" s="2">
        <v>521.45453029999999</v>
      </c>
      <c r="E1778" s="2">
        <v>505.81089439099998</v>
      </c>
      <c r="F1778" s="2">
        <v>490.63656755926996</v>
      </c>
      <c r="G1778" s="2">
        <v>475.91747053249185</v>
      </c>
      <c r="H1778" s="2">
        <v>461.63994641651709</v>
      </c>
      <c r="I1778" s="2">
        <v>447.79074802402158</v>
      </c>
      <c r="J1778" s="2">
        <v>434.35702558330092</v>
      </c>
      <c r="K1778" s="2">
        <v>421.32631481580188</v>
      </c>
      <c r="L1778" s="2">
        <v>408.68652537132783</v>
      </c>
      <c r="M1778" s="2">
        <v>396.42592961018801</v>
      </c>
      <c r="N1778" s="2">
        <v>384.53315172188235</v>
      </c>
      <c r="O1778" s="2">
        <v>372.99715717022588</v>
      </c>
    </row>
    <row r="1779" spans="1:15" x14ac:dyDescent="0.25">
      <c r="A1779" t="s">
        <v>4523</v>
      </c>
      <c r="B1779" t="s">
        <v>4522</v>
      </c>
      <c r="C1779" s="2">
        <v>537.58199000000002</v>
      </c>
      <c r="D1779" s="2">
        <v>521.45453029999999</v>
      </c>
      <c r="E1779" s="2">
        <v>505.81089439099998</v>
      </c>
      <c r="F1779" s="2">
        <v>490.63656755926996</v>
      </c>
      <c r="G1779" s="2">
        <v>475.91747053249185</v>
      </c>
      <c r="H1779" s="2">
        <v>461.63994641651709</v>
      </c>
      <c r="I1779" s="2">
        <v>447.79074802402158</v>
      </c>
      <c r="J1779" s="2">
        <v>434.35702558330092</v>
      </c>
      <c r="K1779" s="2">
        <v>421.32631481580188</v>
      </c>
      <c r="L1779" s="2">
        <v>408.68652537132783</v>
      </c>
      <c r="M1779" s="2">
        <v>396.42592961018801</v>
      </c>
      <c r="N1779" s="2">
        <v>384.53315172188235</v>
      </c>
      <c r="O1779" s="2">
        <v>372.99715717022588</v>
      </c>
    </row>
    <row r="1780" spans="1:15" x14ac:dyDescent="0.25">
      <c r="A1780" t="s">
        <v>4524</v>
      </c>
      <c r="B1780" t="s">
        <v>4522</v>
      </c>
      <c r="C1780" s="2">
        <v>537.58199000000002</v>
      </c>
      <c r="D1780" s="2">
        <v>521.45453029999999</v>
      </c>
      <c r="E1780" s="2">
        <v>505.81089439099998</v>
      </c>
      <c r="F1780" s="2">
        <v>490.63656755926996</v>
      </c>
      <c r="G1780" s="2">
        <v>475.91747053249185</v>
      </c>
      <c r="H1780" s="2">
        <v>461.63994641651709</v>
      </c>
      <c r="I1780" s="2">
        <v>447.79074802402158</v>
      </c>
      <c r="J1780" s="2">
        <v>434.35702558330092</v>
      </c>
      <c r="K1780" s="2">
        <v>421.32631481580188</v>
      </c>
      <c r="L1780" s="2">
        <v>408.68652537132783</v>
      </c>
      <c r="M1780" s="2">
        <v>396.42592961018801</v>
      </c>
      <c r="N1780" s="2">
        <v>384.53315172188235</v>
      </c>
      <c r="O1780" s="2">
        <v>372.99715717022588</v>
      </c>
    </row>
    <row r="1781" spans="1:15" x14ac:dyDescent="0.25">
      <c r="A1781" t="s">
        <v>4525</v>
      </c>
      <c r="B1781" t="s">
        <v>4526</v>
      </c>
      <c r="C1781" s="2">
        <v>537.58199000000002</v>
      </c>
      <c r="D1781" s="2">
        <v>521.45453029999999</v>
      </c>
      <c r="E1781" s="2">
        <v>505.81089439099998</v>
      </c>
      <c r="F1781" s="2">
        <v>490.63656755926996</v>
      </c>
      <c r="G1781" s="2">
        <v>475.91747053249185</v>
      </c>
      <c r="H1781" s="2">
        <v>461.63994641651709</v>
      </c>
      <c r="I1781" s="2">
        <v>447.79074802402158</v>
      </c>
      <c r="J1781" s="2">
        <v>434.35702558330092</v>
      </c>
      <c r="K1781" s="2">
        <v>421.32631481580188</v>
      </c>
      <c r="L1781" s="2">
        <v>408.68652537132783</v>
      </c>
      <c r="M1781" s="2">
        <v>396.42592961018801</v>
      </c>
      <c r="N1781" s="2">
        <v>384.53315172188235</v>
      </c>
      <c r="O1781" s="2">
        <v>372.99715717022588</v>
      </c>
    </row>
    <row r="1782" spans="1:15" x14ac:dyDescent="0.25">
      <c r="A1782" t="s">
        <v>4527</v>
      </c>
      <c r="B1782" t="s">
        <v>4528</v>
      </c>
      <c r="C1782" s="2">
        <v>537.58199000000002</v>
      </c>
      <c r="D1782" s="2">
        <v>521.45453029999999</v>
      </c>
      <c r="E1782" s="2">
        <v>505.81089439099998</v>
      </c>
      <c r="F1782" s="2">
        <v>490.63656755926996</v>
      </c>
      <c r="G1782" s="2">
        <v>475.91747053249185</v>
      </c>
      <c r="H1782" s="2">
        <v>461.63994641651709</v>
      </c>
      <c r="I1782" s="2">
        <v>447.79074802402158</v>
      </c>
      <c r="J1782" s="2">
        <v>434.35702558330092</v>
      </c>
      <c r="K1782" s="2">
        <v>421.32631481580188</v>
      </c>
      <c r="L1782" s="2">
        <v>408.68652537132783</v>
      </c>
      <c r="M1782" s="2">
        <v>396.42592961018801</v>
      </c>
      <c r="N1782" s="2">
        <v>384.53315172188235</v>
      </c>
      <c r="O1782" s="2">
        <v>372.99715717022588</v>
      </c>
    </row>
    <row r="1783" spans="1:15" x14ac:dyDescent="0.25">
      <c r="A1783" t="s">
        <v>4529</v>
      </c>
      <c r="B1783" t="s">
        <v>4530</v>
      </c>
      <c r="C1783" s="2">
        <v>537.58199000000002</v>
      </c>
      <c r="D1783" s="2">
        <v>521.45453029999999</v>
      </c>
      <c r="E1783" s="2">
        <v>505.81089439099998</v>
      </c>
      <c r="F1783" s="2">
        <v>490.63656755926996</v>
      </c>
      <c r="G1783" s="2">
        <v>475.91747053249185</v>
      </c>
      <c r="H1783" s="2">
        <v>461.63994641651709</v>
      </c>
      <c r="I1783" s="2">
        <v>447.79074802402158</v>
      </c>
      <c r="J1783" s="2">
        <v>434.35702558330092</v>
      </c>
      <c r="K1783" s="2">
        <v>421.32631481580188</v>
      </c>
      <c r="L1783" s="2">
        <v>408.68652537132783</v>
      </c>
      <c r="M1783" s="2">
        <v>396.42592961018801</v>
      </c>
      <c r="N1783" s="2">
        <v>384.53315172188235</v>
      </c>
      <c r="O1783" s="2">
        <v>372.99715717022588</v>
      </c>
    </row>
    <row r="1784" spans="1:15" x14ac:dyDescent="0.25">
      <c r="A1784" t="s">
        <v>4531</v>
      </c>
      <c r="B1784" t="s">
        <v>4532</v>
      </c>
      <c r="C1784" s="2">
        <v>535.70422400000018</v>
      </c>
      <c r="D1784" s="2">
        <v>519.63309728000013</v>
      </c>
      <c r="E1784" s="2">
        <v>504.04410436160009</v>
      </c>
      <c r="F1784" s="2">
        <v>488.92278123075209</v>
      </c>
      <c r="G1784" s="2">
        <v>474.25509779382952</v>
      </c>
      <c r="H1784" s="2">
        <v>460.02744486001461</v>
      </c>
      <c r="I1784" s="2">
        <v>446.22662151421417</v>
      </c>
      <c r="J1784" s="2">
        <v>432.83982286878773</v>
      </c>
      <c r="K1784" s="2">
        <v>419.85462818272407</v>
      </c>
      <c r="L1784" s="2">
        <v>407.25898933724233</v>
      </c>
      <c r="M1784" s="2">
        <v>395.04121965712505</v>
      </c>
      <c r="N1784" s="2">
        <v>383.18998306741128</v>
      </c>
      <c r="O1784" s="2">
        <v>371.69428357538891</v>
      </c>
    </row>
    <row r="1785" spans="1:15" x14ac:dyDescent="0.25">
      <c r="A1785" t="s">
        <v>4533</v>
      </c>
      <c r="B1785" t="s">
        <v>4534</v>
      </c>
      <c r="C1785" s="2">
        <v>532.42939200000001</v>
      </c>
      <c r="D1785" s="2">
        <v>516.45651023999994</v>
      </c>
      <c r="E1785" s="2">
        <v>500.96281493279992</v>
      </c>
      <c r="F1785" s="2">
        <v>485.9339304848159</v>
      </c>
      <c r="G1785" s="2">
        <v>471.35591257027141</v>
      </c>
      <c r="H1785" s="2">
        <v>457.21523519316327</v>
      </c>
      <c r="I1785" s="2">
        <v>443.49877813736833</v>
      </c>
      <c r="J1785" s="2">
        <v>430.19381479324727</v>
      </c>
      <c r="K1785" s="2">
        <v>417.28800034944982</v>
      </c>
      <c r="L1785" s="2">
        <v>404.76936033896629</v>
      </c>
      <c r="M1785" s="2">
        <v>392.62627952879728</v>
      </c>
      <c r="N1785" s="2">
        <v>380.84749114293334</v>
      </c>
      <c r="O1785" s="2">
        <v>369.42206640864532</v>
      </c>
    </row>
    <row r="1786" spans="1:15" x14ac:dyDescent="0.25">
      <c r="A1786" t="s">
        <v>4535</v>
      </c>
      <c r="B1786" t="s">
        <v>4536</v>
      </c>
      <c r="C1786" s="2">
        <v>532.42939200000001</v>
      </c>
      <c r="D1786" s="2">
        <v>516.45651023999994</v>
      </c>
      <c r="E1786" s="2">
        <v>500.96281493279992</v>
      </c>
      <c r="F1786" s="2">
        <v>485.9339304848159</v>
      </c>
      <c r="G1786" s="2">
        <v>471.35591257027141</v>
      </c>
      <c r="H1786" s="2">
        <v>457.21523519316327</v>
      </c>
      <c r="I1786" s="2">
        <v>443.49877813736833</v>
      </c>
      <c r="J1786" s="2">
        <v>430.19381479324727</v>
      </c>
      <c r="K1786" s="2">
        <v>417.28800034944982</v>
      </c>
      <c r="L1786" s="2">
        <v>404.76936033896629</v>
      </c>
      <c r="M1786" s="2">
        <v>392.62627952879728</v>
      </c>
      <c r="N1786" s="2">
        <v>380.84749114293334</v>
      </c>
      <c r="O1786" s="2">
        <v>369.42206640864532</v>
      </c>
    </row>
    <row r="1787" spans="1:15" x14ac:dyDescent="0.25">
      <c r="A1787" t="s">
        <v>4537</v>
      </c>
      <c r="B1787" t="s">
        <v>4538</v>
      </c>
      <c r="C1787" s="2">
        <v>530.63612799999999</v>
      </c>
      <c r="D1787" s="2">
        <v>514.71704416</v>
      </c>
      <c r="E1787" s="2">
        <v>499.27553283520001</v>
      </c>
      <c r="F1787" s="2">
        <v>484.29726685014401</v>
      </c>
      <c r="G1787" s="2">
        <v>469.76834884463966</v>
      </c>
      <c r="H1787" s="2">
        <v>455.67529837930044</v>
      </c>
      <c r="I1787" s="2">
        <v>442.00503942792142</v>
      </c>
      <c r="J1787" s="2">
        <v>428.74488824508376</v>
      </c>
      <c r="K1787" s="2">
        <v>415.88254159773123</v>
      </c>
      <c r="L1787" s="2">
        <v>403.40606534979929</v>
      </c>
      <c r="M1787" s="2">
        <v>391.30388338930533</v>
      </c>
      <c r="N1787" s="2">
        <v>379.56476688762615</v>
      </c>
      <c r="O1787" s="2">
        <v>368.17782388099738</v>
      </c>
    </row>
    <row r="1788" spans="1:15" x14ac:dyDescent="0.25">
      <c r="A1788" t="s">
        <v>4539</v>
      </c>
      <c r="B1788" t="s">
        <v>4449</v>
      </c>
      <c r="C1788" s="2">
        <v>528.88536800000008</v>
      </c>
      <c r="D1788" s="2">
        <v>513.01880696000012</v>
      </c>
      <c r="E1788" s="2">
        <v>497.6282427512001</v>
      </c>
      <c r="F1788" s="2">
        <v>482.69939546866408</v>
      </c>
      <c r="G1788" s="2">
        <v>468.21841360460417</v>
      </c>
      <c r="H1788" s="2">
        <v>454.17186119646601</v>
      </c>
      <c r="I1788" s="2">
        <v>440.54670536057199</v>
      </c>
      <c r="J1788" s="2">
        <v>427.33030419975483</v>
      </c>
      <c r="K1788" s="2">
        <v>414.5103950737622</v>
      </c>
      <c r="L1788" s="2">
        <v>402.07508322154933</v>
      </c>
      <c r="M1788" s="2">
        <v>390.01283072490287</v>
      </c>
      <c r="N1788" s="2">
        <v>378.31244580315575</v>
      </c>
      <c r="O1788" s="2">
        <v>366.96307242906107</v>
      </c>
    </row>
    <row r="1789" spans="1:15" x14ac:dyDescent="0.25">
      <c r="A1789" t="s">
        <v>4540</v>
      </c>
      <c r="B1789" t="s">
        <v>4541</v>
      </c>
      <c r="C1789" s="2">
        <v>528.88536800000008</v>
      </c>
      <c r="D1789" s="2">
        <v>513.01880696000012</v>
      </c>
      <c r="E1789" s="2">
        <v>497.6282427512001</v>
      </c>
      <c r="F1789" s="2">
        <v>482.69939546866408</v>
      </c>
      <c r="G1789" s="2">
        <v>468.21841360460417</v>
      </c>
      <c r="H1789" s="2">
        <v>454.17186119646601</v>
      </c>
      <c r="I1789" s="2">
        <v>440.54670536057199</v>
      </c>
      <c r="J1789" s="2">
        <v>427.33030419975483</v>
      </c>
      <c r="K1789" s="2">
        <v>414.5103950737622</v>
      </c>
      <c r="L1789" s="2">
        <v>402.07508322154933</v>
      </c>
      <c r="M1789" s="2">
        <v>390.01283072490287</v>
      </c>
      <c r="N1789" s="2">
        <v>378.31244580315575</v>
      </c>
      <c r="O1789" s="2">
        <v>366.96307242906107</v>
      </c>
    </row>
    <row r="1790" spans="1:15" x14ac:dyDescent="0.25">
      <c r="A1790" t="s">
        <v>4542</v>
      </c>
      <c r="B1790" t="s">
        <v>4543</v>
      </c>
      <c r="C1790" s="2">
        <v>527.70537600000011</v>
      </c>
      <c r="D1790" s="2">
        <v>511.87421472000011</v>
      </c>
      <c r="E1790" s="2">
        <v>496.51798827840008</v>
      </c>
      <c r="F1790" s="2">
        <v>481.62244863004804</v>
      </c>
      <c r="G1790" s="2">
        <v>467.17377517114659</v>
      </c>
      <c r="H1790" s="2">
        <v>453.15856191601216</v>
      </c>
      <c r="I1790" s="2">
        <v>439.56380505853178</v>
      </c>
      <c r="J1790" s="2">
        <v>426.37689090677583</v>
      </c>
      <c r="K1790" s="2">
        <v>413.58558417957255</v>
      </c>
      <c r="L1790" s="2">
        <v>401.17801665418534</v>
      </c>
      <c r="M1790" s="2">
        <v>389.14267615455975</v>
      </c>
      <c r="N1790" s="2">
        <v>377.46839586992297</v>
      </c>
      <c r="O1790" s="2">
        <v>366.14434399382526</v>
      </c>
    </row>
    <row r="1791" spans="1:15" x14ac:dyDescent="0.25">
      <c r="A1791" t="s">
        <v>4544</v>
      </c>
      <c r="B1791" t="s">
        <v>4545</v>
      </c>
      <c r="C1791" s="2">
        <v>519.88767600000006</v>
      </c>
      <c r="D1791" s="2">
        <v>504.29104572000006</v>
      </c>
      <c r="E1791" s="2">
        <v>489.16231434840006</v>
      </c>
      <c r="F1791" s="2">
        <v>474.48744491794804</v>
      </c>
      <c r="G1791" s="2">
        <v>460.25282157040959</v>
      </c>
      <c r="H1791" s="2">
        <v>446.44523692329727</v>
      </c>
      <c r="I1791" s="2">
        <v>433.05187981559834</v>
      </c>
      <c r="J1791" s="2">
        <v>420.06032342113036</v>
      </c>
      <c r="K1791" s="2">
        <v>407.45851371849642</v>
      </c>
      <c r="L1791" s="2">
        <v>395.2347583069415</v>
      </c>
      <c r="M1791" s="2">
        <v>383.37771555773327</v>
      </c>
      <c r="N1791" s="2">
        <v>371.87638409100128</v>
      </c>
      <c r="O1791" s="2">
        <v>360.72009256827124</v>
      </c>
    </row>
    <row r="1792" spans="1:15" x14ac:dyDescent="0.25">
      <c r="A1792" t="s">
        <v>4546</v>
      </c>
      <c r="B1792" t="s">
        <v>4545</v>
      </c>
      <c r="C1792" s="2">
        <v>519.88767600000006</v>
      </c>
      <c r="D1792" s="2">
        <v>504.29104572000006</v>
      </c>
      <c r="E1792" s="2">
        <v>489.16231434840006</v>
      </c>
      <c r="F1792" s="2">
        <v>474.48744491794804</v>
      </c>
      <c r="G1792" s="2">
        <v>460.25282157040959</v>
      </c>
      <c r="H1792" s="2">
        <v>446.44523692329727</v>
      </c>
      <c r="I1792" s="2">
        <v>433.05187981559834</v>
      </c>
      <c r="J1792" s="2">
        <v>420.06032342113036</v>
      </c>
      <c r="K1792" s="2">
        <v>407.45851371849642</v>
      </c>
      <c r="L1792" s="2">
        <v>395.2347583069415</v>
      </c>
      <c r="M1792" s="2">
        <v>383.37771555773327</v>
      </c>
      <c r="N1792" s="2">
        <v>371.87638409100128</v>
      </c>
      <c r="O1792" s="2">
        <v>360.72009256827124</v>
      </c>
    </row>
    <row r="1793" spans="1:15" x14ac:dyDescent="0.25">
      <c r="A1793" t="s">
        <v>4547</v>
      </c>
      <c r="B1793" t="s">
        <v>4545</v>
      </c>
      <c r="C1793" s="2">
        <v>519.88767600000006</v>
      </c>
      <c r="D1793" s="2">
        <v>504.29104572000006</v>
      </c>
      <c r="E1793" s="2">
        <v>489.16231434840006</v>
      </c>
      <c r="F1793" s="2">
        <v>474.48744491794804</v>
      </c>
      <c r="G1793" s="2">
        <v>460.25282157040959</v>
      </c>
      <c r="H1793" s="2">
        <v>446.44523692329727</v>
      </c>
      <c r="I1793" s="2">
        <v>433.05187981559834</v>
      </c>
      <c r="J1793" s="2">
        <v>420.06032342113036</v>
      </c>
      <c r="K1793" s="2">
        <v>407.45851371849642</v>
      </c>
      <c r="L1793" s="2">
        <v>395.2347583069415</v>
      </c>
      <c r="M1793" s="2">
        <v>383.37771555773327</v>
      </c>
      <c r="N1793" s="2">
        <v>371.87638409100128</v>
      </c>
      <c r="O1793" s="2">
        <v>360.72009256827124</v>
      </c>
    </row>
    <row r="1794" spans="1:15" x14ac:dyDescent="0.25">
      <c r="A1794" t="s">
        <v>4548</v>
      </c>
      <c r="B1794" t="s">
        <v>4549</v>
      </c>
      <c r="C1794" s="2">
        <v>519.88767600000006</v>
      </c>
      <c r="D1794" s="2">
        <v>504.29104572000006</v>
      </c>
      <c r="E1794" s="2">
        <v>489.16231434840006</v>
      </c>
      <c r="F1794" s="2">
        <v>474.48744491794804</v>
      </c>
      <c r="G1794" s="2">
        <v>460.25282157040959</v>
      </c>
      <c r="H1794" s="2">
        <v>446.44523692329727</v>
      </c>
      <c r="I1794" s="2">
        <v>433.05187981559834</v>
      </c>
      <c r="J1794" s="2">
        <v>420.06032342113036</v>
      </c>
      <c r="K1794" s="2">
        <v>407.45851371849642</v>
      </c>
      <c r="L1794" s="2">
        <v>395.2347583069415</v>
      </c>
      <c r="M1794" s="2">
        <v>383.37771555773327</v>
      </c>
      <c r="N1794" s="2">
        <v>371.87638409100128</v>
      </c>
      <c r="O1794" s="2">
        <v>360.72009256827124</v>
      </c>
    </row>
    <row r="1795" spans="1:15" x14ac:dyDescent="0.25">
      <c r="A1795" t="s">
        <v>4550</v>
      </c>
      <c r="B1795" t="s">
        <v>4551</v>
      </c>
      <c r="C1795" s="2">
        <v>519.88767600000006</v>
      </c>
      <c r="D1795" s="2">
        <v>504.29104572000006</v>
      </c>
      <c r="E1795" s="2">
        <v>489.16231434840006</v>
      </c>
      <c r="F1795" s="2">
        <v>474.48744491794804</v>
      </c>
      <c r="G1795" s="2">
        <v>460.25282157040959</v>
      </c>
      <c r="H1795" s="2">
        <v>446.44523692329727</v>
      </c>
      <c r="I1795" s="2">
        <v>433.05187981559834</v>
      </c>
      <c r="J1795" s="2">
        <v>420.06032342113036</v>
      </c>
      <c r="K1795" s="2">
        <v>407.45851371849642</v>
      </c>
      <c r="L1795" s="2">
        <v>395.2347583069415</v>
      </c>
      <c r="M1795" s="2">
        <v>383.37771555773327</v>
      </c>
      <c r="N1795" s="2">
        <v>371.87638409100128</v>
      </c>
      <c r="O1795" s="2">
        <v>360.72009256827124</v>
      </c>
    </row>
    <row r="1796" spans="1:15" x14ac:dyDescent="0.25">
      <c r="A1796" t="s">
        <v>4552</v>
      </c>
      <c r="B1796" t="s">
        <v>4553</v>
      </c>
      <c r="C1796" s="2">
        <v>519.88767600000006</v>
      </c>
      <c r="D1796" s="2">
        <v>504.29104572000006</v>
      </c>
      <c r="E1796" s="2">
        <v>489.16231434840006</v>
      </c>
      <c r="F1796" s="2">
        <v>474.48744491794804</v>
      </c>
      <c r="G1796" s="2">
        <v>460.25282157040959</v>
      </c>
      <c r="H1796" s="2">
        <v>446.44523692329727</v>
      </c>
      <c r="I1796" s="2">
        <v>433.05187981559834</v>
      </c>
      <c r="J1796" s="2">
        <v>420.06032342113036</v>
      </c>
      <c r="K1796" s="2">
        <v>407.45851371849642</v>
      </c>
      <c r="L1796" s="2">
        <v>395.2347583069415</v>
      </c>
      <c r="M1796" s="2">
        <v>383.37771555773327</v>
      </c>
      <c r="N1796" s="2">
        <v>371.87638409100128</v>
      </c>
      <c r="O1796" s="2">
        <v>360.72009256827124</v>
      </c>
    </row>
    <row r="1797" spans="1:15" x14ac:dyDescent="0.25">
      <c r="A1797" t="s">
        <v>4554</v>
      </c>
      <c r="B1797" t="s">
        <v>4555</v>
      </c>
      <c r="C1797" s="2">
        <v>519.8036800000001</v>
      </c>
      <c r="D1797" s="2">
        <v>504.20956960000007</v>
      </c>
      <c r="E1797" s="2">
        <v>489.08328251200004</v>
      </c>
      <c r="F1797" s="2">
        <v>474.41078403664005</v>
      </c>
      <c r="G1797" s="2">
        <v>460.17846051554085</v>
      </c>
      <c r="H1797" s="2">
        <v>446.37310670007463</v>
      </c>
      <c r="I1797" s="2">
        <v>432.98191349907239</v>
      </c>
      <c r="J1797" s="2">
        <v>419.99245609410019</v>
      </c>
      <c r="K1797" s="2">
        <v>407.39268241127718</v>
      </c>
      <c r="L1797" s="2">
        <v>395.17090193893887</v>
      </c>
      <c r="M1797" s="2">
        <v>383.31577488077068</v>
      </c>
      <c r="N1797" s="2">
        <v>371.81630163434755</v>
      </c>
      <c r="O1797" s="2">
        <v>360.66181258531714</v>
      </c>
    </row>
    <row r="1798" spans="1:15" x14ac:dyDescent="0.25">
      <c r="A1798" t="s">
        <v>4556</v>
      </c>
      <c r="B1798" t="s">
        <v>4401</v>
      </c>
      <c r="C1798" s="2">
        <v>513.5738080000001</v>
      </c>
      <c r="D1798" s="2">
        <v>498.16659376000007</v>
      </c>
      <c r="E1798" s="2">
        <v>483.22159594720006</v>
      </c>
      <c r="F1798" s="2">
        <v>468.72494806878404</v>
      </c>
      <c r="G1798" s="2">
        <v>454.66319962672048</v>
      </c>
      <c r="H1798" s="2">
        <v>441.02330363791884</v>
      </c>
      <c r="I1798" s="2">
        <v>427.79260452878128</v>
      </c>
      <c r="J1798" s="2">
        <v>414.95882639291784</v>
      </c>
      <c r="K1798" s="2">
        <v>402.5100616011303</v>
      </c>
      <c r="L1798" s="2">
        <v>390.43475975309639</v>
      </c>
      <c r="M1798" s="2">
        <v>378.7217169605035</v>
      </c>
      <c r="N1798" s="2">
        <v>367.3600654516884</v>
      </c>
      <c r="O1798" s="2">
        <v>356.33926348813776</v>
      </c>
    </row>
    <row r="1799" spans="1:15" x14ac:dyDescent="0.25">
      <c r="A1799" t="s">
        <v>4557</v>
      </c>
      <c r="B1799" t="s">
        <v>4401</v>
      </c>
      <c r="C1799" s="2">
        <v>513.5738080000001</v>
      </c>
      <c r="D1799" s="2">
        <v>498.16659376000007</v>
      </c>
      <c r="E1799" s="2">
        <v>483.22159594720006</v>
      </c>
      <c r="F1799" s="2">
        <v>468.72494806878404</v>
      </c>
      <c r="G1799" s="2">
        <v>454.66319962672048</v>
      </c>
      <c r="H1799" s="2">
        <v>441.02330363791884</v>
      </c>
      <c r="I1799" s="2">
        <v>427.79260452878128</v>
      </c>
      <c r="J1799" s="2">
        <v>414.95882639291784</v>
      </c>
      <c r="K1799" s="2">
        <v>402.5100616011303</v>
      </c>
      <c r="L1799" s="2">
        <v>390.43475975309639</v>
      </c>
      <c r="M1799" s="2">
        <v>378.7217169605035</v>
      </c>
      <c r="N1799" s="2">
        <v>367.3600654516884</v>
      </c>
      <c r="O1799" s="2">
        <v>356.33926348813776</v>
      </c>
    </row>
    <row r="1800" spans="1:15" x14ac:dyDescent="0.25">
      <c r="A1800" t="s">
        <v>4558</v>
      </c>
      <c r="B1800" t="s">
        <v>4559</v>
      </c>
      <c r="C1800" s="2">
        <v>511.68136800000008</v>
      </c>
      <c r="D1800" s="2">
        <v>496.33092696000006</v>
      </c>
      <c r="E1800" s="2">
        <v>481.44099915120006</v>
      </c>
      <c r="F1800" s="2">
        <v>466.99776917666406</v>
      </c>
      <c r="G1800" s="2">
        <v>452.98783610136411</v>
      </c>
      <c r="H1800" s="2">
        <v>439.39820101832316</v>
      </c>
      <c r="I1800" s="2">
        <v>426.21625498777348</v>
      </c>
      <c r="J1800" s="2">
        <v>413.42976733814027</v>
      </c>
      <c r="K1800" s="2">
        <v>401.02687431799603</v>
      </c>
      <c r="L1800" s="2">
        <v>388.99606808845613</v>
      </c>
      <c r="M1800" s="2">
        <v>377.32618604580244</v>
      </c>
      <c r="N1800" s="2">
        <v>366.00640046442834</v>
      </c>
      <c r="O1800" s="2">
        <v>355.02620845049546</v>
      </c>
    </row>
    <row r="1801" spans="1:15" x14ac:dyDescent="0.25">
      <c r="A1801" t="s">
        <v>4560</v>
      </c>
      <c r="B1801" t="s">
        <v>4561</v>
      </c>
      <c r="C1801" s="2">
        <v>500.9561920000001</v>
      </c>
      <c r="D1801" s="2">
        <v>485.92750624000007</v>
      </c>
      <c r="E1801" s="2">
        <v>471.34968105280007</v>
      </c>
      <c r="F1801" s="2">
        <v>457.20919062121607</v>
      </c>
      <c r="G1801" s="2">
        <v>443.49291490257957</v>
      </c>
      <c r="H1801" s="2">
        <v>430.18812745550218</v>
      </c>
      <c r="I1801" s="2">
        <v>417.28248363183712</v>
      </c>
      <c r="J1801" s="2">
        <v>404.76400912288199</v>
      </c>
      <c r="K1801" s="2">
        <v>392.62108884919553</v>
      </c>
      <c r="L1801" s="2">
        <v>380.84245618371966</v>
      </c>
      <c r="M1801" s="2">
        <v>369.41718249820804</v>
      </c>
      <c r="N1801" s="2">
        <v>358.33466702326177</v>
      </c>
      <c r="O1801" s="2">
        <v>347.58462701256389</v>
      </c>
    </row>
    <row r="1802" spans="1:15" x14ac:dyDescent="0.25">
      <c r="A1802" t="s">
        <v>4562</v>
      </c>
      <c r="B1802" t="s">
        <v>4563</v>
      </c>
      <c r="C1802" s="2">
        <v>499.40631400000012</v>
      </c>
      <c r="D1802" s="2">
        <v>484.42412458000013</v>
      </c>
      <c r="E1802" s="2">
        <v>469.89140084260009</v>
      </c>
      <c r="F1802" s="2">
        <v>455.7946588173221</v>
      </c>
      <c r="G1802" s="2">
        <v>442.1208190528024</v>
      </c>
      <c r="H1802" s="2">
        <v>428.8571944812183</v>
      </c>
      <c r="I1802" s="2">
        <v>415.99147864678173</v>
      </c>
      <c r="J1802" s="2">
        <v>403.51173428737826</v>
      </c>
      <c r="K1802" s="2">
        <v>391.40638225875688</v>
      </c>
      <c r="L1802" s="2">
        <v>379.66419079099416</v>
      </c>
      <c r="M1802" s="2">
        <v>368.27426506726431</v>
      </c>
      <c r="N1802" s="2">
        <v>357.22603711524636</v>
      </c>
      <c r="O1802" s="2">
        <v>346.50925600178897</v>
      </c>
    </row>
    <row r="1803" spans="1:15" x14ac:dyDescent="0.25">
      <c r="A1803" t="s">
        <v>4564</v>
      </c>
      <c r="B1803" t="s">
        <v>4563</v>
      </c>
      <c r="C1803" s="2">
        <v>499.40631400000012</v>
      </c>
      <c r="D1803" s="2">
        <v>484.42412458000013</v>
      </c>
      <c r="E1803" s="2">
        <v>469.89140084260009</v>
      </c>
      <c r="F1803" s="2">
        <v>455.7946588173221</v>
      </c>
      <c r="G1803" s="2">
        <v>442.1208190528024</v>
      </c>
      <c r="H1803" s="2">
        <v>428.8571944812183</v>
      </c>
      <c r="I1803" s="2">
        <v>415.99147864678173</v>
      </c>
      <c r="J1803" s="2">
        <v>403.51173428737826</v>
      </c>
      <c r="K1803" s="2">
        <v>391.40638225875688</v>
      </c>
      <c r="L1803" s="2">
        <v>379.66419079099416</v>
      </c>
      <c r="M1803" s="2">
        <v>368.27426506726431</v>
      </c>
      <c r="N1803" s="2">
        <v>357.22603711524636</v>
      </c>
      <c r="O1803" s="2">
        <v>346.50925600178897</v>
      </c>
    </row>
    <row r="1804" spans="1:15" x14ac:dyDescent="0.25">
      <c r="A1804" t="s">
        <v>4565</v>
      </c>
      <c r="B1804" t="s">
        <v>4566</v>
      </c>
      <c r="C1804" s="2">
        <v>498.26224800000006</v>
      </c>
      <c r="D1804" s="2">
        <v>483.31438056000002</v>
      </c>
      <c r="E1804" s="2">
        <v>468.81494914320001</v>
      </c>
      <c r="F1804" s="2">
        <v>454.75050066890401</v>
      </c>
      <c r="G1804" s="2">
        <v>441.10798564883686</v>
      </c>
      <c r="H1804" s="2">
        <v>427.87474607937173</v>
      </c>
      <c r="I1804" s="2">
        <v>415.03850369699057</v>
      </c>
      <c r="J1804" s="2">
        <v>402.58734858608085</v>
      </c>
      <c r="K1804" s="2">
        <v>390.50972812849841</v>
      </c>
      <c r="L1804" s="2">
        <v>378.79443628464344</v>
      </c>
      <c r="M1804" s="2">
        <v>367.43060319610413</v>
      </c>
      <c r="N1804" s="2">
        <v>356.40768510022099</v>
      </c>
      <c r="O1804" s="2">
        <v>345.71545454721434</v>
      </c>
    </row>
    <row r="1805" spans="1:15" x14ac:dyDescent="0.25">
      <c r="A1805" t="s">
        <v>4567</v>
      </c>
      <c r="B1805" t="s">
        <v>4568</v>
      </c>
      <c r="C1805" s="2">
        <v>498.26224800000006</v>
      </c>
      <c r="D1805" s="2">
        <v>483.31438056000002</v>
      </c>
      <c r="E1805" s="2">
        <v>468.81494914320001</v>
      </c>
      <c r="F1805" s="2">
        <v>454.75050066890401</v>
      </c>
      <c r="G1805" s="2">
        <v>441.10798564883686</v>
      </c>
      <c r="H1805" s="2">
        <v>427.87474607937173</v>
      </c>
      <c r="I1805" s="2">
        <v>415.03850369699057</v>
      </c>
      <c r="J1805" s="2">
        <v>402.58734858608085</v>
      </c>
      <c r="K1805" s="2">
        <v>390.50972812849841</v>
      </c>
      <c r="L1805" s="2">
        <v>378.79443628464344</v>
      </c>
      <c r="M1805" s="2">
        <v>367.43060319610413</v>
      </c>
      <c r="N1805" s="2">
        <v>356.40768510022099</v>
      </c>
      <c r="O1805" s="2">
        <v>345.71545454721434</v>
      </c>
    </row>
    <row r="1806" spans="1:15" x14ac:dyDescent="0.25">
      <c r="A1806" t="s">
        <v>4569</v>
      </c>
      <c r="B1806" t="s">
        <v>4563</v>
      </c>
      <c r="C1806" s="2">
        <v>496.03433000000001</v>
      </c>
      <c r="D1806" s="2">
        <v>481.15330010000002</v>
      </c>
      <c r="E1806" s="2">
        <v>466.71870109700001</v>
      </c>
      <c r="F1806" s="2">
        <v>452.71714006409002</v>
      </c>
      <c r="G1806" s="2">
        <v>439.13562586216733</v>
      </c>
      <c r="H1806" s="2">
        <v>425.96155708630232</v>
      </c>
      <c r="I1806" s="2">
        <v>413.18271037371323</v>
      </c>
      <c r="J1806" s="2">
        <v>400.78722906250181</v>
      </c>
      <c r="K1806" s="2">
        <v>388.76361219062676</v>
      </c>
      <c r="L1806" s="2">
        <v>377.10070382490795</v>
      </c>
      <c r="M1806" s="2">
        <v>365.78768271016071</v>
      </c>
      <c r="N1806" s="2">
        <v>354.81405222885587</v>
      </c>
      <c r="O1806" s="2">
        <v>344.1696306619902</v>
      </c>
    </row>
    <row r="1807" spans="1:15" x14ac:dyDescent="0.25">
      <c r="A1807" t="s">
        <v>4570</v>
      </c>
      <c r="B1807" t="s">
        <v>4563</v>
      </c>
      <c r="C1807" s="2">
        <v>496.03433000000001</v>
      </c>
      <c r="D1807" s="2">
        <v>481.15330010000002</v>
      </c>
      <c r="E1807" s="2">
        <v>466.71870109700001</v>
      </c>
      <c r="F1807" s="2">
        <v>452.71714006409002</v>
      </c>
      <c r="G1807" s="2">
        <v>439.13562586216733</v>
      </c>
      <c r="H1807" s="2">
        <v>425.96155708630232</v>
      </c>
      <c r="I1807" s="2">
        <v>413.18271037371323</v>
      </c>
      <c r="J1807" s="2">
        <v>400.78722906250181</v>
      </c>
      <c r="K1807" s="2">
        <v>388.76361219062676</v>
      </c>
      <c r="L1807" s="2">
        <v>377.10070382490795</v>
      </c>
      <c r="M1807" s="2">
        <v>365.78768271016071</v>
      </c>
      <c r="N1807" s="2">
        <v>354.81405222885587</v>
      </c>
      <c r="O1807" s="2">
        <v>344.1696306619902</v>
      </c>
    </row>
    <row r="1808" spans="1:15" x14ac:dyDescent="0.25">
      <c r="A1808" t="s">
        <v>4571</v>
      </c>
      <c r="B1808" t="s">
        <v>4563</v>
      </c>
      <c r="C1808" s="2">
        <v>496.03433000000001</v>
      </c>
      <c r="D1808" s="2">
        <v>481.15330010000002</v>
      </c>
      <c r="E1808" s="2">
        <v>466.71870109700001</v>
      </c>
      <c r="F1808" s="2">
        <v>452.71714006409002</v>
      </c>
      <c r="G1808" s="2">
        <v>439.13562586216733</v>
      </c>
      <c r="H1808" s="2">
        <v>425.96155708630232</v>
      </c>
      <c r="I1808" s="2">
        <v>413.18271037371323</v>
      </c>
      <c r="J1808" s="2">
        <v>400.78722906250181</v>
      </c>
      <c r="K1808" s="2">
        <v>388.76361219062676</v>
      </c>
      <c r="L1808" s="2">
        <v>377.10070382490795</v>
      </c>
      <c r="M1808" s="2">
        <v>365.78768271016071</v>
      </c>
      <c r="N1808" s="2">
        <v>354.81405222885587</v>
      </c>
      <c r="O1808" s="2">
        <v>344.1696306619902</v>
      </c>
    </row>
    <row r="1809" spans="1:15" x14ac:dyDescent="0.25">
      <c r="A1809" t="s">
        <v>4572</v>
      </c>
      <c r="B1809" t="s">
        <v>4573</v>
      </c>
      <c r="C1809" s="2">
        <v>488.82585400000005</v>
      </c>
      <c r="D1809" s="2">
        <v>474.16107838000005</v>
      </c>
      <c r="E1809" s="2">
        <v>459.93624602860001</v>
      </c>
      <c r="F1809" s="2">
        <v>446.13815864774199</v>
      </c>
      <c r="G1809" s="2">
        <v>432.75401388830971</v>
      </c>
      <c r="H1809" s="2">
        <v>419.77139347166042</v>
      </c>
      <c r="I1809" s="2">
        <v>407.17825166751061</v>
      </c>
      <c r="J1809" s="2">
        <v>394.96290411748527</v>
      </c>
      <c r="K1809" s="2">
        <v>383.11401699396072</v>
      </c>
      <c r="L1809" s="2">
        <v>371.62059648414191</v>
      </c>
      <c r="M1809" s="2">
        <v>360.47197858961766</v>
      </c>
      <c r="N1809" s="2">
        <v>349.65781923192912</v>
      </c>
      <c r="O1809" s="2">
        <v>339.16808465497127</v>
      </c>
    </row>
    <row r="1810" spans="1:15" x14ac:dyDescent="0.25">
      <c r="A1810" t="s">
        <v>4574</v>
      </c>
      <c r="B1810" t="s">
        <v>4573</v>
      </c>
      <c r="C1810" s="2">
        <v>488.82585400000005</v>
      </c>
      <c r="D1810" s="2">
        <v>474.16107838000005</v>
      </c>
      <c r="E1810" s="2">
        <v>459.93624602860001</v>
      </c>
      <c r="F1810" s="2">
        <v>446.13815864774199</v>
      </c>
      <c r="G1810" s="2">
        <v>432.75401388830971</v>
      </c>
      <c r="H1810" s="2">
        <v>419.77139347166042</v>
      </c>
      <c r="I1810" s="2">
        <v>407.17825166751061</v>
      </c>
      <c r="J1810" s="2">
        <v>394.96290411748527</v>
      </c>
      <c r="K1810" s="2">
        <v>383.11401699396072</v>
      </c>
      <c r="L1810" s="2">
        <v>371.62059648414191</v>
      </c>
      <c r="M1810" s="2">
        <v>360.47197858961766</v>
      </c>
      <c r="N1810" s="2">
        <v>349.65781923192912</v>
      </c>
      <c r="O1810" s="2">
        <v>339.16808465497127</v>
      </c>
    </row>
    <row r="1811" spans="1:15" x14ac:dyDescent="0.25">
      <c r="A1811" t="s">
        <v>4575</v>
      </c>
      <c r="B1811" t="s">
        <v>4573</v>
      </c>
      <c r="C1811" s="2">
        <v>485.56569600000006</v>
      </c>
      <c r="D1811" s="2">
        <v>470.99872512000002</v>
      </c>
      <c r="E1811" s="2">
        <v>456.8687633664</v>
      </c>
      <c r="F1811" s="2">
        <v>443.16270046540797</v>
      </c>
      <c r="G1811" s="2">
        <v>429.86781945144571</v>
      </c>
      <c r="H1811" s="2">
        <v>416.97178486790233</v>
      </c>
      <c r="I1811" s="2">
        <v>404.46263132186527</v>
      </c>
      <c r="J1811" s="2">
        <v>392.3287523822093</v>
      </c>
      <c r="K1811" s="2">
        <v>380.55888981074304</v>
      </c>
      <c r="L1811" s="2">
        <v>369.14212311642075</v>
      </c>
      <c r="M1811" s="2">
        <v>358.06785942292811</v>
      </c>
      <c r="N1811" s="2">
        <v>347.32582364024023</v>
      </c>
      <c r="O1811" s="2">
        <v>336.90604893103301</v>
      </c>
    </row>
    <row r="1812" spans="1:15" x14ac:dyDescent="0.25">
      <c r="A1812" t="s">
        <v>4576</v>
      </c>
      <c r="B1812" t="s">
        <v>4573</v>
      </c>
      <c r="C1812" s="2">
        <v>485.56569600000006</v>
      </c>
      <c r="D1812" s="2">
        <v>470.99872512000002</v>
      </c>
      <c r="E1812" s="2">
        <v>456.8687633664</v>
      </c>
      <c r="F1812" s="2">
        <v>443.16270046540797</v>
      </c>
      <c r="G1812" s="2">
        <v>429.86781945144571</v>
      </c>
      <c r="H1812" s="2">
        <v>416.97178486790233</v>
      </c>
      <c r="I1812" s="2">
        <v>404.46263132186527</v>
      </c>
      <c r="J1812" s="2">
        <v>392.3287523822093</v>
      </c>
      <c r="K1812" s="2">
        <v>380.55888981074304</v>
      </c>
      <c r="L1812" s="2">
        <v>369.14212311642075</v>
      </c>
      <c r="M1812" s="2">
        <v>358.06785942292811</v>
      </c>
      <c r="N1812" s="2">
        <v>347.32582364024023</v>
      </c>
      <c r="O1812" s="2">
        <v>336.90604893103301</v>
      </c>
    </row>
    <row r="1813" spans="1:15" x14ac:dyDescent="0.25">
      <c r="A1813" t="s">
        <v>4577</v>
      </c>
      <c r="B1813" t="s">
        <v>4573</v>
      </c>
      <c r="C1813" s="2">
        <v>485.56569600000006</v>
      </c>
      <c r="D1813" s="2">
        <v>470.99872512000002</v>
      </c>
      <c r="E1813" s="2">
        <v>456.8687633664</v>
      </c>
      <c r="F1813" s="2">
        <v>443.16270046540797</v>
      </c>
      <c r="G1813" s="2">
        <v>429.86781945144571</v>
      </c>
      <c r="H1813" s="2">
        <v>416.97178486790233</v>
      </c>
      <c r="I1813" s="2">
        <v>404.46263132186527</v>
      </c>
      <c r="J1813" s="2">
        <v>392.3287523822093</v>
      </c>
      <c r="K1813" s="2">
        <v>380.55888981074304</v>
      </c>
      <c r="L1813" s="2">
        <v>369.14212311642075</v>
      </c>
      <c r="M1813" s="2">
        <v>358.06785942292811</v>
      </c>
      <c r="N1813" s="2">
        <v>347.32582364024023</v>
      </c>
      <c r="O1813" s="2">
        <v>336.90604893103301</v>
      </c>
    </row>
    <row r="1814" spans="1:15" x14ac:dyDescent="0.25">
      <c r="A1814" t="s">
        <v>4578</v>
      </c>
      <c r="B1814" t="s">
        <v>4579</v>
      </c>
      <c r="C1814" s="2">
        <v>479.86257000000012</v>
      </c>
      <c r="D1814" s="2">
        <v>465.46669290000011</v>
      </c>
      <c r="E1814" s="2">
        <v>451.50269211300008</v>
      </c>
      <c r="F1814" s="2">
        <v>437.95761134961009</v>
      </c>
      <c r="G1814" s="2">
        <v>424.81888300912175</v>
      </c>
      <c r="H1814" s="2">
        <v>412.07431651884809</v>
      </c>
      <c r="I1814" s="2">
        <v>399.71208702328266</v>
      </c>
      <c r="J1814" s="2">
        <v>387.72072441258416</v>
      </c>
      <c r="K1814" s="2">
        <v>376.08910268020662</v>
      </c>
      <c r="L1814" s="2">
        <v>364.80642959980042</v>
      </c>
      <c r="M1814" s="2">
        <v>353.86223671180642</v>
      </c>
      <c r="N1814" s="2">
        <v>343.24636961045223</v>
      </c>
      <c r="O1814" s="2">
        <v>332.94897852213865</v>
      </c>
    </row>
    <row r="1815" spans="1:15" x14ac:dyDescent="0.25">
      <c r="A1815" t="s">
        <v>4580</v>
      </c>
      <c r="B1815" t="s">
        <v>4581</v>
      </c>
      <c r="C1815" s="2">
        <v>474.3122560000001</v>
      </c>
      <c r="D1815" s="2">
        <v>460.08288832000011</v>
      </c>
      <c r="E1815" s="2">
        <v>446.28040167040007</v>
      </c>
      <c r="F1815" s="2">
        <v>432.89198962028803</v>
      </c>
      <c r="G1815" s="2">
        <v>419.9052299316794</v>
      </c>
      <c r="H1815" s="2">
        <v>407.30807303372899</v>
      </c>
      <c r="I1815" s="2">
        <v>395.08883084271713</v>
      </c>
      <c r="J1815" s="2">
        <v>383.23616591743559</v>
      </c>
      <c r="K1815" s="2">
        <v>371.73908093991253</v>
      </c>
      <c r="L1815" s="2">
        <v>360.58690851171514</v>
      </c>
      <c r="M1815" s="2">
        <v>349.76930125636369</v>
      </c>
      <c r="N1815" s="2">
        <v>339.27622221867279</v>
      </c>
      <c r="O1815" s="2">
        <v>329.09793555211257</v>
      </c>
    </row>
    <row r="1816" spans="1:15" x14ac:dyDescent="0.25">
      <c r="A1816" t="s">
        <v>4582</v>
      </c>
      <c r="B1816" t="s">
        <v>4581</v>
      </c>
      <c r="C1816" s="2">
        <v>474.3122560000001</v>
      </c>
      <c r="D1816" s="2">
        <v>460.08288832000011</v>
      </c>
      <c r="E1816" s="2">
        <v>446.28040167040007</v>
      </c>
      <c r="F1816" s="2">
        <v>432.89198962028803</v>
      </c>
      <c r="G1816" s="2">
        <v>419.9052299316794</v>
      </c>
      <c r="H1816" s="2">
        <v>407.30807303372899</v>
      </c>
      <c r="I1816" s="2">
        <v>395.08883084271713</v>
      </c>
      <c r="J1816" s="2">
        <v>383.23616591743559</v>
      </c>
      <c r="K1816" s="2">
        <v>371.73908093991253</v>
      </c>
      <c r="L1816" s="2">
        <v>360.58690851171514</v>
      </c>
      <c r="M1816" s="2">
        <v>349.76930125636369</v>
      </c>
      <c r="N1816" s="2">
        <v>339.27622221867279</v>
      </c>
      <c r="O1816" s="2">
        <v>329.09793555211257</v>
      </c>
    </row>
    <row r="1817" spans="1:15" x14ac:dyDescent="0.25">
      <c r="A1817" t="s">
        <v>4583</v>
      </c>
      <c r="B1817" t="s">
        <v>4581</v>
      </c>
      <c r="C1817" s="2">
        <v>474.3122560000001</v>
      </c>
      <c r="D1817" s="2">
        <v>460.08288832000011</v>
      </c>
      <c r="E1817" s="2">
        <v>446.28040167040007</v>
      </c>
      <c r="F1817" s="2">
        <v>432.89198962028803</v>
      </c>
      <c r="G1817" s="2">
        <v>419.9052299316794</v>
      </c>
      <c r="H1817" s="2">
        <v>407.30807303372899</v>
      </c>
      <c r="I1817" s="2">
        <v>395.08883084271713</v>
      </c>
      <c r="J1817" s="2">
        <v>383.23616591743559</v>
      </c>
      <c r="K1817" s="2">
        <v>371.73908093991253</v>
      </c>
      <c r="L1817" s="2">
        <v>360.58690851171514</v>
      </c>
      <c r="M1817" s="2">
        <v>349.76930125636369</v>
      </c>
      <c r="N1817" s="2">
        <v>339.27622221867279</v>
      </c>
      <c r="O1817" s="2">
        <v>329.09793555211257</v>
      </c>
    </row>
    <row r="1818" spans="1:15" x14ac:dyDescent="0.25">
      <c r="A1818" t="s">
        <v>4584</v>
      </c>
      <c r="B1818" t="s">
        <v>4585</v>
      </c>
      <c r="C1818" s="2">
        <v>474.3122560000001</v>
      </c>
      <c r="D1818" s="2">
        <v>460.08288832000011</v>
      </c>
      <c r="E1818" s="2">
        <v>446.28040167040007</v>
      </c>
      <c r="F1818" s="2">
        <v>432.89198962028803</v>
      </c>
      <c r="G1818" s="2">
        <v>419.9052299316794</v>
      </c>
      <c r="H1818" s="2">
        <v>407.30807303372899</v>
      </c>
      <c r="I1818" s="2">
        <v>395.08883084271713</v>
      </c>
      <c r="J1818" s="2">
        <v>383.23616591743559</v>
      </c>
      <c r="K1818" s="2">
        <v>371.73908093991253</v>
      </c>
      <c r="L1818" s="2">
        <v>360.58690851171514</v>
      </c>
      <c r="M1818" s="2">
        <v>349.76930125636369</v>
      </c>
      <c r="N1818" s="2">
        <v>339.27622221867279</v>
      </c>
      <c r="O1818" s="2">
        <v>329.09793555211257</v>
      </c>
    </row>
    <row r="1819" spans="1:15" x14ac:dyDescent="0.25">
      <c r="A1819" t="s">
        <v>4586</v>
      </c>
      <c r="B1819" t="s">
        <v>4587</v>
      </c>
      <c r="C1819" s="2">
        <v>474.3122560000001</v>
      </c>
      <c r="D1819" s="2">
        <v>460.08288832000011</v>
      </c>
      <c r="E1819" s="2">
        <v>446.28040167040007</v>
      </c>
      <c r="F1819" s="2">
        <v>432.89198962028803</v>
      </c>
      <c r="G1819" s="2">
        <v>419.9052299316794</v>
      </c>
      <c r="H1819" s="2">
        <v>407.30807303372899</v>
      </c>
      <c r="I1819" s="2">
        <v>395.08883084271713</v>
      </c>
      <c r="J1819" s="2">
        <v>383.23616591743559</v>
      </c>
      <c r="K1819" s="2">
        <v>371.73908093991253</v>
      </c>
      <c r="L1819" s="2">
        <v>360.58690851171514</v>
      </c>
      <c r="M1819" s="2">
        <v>349.76930125636369</v>
      </c>
      <c r="N1819" s="2">
        <v>339.27622221867279</v>
      </c>
      <c r="O1819" s="2">
        <v>329.09793555211257</v>
      </c>
    </row>
    <row r="1820" spans="1:15" x14ac:dyDescent="0.25">
      <c r="A1820" t="s">
        <v>4588</v>
      </c>
      <c r="B1820" t="s">
        <v>4589</v>
      </c>
      <c r="C1820" s="2">
        <v>474.3122560000001</v>
      </c>
      <c r="D1820" s="2">
        <v>460.08288832000011</v>
      </c>
      <c r="E1820" s="2">
        <v>446.28040167040007</v>
      </c>
      <c r="F1820" s="2">
        <v>432.89198962028803</v>
      </c>
      <c r="G1820" s="2">
        <v>419.9052299316794</v>
      </c>
      <c r="H1820" s="2">
        <v>407.30807303372899</v>
      </c>
      <c r="I1820" s="2">
        <v>395.08883084271713</v>
      </c>
      <c r="J1820" s="2">
        <v>383.23616591743559</v>
      </c>
      <c r="K1820" s="2">
        <v>371.73908093991253</v>
      </c>
      <c r="L1820" s="2">
        <v>360.58690851171514</v>
      </c>
      <c r="M1820" s="2">
        <v>349.76930125636369</v>
      </c>
      <c r="N1820" s="2">
        <v>339.27622221867279</v>
      </c>
      <c r="O1820" s="2">
        <v>329.09793555211257</v>
      </c>
    </row>
    <row r="1821" spans="1:15" x14ac:dyDescent="0.25">
      <c r="A1821" t="s">
        <v>4590</v>
      </c>
      <c r="B1821" t="s">
        <v>4591</v>
      </c>
      <c r="C1821" s="2">
        <v>462.07363399999997</v>
      </c>
      <c r="D1821" s="2">
        <v>448.21142497999995</v>
      </c>
      <c r="E1821" s="2">
        <v>434.76508223059994</v>
      </c>
      <c r="F1821" s="2">
        <v>421.72212976368195</v>
      </c>
      <c r="G1821" s="2">
        <v>409.0704658707715</v>
      </c>
      <c r="H1821" s="2">
        <v>396.79835189464836</v>
      </c>
      <c r="I1821" s="2">
        <v>384.89440133780892</v>
      </c>
      <c r="J1821" s="2">
        <v>373.34756929767462</v>
      </c>
      <c r="K1821" s="2">
        <v>362.14714221874436</v>
      </c>
      <c r="L1821" s="2">
        <v>351.28272795218203</v>
      </c>
      <c r="M1821" s="2">
        <v>340.74424611361655</v>
      </c>
      <c r="N1821" s="2">
        <v>330.52191873020803</v>
      </c>
      <c r="O1821" s="2">
        <v>320.60626116830178</v>
      </c>
    </row>
    <row r="1822" spans="1:15" x14ac:dyDescent="0.25">
      <c r="A1822" t="s">
        <v>4592</v>
      </c>
      <c r="B1822" t="s">
        <v>4593</v>
      </c>
      <c r="C1822" s="2">
        <v>455.88576000000012</v>
      </c>
      <c r="D1822" s="2">
        <v>442.20918720000009</v>
      </c>
      <c r="E1822" s="2">
        <v>428.94291158400006</v>
      </c>
      <c r="F1822" s="2">
        <v>416.07462423648002</v>
      </c>
      <c r="G1822" s="2">
        <v>403.59238550938562</v>
      </c>
      <c r="H1822" s="2">
        <v>391.48461394410407</v>
      </c>
      <c r="I1822" s="2">
        <v>379.74007552578092</v>
      </c>
      <c r="J1822" s="2">
        <v>368.34787326000747</v>
      </c>
      <c r="K1822" s="2">
        <v>357.29743706220722</v>
      </c>
      <c r="L1822" s="2">
        <v>346.57851395034101</v>
      </c>
      <c r="M1822" s="2">
        <v>336.18115853183076</v>
      </c>
      <c r="N1822" s="2">
        <v>326.09572377587585</v>
      </c>
      <c r="O1822" s="2">
        <v>316.31285206259957</v>
      </c>
    </row>
    <row r="1823" spans="1:15" x14ac:dyDescent="0.25">
      <c r="A1823" t="s">
        <v>4594</v>
      </c>
      <c r="B1823" t="s">
        <v>4593</v>
      </c>
      <c r="C1823" s="2">
        <v>455.88576000000012</v>
      </c>
      <c r="D1823" s="2">
        <v>442.20918720000009</v>
      </c>
      <c r="E1823" s="2">
        <v>428.94291158400006</v>
      </c>
      <c r="F1823" s="2">
        <v>416.07462423648002</v>
      </c>
      <c r="G1823" s="2">
        <v>403.59238550938562</v>
      </c>
      <c r="H1823" s="2">
        <v>391.48461394410407</v>
      </c>
      <c r="I1823" s="2">
        <v>379.74007552578092</v>
      </c>
      <c r="J1823" s="2">
        <v>368.34787326000747</v>
      </c>
      <c r="K1823" s="2">
        <v>357.29743706220722</v>
      </c>
      <c r="L1823" s="2">
        <v>346.57851395034101</v>
      </c>
      <c r="M1823" s="2">
        <v>336.18115853183076</v>
      </c>
      <c r="N1823" s="2">
        <v>326.09572377587585</v>
      </c>
      <c r="O1823" s="2">
        <v>316.31285206259957</v>
      </c>
    </row>
    <row r="1824" spans="1:15" x14ac:dyDescent="0.25">
      <c r="A1824" t="s">
        <v>4595</v>
      </c>
      <c r="B1824" t="s">
        <v>4593</v>
      </c>
      <c r="C1824" s="2">
        <v>455.88576000000012</v>
      </c>
      <c r="D1824" s="2">
        <v>442.20918720000009</v>
      </c>
      <c r="E1824" s="2">
        <v>428.94291158400006</v>
      </c>
      <c r="F1824" s="2">
        <v>416.07462423648002</v>
      </c>
      <c r="G1824" s="2">
        <v>403.59238550938562</v>
      </c>
      <c r="H1824" s="2">
        <v>391.48461394410407</v>
      </c>
      <c r="I1824" s="2">
        <v>379.74007552578092</v>
      </c>
      <c r="J1824" s="2">
        <v>368.34787326000747</v>
      </c>
      <c r="K1824" s="2">
        <v>357.29743706220722</v>
      </c>
      <c r="L1824" s="2">
        <v>346.57851395034101</v>
      </c>
      <c r="M1824" s="2">
        <v>336.18115853183076</v>
      </c>
      <c r="N1824" s="2">
        <v>326.09572377587585</v>
      </c>
      <c r="O1824" s="2">
        <v>316.31285206259957</v>
      </c>
    </row>
    <row r="1825" spans="1:15" x14ac:dyDescent="0.25">
      <c r="A1825" t="s">
        <v>4596</v>
      </c>
      <c r="B1825" t="s">
        <v>4597</v>
      </c>
      <c r="C1825" s="2">
        <v>455.88576000000012</v>
      </c>
      <c r="D1825" s="2">
        <v>442.20918720000009</v>
      </c>
      <c r="E1825" s="2">
        <v>428.94291158400006</v>
      </c>
      <c r="F1825" s="2">
        <v>416.07462423648002</v>
      </c>
      <c r="G1825" s="2">
        <v>403.59238550938562</v>
      </c>
      <c r="H1825" s="2">
        <v>391.48461394410407</v>
      </c>
      <c r="I1825" s="2">
        <v>379.74007552578092</v>
      </c>
      <c r="J1825" s="2">
        <v>368.34787326000747</v>
      </c>
      <c r="K1825" s="2">
        <v>357.29743706220722</v>
      </c>
      <c r="L1825" s="2">
        <v>346.57851395034101</v>
      </c>
      <c r="M1825" s="2">
        <v>336.18115853183076</v>
      </c>
      <c r="N1825" s="2">
        <v>326.09572377587585</v>
      </c>
      <c r="O1825" s="2">
        <v>316.31285206259957</v>
      </c>
    </row>
    <row r="1826" spans="1:15" x14ac:dyDescent="0.25">
      <c r="A1826" t="s">
        <v>4598</v>
      </c>
      <c r="B1826" t="s">
        <v>4599</v>
      </c>
      <c r="C1826" s="2">
        <v>455.88576000000012</v>
      </c>
      <c r="D1826" s="2">
        <v>442.20918720000009</v>
      </c>
      <c r="E1826" s="2">
        <v>428.94291158400006</v>
      </c>
      <c r="F1826" s="2">
        <v>416.07462423648002</v>
      </c>
      <c r="G1826" s="2">
        <v>403.59238550938562</v>
      </c>
      <c r="H1826" s="2">
        <v>391.48461394410407</v>
      </c>
      <c r="I1826" s="2">
        <v>379.74007552578092</v>
      </c>
      <c r="J1826" s="2">
        <v>368.34787326000747</v>
      </c>
      <c r="K1826" s="2">
        <v>357.29743706220722</v>
      </c>
      <c r="L1826" s="2">
        <v>346.57851395034101</v>
      </c>
      <c r="M1826" s="2">
        <v>336.18115853183076</v>
      </c>
      <c r="N1826" s="2">
        <v>326.09572377587585</v>
      </c>
      <c r="O1826" s="2">
        <v>316.31285206259957</v>
      </c>
    </row>
    <row r="1827" spans="1:15" x14ac:dyDescent="0.25">
      <c r="A1827" t="s">
        <v>4600</v>
      </c>
      <c r="B1827" t="s">
        <v>4601</v>
      </c>
      <c r="C1827" s="2">
        <v>446.598636</v>
      </c>
      <c r="D1827" s="2">
        <v>433.20067691999998</v>
      </c>
      <c r="E1827" s="2">
        <v>420.20465661239996</v>
      </c>
      <c r="F1827" s="2">
        <v>407.59851691402793</v>
      </c>
      <c r="G1827" s="2">
        <v>395.37056140660707</v>
      </c>
      <c r="H1827" s="2">
        <v>383.50944456440885</v>
      </c>
      <c r="I1827" s="2">
        <v>372.00416122747657</v>
      </c>
      <c r="J1827" s="2">
        <v>360.84403639065226</v>
      </c>
      <c r="K1827" s="2">
        <v>350.0187152989327</v>
      </c>
      <c r="L1827" s="2">
        <v>339.51815383996473</v>
      </c>
      <c r="M1827" s="2">
        <v>329.33260922476575</v>
      </c>
      <c r="N1827" s="2">
        <v>319.45263094802277</v>
      </c>
      <c r="O1827" s="2">
        <v>309.86905201958206</v>
      </c>
    </row>
    <row r="1828" spans="1:15" x14ac:dyDescent="0.25">
      <c r="A1828" t="s">
        <v>4602</v>
      </c>
      <c r="B1828" t="s">
        <v>4601</v>
      </c>
      <c r="C1828" s="2">
        <v>446.598636</v>
      </c>
      <c r="D1828" s="2">
        <v>433.20067691999998</v>
      </c>
      <c r="E1828" s="2">
        <v>420.20465661239996</v>
      </c>
      <c r="F1828" s="2">
        <v>407.59851691402793</v>
      </c>
      <c r="G1828" s="2">
        <v>395.37056140660707</v>
      </c>
      <c r="H1828" s="2">
        <v>383.50944456440885</v>
      </c>
      <c r="I1828" s="2">
        <v>372.00416122747657</v>
      </c>
      <c r="J1828" s="2">
        <v>360.84403639065226</v>
      </c>
      <c r="K1828" s="2">
        <v>350.0187152989327</v>
      </c>
      <c r="L1828" s="2">
        <v>339.51815383996473</v>
      </c>
      <c r="M1828" s="2">
        <v>329.33260922476575</v>
      </c>
      <c r="N1828" s="2">
        <v>319.45263094802277</v>
      </c>
      <c r="O1828" s="2">
        <v>309.86905201958206</v>
      </c>
    </row>
    <row r="1829" spans="1:15" x14ac:dyDescent="0.25">
      <c r="A1829" t="s">
        <v>4603</v>
      </c>
      <c r="B1829" t="s">
        <v>4601</v>
      </c>
      <c r="C1829" s="2">
        <v>446.598636</v>
      </c>
      <c r="D1829" s="2">
        <v>433.20067691999998</v>
      </c>
      <c r="E1829" s="2">
        <v>420.20465661239996</v>
      </c>
      <c r="F1829" s="2">
        <v>407.59851691402793</v>
      </c>
      <c r="G1829" s="2">
        <v>395.37056140660707</v>
      </c>
      <c r="H1829" s="2">
        <v>383.50944456440885</v>
      </c>
      <c r="I1829" s="2">
        <v>372.00416122747657</v>
      </c>
      <c r="J1829" s="2">
        <v>360.84403639065226</v>
      </c>
      <c r="K1829" s="2">
        <v>350.0187152989327</v>
      </c>
      <c r="L1829" s="2">
        <v>339.51815383996473</v>
      </c>
      <c r="M1829" s="2">
        <v>329.33260922476575</v>
      </c>
      <c r="N1829" s="2">
        <v>319.45263094802277</v>
      </c>
      <c r="O1829" s="2">
        <v>309.86905201958206</v>
      </c>
    </row>
    <row r="1830" spans="1:15" x14ac:dyDescent="0.25">
      <c r="A1830" t="s">
        <v>4604</v>
      </c>
      <c r="B1830" t="s">
        <v>4605</v>
      </c>
      <c r="C1830" s="2">
        <v>444.81802200000004</v>
      </c>
      <c r="D1830" s="2">
        <v>431.47348134000003</v>
      </c>
      <c r="E1830" s="2">
        <v>418.52927689980004</v>
      </c>
      <c r="F1830" s="2">
        <v>405.97339859280601</v>
      </c>
      <c r="G1830" s="2">
        <v>393.79419663502182</v>
      </c>
      <c r="H1830" s="2">
        <v>381.98037073597118</v>
      </c>
      <c r="I1830" s="2">
        <v>370.52095961389205</v>
      </c>
      <c r="J1830" s="2">
        <v>359.40533082547529</v>
      </c>
      <c r="K1830" s="2">
        <v>348.62317090071105</v>
      </c>
      <c r="L1830" s="2">
        <v>338.16447577368973</v>
      </c>
      <c r="M1830" s="2">
        <v>328.01954150047902</v>
      </c>
      <c r="N1830" s="2">
        <v>318.17895525546464</v>
      </c>
      <c r="O1830" s="2">
        <v>308.63358659780067</v>
      </c>
    </row>
    <row r="1831" spans="1:15" x14ac:dyDescent="0.25">
      <c r="A1831" t="s">
        <v>4606</v>
      </c>
      <c r="B1831" t="s">
        <v>4605</v>
      </c>
      <c r="C1831" s="2">
        <v>444.81802200000004</v>
      </c>
      <c r="D1831" s="2">
        <v>431.47348134000003</v>
      </c>
      <c r="E1831" s="2">
        <v>418.52927689980004</v>
      </c>
      <c r="F1831" s="2">
        <v>405.97339859280601</v>
      </c>
      <c r="G1831" s="2">
        <v>393.79419663502182</v>
      </c>
      <c r="H1831" s="2">
        <v>381.98037073597118</v>
      </c>
      <c r="I1831" s="2">
        <v>370.52095961389205</v>
      </c>
      <c r="J1831" s="2">
        <v>359.40533082547529</v>
      </c>
      <c r="K1831" s="2">
        <v>348.62317090071105</v>
      </c>
      <c r="L1831" s="2">
        <v>338.16447577368973</v>
      </c>
      <c r="M1831" s="2">
        <v>328.01954150047902</v>
      </c>
      <c r="N1831" s="2">
        <v>318.17895525546464</v>
      </c>
      <c r="O1831" s="2">
        <v>308.63358659780067</v>
      </c>
    </row>
    <row r="1832" spans="1:15" x14ac:dyDescent="0.25">
      <c r="A1832" t="s">
        <v>4607</v>
      </c>
      <c r="B1832" t="s">
        <v>4605</v>
      </c>
      <c r="C1832" s="2">
        <v>444.81802200000004</v>
      </c>
      <c r="D1832" s="2">
        <v>431.47348134000003</v>
      </c>
      <c r="E1832" s="2">
        <v>418.52927689980004</v>
      </c>
      <c r="F1832" s="2">
        <v>405.97339859280601</v>
      </c>
      <c r="G1832" s="2">
        <v>393.79419663502182</v>
      </c>
      <c r="H1832" s="2">
        <v>381.98037073597118</v>
      </c>
      <c r="I1832" s="2">
        <v>370.52095961389205</v>
      </c>
      <c r="J1832" s="2">
        <v>359.40533082547529</v>
      </c>
      <c r="K1832" s="2">
        <v>348.62317090071105</v>
      </c>
      <c r="L1832" s="2">
        <v>338.16447577368973</v>
      </c>
      <c r="M1832" s="2">
        <v>328.01954150047902</v>
      </c>
      <c r="N1832" s="2">
        <v>318.17895525546464</v>
      </c>
      <c r="O1832" s="2">
        <v>308.63358659780067</v>
      </c>
    </row>
    <row r="1833" spans="1:15" x14ac:dyDescent="0.25">
      <c r="A1833" t="s">
        <v>4608</v>
      </c>
      <c r="B1833" t="s">
        <v>4609</v>
      </c>
      <c r="C1833" s="2">
        <v>420.044262</v>
      </c>
      <c r="D1833" s="2">
        <v>407.44293413999998</v>
      </c>
      <c r="E1833" s="2">
        <v>395.21964611579995</v>
      </c>
      <c r="F1833" s="2">
        <v>383.36305673232596</v>
      </c>
      <c r="G1833" s="2">
        <v>371.86216503035615</v>
      </c>
      <c r="H1833" s="2">
        <v>360.70630007944544</v>
      </c>
      <c r="I1833" s="2">
        <v>349.88511107706205</v>
      </c>
      <c r="J1833" s="2">
        <v>339.38855774475019</v>
      </c>
      <c r="K1833" s="2">
        <v>329.20690101240768</v>
      </c>
      <c r="L1833" s="2">
        <v>319.33069398203543</v>
      </c>
      <c r="M1833" s="2">
        <v>309.75077316257438</v>
      </c>
      <c r="N1833" s="2">
        <v>300.45824996769716</v>
      </c>
      <c r="O1833" s="2">
        <v>291.44450246866626</v>
      </c>
    </row>
    <row r="1834" spans="1:15" x14ac:dyDescent="0.25">
      <c r="A1834" t="s">
        <v>4610</v>
      </c>
      <c r="B1834" t="s">
        <v>4609</v>
      </c>
      <c r="C1834" s="2">
        <v>420.044262</v>
      </c>
      <c r="D1834" s="2">
        <v>407.44293413999998</v>
      </c>
      <c r="E1834" s="2">
        <v>395.21964611579995</v>
      </c>
      <c r="F1834" s="2">
        <v>383.36305673232596</v>
      </c>
      <c r="G1834" s="2">
        <v>371.86216503035615</v>
      </c>
      <c r="H1834" s="2">
        <v>360.70630007944544</v>
      </c>
      <c r="I1834" s="2">
        <v>349.88511107706205</v>
      </c>
      <c r="J1834" s="2">
        <v>339.38855774475019</v>
      </c>
      <c r="K1834" s="2">
        <v>329.20690101240768</v>
      </c>
      <c r="L1834" s="2">
        <v>319.33069398203543</v>
      </c>
      <c r="M1834" s="2">
        <v>309.75077316257438</v>
      </c>
      <c r="N1834" s="2">
        <v>300.45824996769716</v>
      </c>
      <c r="O1834" s="2">
        <v>291.44450246866626</v>
      </c>
    </row>
    <row r="1835" spans="1:15" x14ac:dyDescent="0.25">
      <c r="A1835" t="s">
        <v>4611</v>
      </c>
      <c r="B1835" t="s">
        <v>4609</v>
      </c>
      <c r="C1835" s="2">
        <v>420.044262</v>
      </c>
      <c r="D1835" s="2">
        <v>407.44293413999998</v>
      </c>
      <c r="E1835" s="2">
        <v>395.21964611579995</v>
      </c>
      <c r="F1835" s="2">
        <v>383.36305673232596</v>
      </c>
      <c r="G1835" s="2">
        <v>371.86216503035615</v>
      </c>
      <c r="H1835" s="2">
        <v>360.70630007944544</v>
      </c>
      <c r="I1835" s="2">
        <v>349.88511107706205</v>
      </c>
      <c r="J1835" s="2">
        <v>339.38855774475019</v>
      </c>
      <c r="K1835" s="2">
        <v>329.20690101240768</v>
      </c>
      <c r="L1835" s="2">
        <v>319.33069398203543</v>
      </c>
      <c r="M1835" s="2">
        <v>309.75077316257438</v>
      </c>
      <c r="N1835" s="2">
        <v>300.45824996769716</v>
      </c>
      <c r="O1835" s="2">
        <v>291.44450246866626</v>
      </c>
    </row>
    <row r="1836" spans="1:15" x14ac:dyDescent="0.25">
      <c r="A1836" t="s">
        <v>4612</v>
      </c>
      <c r="B1836" t="s">
        <v>4613</v>
      </c>
      <c r="C1836" s="2">
        <v>417.57548800000012</v>
      </c>
      <c r="D1836" s="2">
        <v>405.04822336000012</v>
      </c>
      <c r="E1836" s="2">
        <v>392.8967766592001</v>
      </c>
      <c r="F1836" s="2">
        <v>381.10987335942411</v>
      </c>
      <c r="G1836" s="2">
        <v>369.67657715864141</v>
      </c>
      <c r="H1836" s="2">
        <v>358.58627984388215</v>
      </c>
      <c r="I1836" s="2">
        <v>347.82869144856568</v>
      </c>
      <c r="J1836" s="2">
        <v>337.39383070510871</v>
      </c>
      <c r="K1836" s="2">
        <v>327.27201578395545</v>
      </c>
      <c r="L1836" s="2">
        <v>317.45385531043678</v>
      </c>
      <c r="M1836" s="2">
        <v>307.93023965112366</v>
      </c>
      <c r="N1836" s="2">
        <v>298.69233246158996</v>
      </c>
      <c r="O1836" s="2">
        <v>289.73156248774222</v>
      </c>
    </row>
    <row r="1837" spans="1:15" x14ac:dyDescent="0.25">
      <c r="A1837" t="s">
        <v>4614</v>
      </c>
      <c r="B1837" t="s">
        <v>4615</v>
      </c>
      <c r="C1837" s="2">
        <v>399.14089600000005</v>
      </c>
      <c r="D1837" s="2">
        <v>387.16666912000005</v>
      </c>
      <c r="E1837" s="2">
        <v>375.55166904640004</v>
      </c>
      <c r="F1837" s="2">
        <v>364.285118975008</v>
      </c>
      <c r="G1837" s="2">
        <v>353.35656540575775</v>
      </c>
      <c r="H1837" s="2">
        <v>342.75586844358503</v>
      </c>
      <c r="I1837" s="2">
        <v>332.47319239027746</v>
      </c>
      <c r="J1837" s="2">
        <v>322.49899661856915</v>
      </c>
      <c r="K1837" s="2">
        <v>312.82402672001206</v>
      </c>
      <c r="L1837" s="2">
        <v>303.43930591841166</v>
      </c>
      <c r="M1837" s="2">
        <v>294.3361267408593</v>
      </c>
      <c r="N1837" s="2">
        <v>285.50604293863353</v>
      </c>
      <c r="O1837" s="2">
        <v>276.94086165047452</v>
      </c>
    </row>
    <row r="1838" spans="1:15" x14ac:dyDescent="0.25">
      <c r="A1838" t="s">
        <v>4616</v>
      </c>
      <c r="B1838" t="s">
        <v>4617</v>
      </c>
      <c r="C1838" s="2">
        <v>390.21252600000003</v>
      </c>
      <c r="D1838" s="2">
        <v>378.50615021999999</v>
      </c>
      <c r="E1838" s="2">
        <v>367.15096571340001</v>
      </c>
      <c r="F1838" s="2">
        <v>356.13643674199801</v>
      </c>
      <c r="G1838" s="2">
        <v>345.45234363973805</v>
      </c>
      <c r="H1838" s="2">
        <v>335.08877333054591</v>
      </c>
      <c r="I1838" s="2">
        <v>325.03611013062954</v>
      </c>
      <c r="J1838" s="2">
        <v>315.28502682671063</v>
      </c>
      <c r="K1838" s="2">
        <v>305.82647602190929</v>
      </c>
      <c r="L1838" s="2">
        <v>296.65168174125199</v>
      </c>
      <c r="M1838" s="2">
        <v>287.75213128901441</v>
      </c>
      <c r="N1838" s="2">
        <v>279.11956735034397</v>
      </c>
      <c r="O1838" s="2">
        <v>270.74598032983363</v>
      </c>
    </row>
    <row r="1839" spans="1:15" x14ac:dyDescent="0.25">
      <c r="A1839" t="s">
        <v>4618</v>
      </c>
      <c r="B1839" t="s">
        <v>4619</v>
      </c>
      <c r="C1839" s="2">
        <v>390.006078</v>
      </c>
      <c r="D1839" s="2">
        <v>378.30589565999998</v>
      </c>
      <c r="E1839" s="2">
        <v>366.95671879019994</v>
      </c>
      <c r="F1839" s="2">
        <v>355.94801722649396</v>
      </c>
      <c r="G1839" s="2">
        <v>345.26957670969915</v>
      </c>
      <c r="H1839" s="2">
        <v>334.91148940840816</v>
      </c>
      <c r="I1839" s="2">
        <v>324.86414472615593</v>
      </c>
      <c r="J1839" s="2">
        <v>315.11822038437123</v>
      </c>
      <c r="K1839" s="2">
        <v>305.6646737728401</v>
      </c>
      <c r="L1839" s="2">
        <v>296.49473355965489</v>
      </c>
      <c r="M1839" s="2">
        <v>287.59989155286524</v>
      </c>
      <c r="N1839" s="2">
        <v>278.97189480627929</v>
      </c>
      <c r="O1839" s="2">
        <v>270.60273796209088</v>
      </c>
    </row>
    <row r="1840" spans="1:15" x14ac:dyDescent="0.25">
      <c r="A1840" t="s">
        <v>4620</v>
      </c>
      <c r="B1840" t="s">
        <v>4621</v>
      </c>
      <c r="C1840" s="2">
        <v>371.8978560000001</v>
      </c>
      <c r="D1840" s="2">
        <v>360.7409203200001</v>
      </c>
      <c r="E1840" s="2">
        <v>349.91869271040008</v>
      </c>
      <c r="F1840" s="2">
        <v>339.42113192908806</v>
      </c>
      <c r="G1840" s="2">
        <v>329.23849797121539</v>
      </c>
      <c r="H1840" s="2">
        <v>319.36134303207893</v>
      </c>
      <c r="I1840" s="2">
        <v>309.78050274111655</v>
      </c>
      <c r="J1840" s="2">
        <v>300.48708765888307</v>
      </c>
      <c r="K1840" s="2">
        <v>291.47247502911659</v>
      </c>
      <c r="L1840" s="2">
        <v>282.72830077824307</v>
      </c>
      <c r="M1840" s="2">
        <v>274.24645175489576</v>
      </c>
      <c r="N1840" s="2">
        <v>266.01905820224886</v>
      </c>
      <c r="O1840" s="2">
        <v>258.03848645618137</v>
      </c>
    </row>
    <row r="1841" spans="1:15" x14ac:dyDescent="0.25">
      <c r="A1841" t="s">
        <v>4622</v>
      </c>
      <c r="B1841" t="s">
        <v>4623</v>
      </c>
      <c r="C1841" s="2">
        <v>364.89684000000005</v>
      </c>
      <c r="D1841" s="2">
        <v>353.94993480000005</v>
      </c>
      <c r="E1841" s="2">
        <v>343.33143675600002</v>
      </c>
      <c r="F1841" s="2">
        <v>333.03149365332001</v>
      </c>
      <c r="G1841" s="2">
        <v>323.04054884372039</v>
      </c>
      <c r="H1841" s="2">
        <v>313.34933237840875</v>
      </c>
      <c r="I1841" s="2">
        <v>303.94885240705645</v>
      </c>
      <c r="J1841" s="2">
        <v>294.83038683484477</v>
      </c>
      <c r="K1841" s="2">
        <v>285.98547522979942</v>
      </c>
      <c r="L1841" s="2">
        <v>277.40591097290542</v>
      </c>
      <c r="M1841" s="2">
        <v>269.08373364371823</v>
      </c>
      <c r="N1841" s="2">
        <v>261.0112216344067</v>
      </c>
      <c r="O1841" s="2">
        <v>253.18088498537449</v>
      </c>
    </row>
    <row r="1842" spans="1:15" x14ac:dyDescent="0.25">
      <c r="A1842" t="s">
        <v>4624</v>
      </c>
      <c r="B1842" t="s">
        <v>4625</v>
      </c>
      <c r="C1842" s="2">
        <v>360.91411400000004</v>
      </c>
      <c r="D1842" s="2">
        <v>350.08669058000004</v>
      </c>
      <c r="E1842" s="2">
        <v>339.58408986260002</v>
      </c>
      <c r="F1842" s="2">
        <v>329.39656716672204</v>
      </c>
      <c r="G1842" s="2">
        <v>319.51467015172034</v>
      </c>
      <c r="H1842" s="2">
        <v>309.92923004716874</v>
      </c>
      <c r="I1842" s="2">
        <v>300.63135314575368</v>
      </c>
      <c r="J1842" s="2">
        <v>291.61241255138106</v>
      </c>
      <c r="K1842" s="2">
        <v>282.8640401748396</v>
      </c>
      <c r="L1842" s="2">
        <v>274.37811896959442</v>
      </c>
      <c r="M1842" s="2">
        <v>266.14677540050661</v>
      </c>
      <c r="N1842" s="2">
        <v>258.16237213849143</v>
      </c>
      <c r="O1842" s="2">
        <v>250.41750097433669</v>
      </c>
    </row>
    <row r="1843" spans="1:15" x14ac:dyDescent="0.25">
      <c r="A1843" t="s">
        <v>4626</v>
      </c>
      <c r="B1843" t="s">
        <v>4627</v>
      </c>
      <c r="C1843" s="2">
        <v>347.71004399999998</v>
      </c>
      <c r="D1843" s="2">
        <v>337.27874267999999</v>
      </c>
      <c r="E1843" s="2">
        <v>327.1603803996</v>
      </c>
      <c r="F1843" s="2">
        <v>317.34556898761201</v>
      </c>
      <c r="G1843" s="2">
        <v>307.82520191798363</v>
      </c>
      <c r="H1843" s="2">
        <v>298.59044586044411</v>
      </c>
      <c r="I1843" s="2">
        <v>289.63273248463076</v>
      </c>
      <c r="J1843" s="2">
        <v>280.94375051009183</v>
      </c>
      <c r="K1843" s="2">
        <v>272.51543799478907</v>
      </c>
      <c r="L1843" s="2">
        <v>264.33997485494541</v>
      </c>
      <c r="M1843" s="2">
        <v>256.40977560929701</v>
      </c>
      <c r="N1843" s="2">
        <v>248.7174823410181</v>
      </c>
      <c r="O1843" s="2">
        <v>241.25595787078754</v>
      </c>
    </row>
    <row r="1844" spans="1:15" x14ac:dyDescent="0.25">
      <c r="A1844" t="s">
        <v>4628</v>
      </c>
      <c r="B1844" t="s">
        <v>4629</v>
      </c>
      <c r="C1844" s="2">
        <v>330.38561599999997</v>
      </c>
      <c r="D1844" s="2">
        <v>320.47404751999994</v>
      </c>
      <c r="E1844" s="2">
        <v>310.85982609439992</v>
      </c>
      <c r="F1844" s="2">
        <v>301.5340313115679</v>
      </c>
      <c r="G1844" s="2">
        <v>292.48801037222086</v>
      </c>
      <c r="H1844" s="2">
        <v>283.71337006105421</v>
      </c>
      <c r="I1844" s="2">
        <v>275.2019689592226</v>
      </c>
      <c r="J1844" s="2">
        <v>266.94590989044593</v>
      </c>
      <c r="K1844" s="2">
        <v>258.93753259373256</v>
      </c>
      <c r="L1844" s="2">
        <v>251.16940661592056</v>
      </c>
      <c r="M1844" s="2">
        <v>243.63432441744294</v>
      </c>
      <c r="N1844" s="2">
        <v>236.32529468491964</v>
      </c>
      <c r="O1844" s="2">
        <v>229.23553584437204</v>
      </c>
    </row>
    <row r="1845" spans="1:15" x14ac:dyDescent="0.25">
      <c r="A1845" t="s">
        <v>4630</v>
      </c>
      <c r="B1845" t="s">
        <v>4631</v>
      </c>
      <c r="C1845" s="2">
        <v>314.23004800000007</v>
      </c>
      <c r="D1845" s="2">
        <v>304.80314656000007</v>
      </c>
      <c r="E1845" s="2">
        <v>295.65905216320004</v>
      </c>
      <c r="F1845" s="2">
        <v>286.78928059830406</v>
      </c>
      <c r="G1845" s="2">
        <v>278.18560218035492</v>
      </c>
      <c r="H1845" s="2">
        <v>269.84003411494427</v>
      </c>
      <c r="I1845" s="2">
        <v>261.74483309149593</v>
      </c>
      <c r="J1845" s="2">
        <v>253.89248809875104</v>
      </c>
      <c r="K1845" s="2">
        <v>246.27571345578852</v>
      </c>
      <c r="L1845" s="2">
        <v>238.88744205211486</v>
      </c>
      <c r="M1845" s="2">
        <v>231.72081879055142</v>
      </c>
      <c r="N1845" s="2">
        <v>224.76919422683488</v>
      </c>
      <c r="O1845" s="2">
        <v>218.02611840002984</v>
      </c>
    </row>
    <row r="1846" spans="1:15" x14ac:dyDescent="0.25">
      <c r="A1846" t="s">
        <v>4632</v>
      </c>
      <c r="B1846" t="s">
        <v>4633</v>
      </c>
      <c r="C1846" s="2">
        <v>287.47023799999999</v>
      </c>
      <c r="D1846" s="2">
        <v>278.84613085999996</v>
      </c>
      <c r="E1846" s="2">
        <v>270.48074693419994</v>
      </c>
      <c r="F1846" s="2">
        <v>262.36632452617391</v>
      </c>
      <c r="G1846" s="2">
        <v>254.49533479038868</v>
      </c>
      <c r="H1846" s="2">
        <v>246.86047474667703</v>
      </c>
      <c r="I1846" s="2">
        <v>239.45466050427672</v>
      </c>
      <c r="J1846" s="2">
        <v>232.2710206891484</v>
      </c>
      <c r="K1846" s="2">
        <v>225.30289006847394</v>
      </c>
      <c r="L1846" s="2">
        <v>218.54380336641972</v>
      </c>
      <c r="M1846" s="2">
        <v>211.98748926542712</v>
      </c>
      <c r="N1846" s="2">
        <v>205.6278645874643</v>
      </c>
      <c r="O1846" s="2">
        <v>199.45902864984038</v>
      </c>
    </row>
    <row r="1847" spans="1:15" x14ac:dyDescent="0.25">
      <c r="A1847" t="s">
        <v>4634</v>
      </c>
      <c r="B1847" t="s">
        <v>4635</v>
      </c>
      <c r="C1847" s="2">
        <v>273.09629600000005</v>
      </c>
      <c r="D1847" s="2">
        <v>264.90340712000005</v>
      </c>
      <c r="E1847" s="2">
        <v>256.95630490640002</v>
      </c>
      <c r="F1847" s="2">
        <v>249.247615759208</v>
      </c>
      <c r="G1847" s="2">
        <v>241.77018728643176</v>
      </c>
      <c r="H1847" s="2">
        <v>234.5170816678388</v>
      </c>
      <c r="I1847" s="2">
        <v>227.48156921780364</v>
      </c>
      <c r="J1847" s="2">
        <v>220.65712214126953</v>
      </c>
      <c r="K1847" s="2">
        <v>214.03740847703142</v>
      </c>
      <c r="L1847" s="2">
        <v>207.61628622272048</v>
      </c>
      <c r="M1847" s="2">
        <v>201.38779763603887</v>
      </c>
      <c r="N1847" s="2">
        <v>195.3461637069577</v>
      </c>
      <c r="O1847" s="2">
        <v>189.48577879574896</v>
      </c>
    </row>
    <row r="1848" spans="1:15" x14ac:dyDescent="0.25">
      <c r="A1848" t="s">
        <v>4636</v>
      </c>
      <c r="B1848" t="s">
        <v>4637</v>
      </c>
      <c r="C1848" s="2">
        <v>269.01034600000003</v>
      </c>
      <c r="D1848" s="2">
        <v>260.94003562</v>
      </c>
      <c r="E1848" s="2">
        <v>253.11183455139999</v>
      </c>
      <c r="F1848" s="2">
        <v>245.518479514858</v>
      </c>
      <c r="G1848" s="2">
        <v>238.15292512941227</v>
      </c>
      <c r="H1848" s="2">
        <v>231.00833737552989</v>
      </c>
      <c r="I1848" s="2">
        <v>224.07808725426398</v>
      </c>
      <c r="J1848" s="2">
        <v>217.35574463663605</v>
      </c>
      <c r="K1848" s="2">
        <v>210.83507229753695</v>
      </c>
      <c r="L1848" s="2">
        <v>204.51002012861085</v>
      </c>
      <c r="M1848" s="2">
        <v>198.37471952475252</v>
      </c>
      <c r="N1848" s="2">
        <v>192.42347793900993</v>
      </c>
      <c r="O1848" s="2">
        <v>186.65077360083961</v>
      </c>
    </row>
    <row r="1849" spans="1:15" x14ac:dyDescent="0.25">
      <c r="A1849" t="s">
        <v>4638</v>
      </c>
      <c r="B1849" t="s">
        <v>4639</v>
      </c>
      <c r="C1849" s="2">
        <v>253.74179600000002</v>
      </c>
      <c r="D1849" s="2">
        <v>246.12954212000002</v>
      </c>
      <c r="E1849" s="2">
        <v>238.74565585640002</v>
      </c>
      <c r="F1849" s="2">
        <v>231.583286180708</v>
      </c>
      <c r="G1849" s="2">
        <v>224.63578759528676</v>
      </c>
      <c r="H1849" s="2">
        <v>217.89671396742816</v>
      </c>
      <c r="I1849" s="2">
        <v>211.3598125484053</v>
      </c>
      <c r="J1849" s="2">
        <v>205.01901817195315</v>
      </c>
      <c r="K1849" s="2">
        <v>198.86844762679456</v>
      </c>
      <c r="L1849" s="2">
        <v>192.90239419799073</v>
      </c>
      <c r="M1849" s="2">
        <v>187.115322372051</v>
      </c>
      <c r="N1849" s="2">
        <v>181.50186270088946</v>
      </c>
      <c r="O1849" s="2">
        <v>176.05680681986277</v>
      </c>
    </row>
    <row r="1850" spans="1:15" x14ac:dyDescent="0.25">
      <c r="A1850" t="s">
        <v>4640</v>
      </c>
      <c r="B1850" t="s">
        <v>4641</v>
      </c>
      <c r="C1850" s="2">
        <v>245.32043800000002</v>
      </c>
      <c r="D1850" s="2">
        <v>237.96082486000003</v>
      </c>
      <c r="E1850" s="2">
        <v>230.82200011420002</v>
      </c>
      <c r="F1850" s="2">
        <v>223.89734011077402</v>
      </c>
      <c r="G1850" s="2">
        <v>217.18041990745081</v>
      </c>
      <c r="H1850" s="2">
        <v>210.66500731022728</v>
      </c>
      <c r="I1850" s="2">
        <v>204.34505709092045</v>
      </c>
      <c r="J1850" s="2">
        <v>198.21470537819283</v>
      </c>
      <c r="K1850" s="2">
        <v>192.26826421684703</v>
      </c>
      <c r="L1850" s="2">
        <v>186.50021629034163</v>
      </c>
      <c r="M1850" s="2">
        <v>180.90520980163137</v>
      </c>
      <c r="N1850" s="2">
        <v>175.47805350758242</v>
      </c>
      <c r="O1850" s="2">
        <v>170.21371190235493</v>
      </c>
    </row>
    <row r="1851" spans="1:15" x14ac:dyDescent="0.25">
      <c r="A1851" t="s">
        <v>4642</v>
      </c>
      <c r="B1851" t="s">
        <v>4643</v>
      </c>
      <c r="C1851" s="2">
        <v>240.70116400000001</v>
      </c>
      <c r="D1851" s="2">
        <v>233.48012908000001</v>
      </c>
      <c r="E1851" s="2">
        <v>226.47572520759999</v>
      </c>
      <c r="F1851" s="2">
        <v>219.68145345137199</v>
      </c>
      <c r="G1851" s="2">
        <v>213.09100984783083</v>
      </c>
      <c r="H1851" s="2">
        <v>206.69827955239589</v>
      </c>
      <c r="I1851" s="2">
        <v>200.49733116582399</v>
      </c>
      <c r="J1851" s="2">
        <v>194.48241123084927</v>
      </c>
      <c r="K1851" s="2">
        <v>188.64793889392379</v>
      </c>
      <c r="L1851" s="2">
        <v>182.98850072710607</v>
      </c>
      <c r="M1851" s="2">
        <v>177.49884570529289</v>
      </c>
      <c r="N1851" s="2">
        <v>172.17388033413411</v>
      </c>
      <c r="O1851" s="2">
        <v>167.0086639241101</v>
      </c>
    </row>
    <row r="1852" spans="1:15" x14ac:dyDescent="0.25">
      <c r="A1852" t="s">
        <v>4644</v>
      </c>
      <c r="B1852" t="s">
        <v>4645</v>
      </c>
      <c r="C1852" s="2">
        <v>230.153088</v>
      </c>
      <c r="D1852" s="2">
        <v>223.24849535999999</v>
      </c>
      <c r="E1852" s="2">
        <v>216.55104049919998</v>
      </c>
      <c r="F1852" s="2">
        <v>210.05450928422397</v>
      </c>
      <c r="G1852" s="2">
        <v>203.75287400569724</v>
      </c>
      <c r="H1852" s="2">
        <v>197.64028778552631</v>
      </c>
      <c r="I1852" s="2">
        <v>191.71107915196052</v>
      </c>
      <c r="J1852" s="2">
        <v>185.9597467774017</v>
      </c>
      <c r="K1852" s="2">
        <v>180.38095437407964</v>
      </c>
      <c r="L1852" s="2">
        <v>174.96952574285723</v>
      </c>
      <c r="M1852" s="2">
        <v>169.7204399705715</v>
      </c>
      <c r="N1852" s="2">
        <v>164.62882677145436</v>
      </c>
      <c r="O1852" s="2">
        <v>159.68996196831071</v>
      </c>
    </row>
    <row r="1853" spans="1:15" x14ac:dyDescent="0.25">
      <c r="A1853" t="s">
        <v>4646</v>
      </c>
      <c r="B1853" t="s">
        <v>4647</v>
      </c>
      <c r="C1853" s="2">
        <v>219.33683200000004</v>
      </c>
      <c r="D1853" s="2">
        <v>212.75672704000004</v>
      </c>
      <c r="E1853" s="2">
        <v>206.37402522880004</v>
      </c>
      <c r="F1853" s="2">
        <v>200.18280447193604</v>
      </c>
      <c r="G1853" s="2">
        <v>194.17732033777796</v>
      </c>
      <c r="H1853" s="2">
        <v>188.35200072764462</v>
      </c>
      <c r="I1853" s="2">
        <v>182.70144070581529</v>
      </c>
      <c r="J1853" s="2">
        <v>177.22039748464081</v>
      </c>
      <c r="K1853" s="2">
        <v>171.9037855601016</v>
      </c>
      <c r="L1853" s="2">
        <v>166.74667199329855</v>
      </c>
      <c r="M1853" s="2">
        <v>161.7442718334996</v>
      </c>
      <c r="N1853" s="2">
        <v>156.89194367849461</v>
      </c>
      <c r="O1853" s="2">
        <v>152.18518536813977</v>
      </c>
    </row>
    <row r="1854" spans="1:15" x14ac:dyDescent="0.25">
      <c r="A1854" t="s">
        <v>4648</v>
      </c>
      <c r="B1854" t="s">
        <v>4649</v>
      </c>
      <c r="C1854" s="2">
        <v>207.81571800000003</v>
      </c>
      <c r="D1854" s="2">
        <v>201.58124646000002</v>
      </c>
      <c r="E1854" s="2">
        <v>195.53380906620001</v>
      </c>
      <c r="F1854" s="2">
        <v>189.66779479421399</v>
      </c>
      <c r="G1854" s="2">
        <v>183.97776095038756</v>
      </c>
      <c r="H1854" s="2">
        <v>178.45842812187593</v>
      </c>
      <c r="I1854" s="2">
        <v>173.10467527821964</v>
      </c>
      <c r="J1854" s="2">
        <v>167.91153501987304</v>
      </c>
      <c r="K1854" s="2">
        <v>162.87418896927684</v>
      </c>
      <c r="L1854" s="2">
        <v>157.98796330019854</v>
      </c>
      <c r="M1854" s="2">
        <v>153.24832440119258</v>
      </c>
      <c r="N1854" s="2">
        <v>148.65087466915679</v>
      </c>
      <c r="O1854" s="2">
        <v>144.1913484290821</v>
      </c>
    </row>
    <row r="1855" spans="1:15" x14ac:dyDescent="0.25">
      <c r="A1855" t="s">
        <v>4650</v>
      </c>
      <c r="B1855" t="s">
        <v>4651</v>
      </c>
      <c r="C1855" s="2">
        <v>207.01573199999999</v>
      </c>
      <c r="D1855" s="2">
        <v>200.80526003999998</v>
      </c>
      <c r="E1855" s="2">
        <v>194.78110223879997</v>
      </c>
      <c r="F1855" s="2">
        <v>188.93766917163597</v>
      </c>
      <c r="G1855" s="2">
        <v>183.26953909648688</v>
      </c>
      <c r="H1855" s="2">
        <v>177.77145292359228</v>
      </c>
      <c r="I1855" s="2">
        <v>172.4383093358845</v>
      </c>
      <c r="J1855" s="2">
        <v>167.26516005580797</v>
      </c>
      <c r="K1855" s="2">
        <v>162.24720525413372</v>
      </c>
      <c r="L1855" s="2">
        <v>157.37978909650971</v>
      </c>
      <c r="M1855" s="2">
        <v>152.65839542361442</v>
      </c>
      <c r="N1855" s="2">
        <v>148.07864356090599</v>
      </c>
      <c r="O1855" s="2">
        <v>143.63628425407882</v>
      </c>
    </row>
    <row r="1856" spans="1:15" x14ac:dyDescent="0.25">
      <c r="A1856" t="s">
        <v>4652</v>
      </c>
      <c r="B1856" t="s">
        <v>4653</v>
      </c>
      <c r="C1856" s="2">
        <v>196.47828200000001</v>
      </c>
      <c r="D1856" s="2">
        <v>190.58393354</v>
      </c>
      <c r="E1856" s="2">
        <v>184.86641553379999</v>
      </c>
      <c r="F1856" s="2">
        <v>179.32042306778598</v>
      </c>
      <c r="G1856" s="2">
        <v>173.94081037575239</v>
      </c>
      <c r="H1856" s="2">
        <v>168.72258606447983</v>
      </c>
      <c r="I1856" s="2">
        <v>163.66090848254544</v>
      </c>
      <c r="J1856" s="2">
        <v>158.75108122806907</v>
      </c>
      <c r="K1856" s="2">
        <v>153.988548791227</v>
      </c>
      <c r="L1856" s="2">
        <v>149.36889232749019</v>
      </c>
      <c r="M1856" s="2">
        <v>144.88782555766548</v>
      </c>
      <c r="N1856" s="2">
        <v>140.5411907909355</v>
      </c>
      <c r="O1856" s="2">
        <v>136.32495506720744</v>
      </c>
    </row>
    <row r="1857" spans="1:15" x14ac:dyDescent="0.25">
      <c r="A1857" t="s">
        <v>4654</v>
      </c>
      <c r="B1857" t="s">
        <v>4655</v>
      </c>
      <c r="C1857" s="2">
        <v>194.43960800000002</v>
      </c>
      <c r="D1857" s="2">
        <v>188.60641976000002</v>
      </c>
      <c r="E1857" s="2">
        <v>182.94822716720003</v>
      </c>
      <c r="F1857" s="2">
        <v>177.45978035218403</v>
      </c>
      <c r="G1857" s="2">
        <v>172.13598694161851</v>
      </c>
      <c r="H1857" s="2">
        <v>166.97190733336996</v>
      </c>
      <c r="I1857" s="2">
        <v>161.96275011336886</v>
      </c>
      <c r="J1857" s="2">
        <v>157.10386760996778</v>
      </c>
      <c r="K1857" s="2">
        <v>152.39075158166875</v>
      </c>
      <c r="L1857" s="2">
        <v>147.81902903421869</v>
      </c>
      <c r="M1857" s="2">
        <v>143.38445816319214</v>
      </c>
      <c r="N1857" s="2">
        <v>139.08292441829636</v>
      </c>
      <c r="O1857" s="2">
        <v>134.91043668574747</v>
      </c>
    </row>
    <row r="1858" spans="1:15" x14ac:dyDescent="0.25">
      <c r="A1858" t="s">
        <v>4656</v>
      </c>
      <c r="B1858" t="s">
        <v>4657</v>
      </c>
      <c r="C1858" s="2">
        <v>191.53213200000002</v>
      </c>
      <c r="D1858" s="2">
        <v>185.78616804000001</v>
      </c>
      <c r="E1858" s="2">
        <v>180.2125829988</v>
      </c>
      <c r="F1858" s="2">
        <v>174.806205508836</v>
      </c>
      <c r="G1858" s="2">
        <v>169.56201934357091</v>
      </c>
      <c r="H1858" s="2">
        <v>164.47515876326378</v>
      </c>
      <c r="I1858" s="2">
        <v>159.54090400036586</v>
      </c>
      <c r="J1858" s="2">
        <v>154.75467688035488</v>
      </c>
      <c r="K1858" s="2">
        <v>150.11203657394424</v>
      </c>
      <c r="L1858" s="2">
        <v>145.60867547672589</v>
      </c>
      <c r="M1858" s="2">
        <v>141.24041521242413</v>
      </c>
      <c r="N1858" s="2">
        <v>137.00320275605139</v>
      </c>
      <c r="O1858" s="2">
        <v>132.89310667336986</v>
      </c>
    </row>
    <row r="1859" spans="1:15" x14ac:dyDescent="0.25">
      <c r="A1859" t="s">
        <v>4658</v>
      </c>
      <c r="B1859" t="s">
        <v>4659</v>
      </c>
      <c r="C1859" s="2">
        <v>190.74935000000002</v>
      </c>
      <c r="D1859" s="2">
        <v>185.0268695</v>
      </c>
      <c r="E1859" s="2">
        <v>179.476063415</v>
      </c>
      <c r="F1859" s="2">
        <v>174.09178151255</v>
      </c>
      <c r="G1859" s="2">
        <v>168.8690280671735</v>
      </c>
      <c r="H1859" s="2">
        <v>163.80295722515828</v>
      </c>
      <c r="I1859" s="2">
        <v>158.88886850840353</v>
      </c>
      <c r="J1859" s="2">
        <v>154.12220245315143</v>
      </c>
      <c r="K1859" s="2">
        <v>149.4985363795569</v>
      </c>
      <c r="L1859" s="2">
        <v>145.01358028817017</v>
      </c>
      <c r="M1859" s="2">
        <v>140.66317287952506</v>
      </c>
      <c r="N1859" s="2">
        <v>136.44327769313932</v>
      </c>
      <c r="O1859" s="2">
        <v>132.34997936234515</v>
      </c>
    </row>
    <row r="1860" spans="1:15" x14ac:dyDescent="0.25">
      <c r="A1860" t="s">
        <v>4660</v>
      </c>
      <c r="B1860" t="s">
        <v>4661</v>
      </c>
      <c r="C1860" s="2">
        <v>190.28484200000003</v>
      </c>
      <c r="D1860" s="2">
        <v>184.57629674000003</v>
      </c>
      <c r="E1860" s="2">
        <v>179.03900783780003</v>
      </c>
      <c r="F1860" s="2">
        <v>173.66783760266603</v>
      </c>
      <c r="G1860" s="2">
        <v>168.45780247458603</v>
      </c>
      <c r="H1860" s="2">
        <v>163.40406840034845</v>
      </c>
      <c r="I1860" s="2">
        <v>158.50194634833798</v>
      </c>
      <c r="J1860" s="2">
        <v>153.74688795788785</v>
      </c>
      <c r="K1860" s="2">
        <v>149.13448131915121</v>
      </c>
      <c r="L1860" s="2">
        <v>144.66044687957665</v>
      </c>
      <c r="M1860" s="2">
        <v>140.32063347318936</v>
      </c>
      <c r="N1860" s="2">
        <v>136.11101446899369</v>
      </c>
      <c r="O1860" s="2">
        <v>132.02768403492388</v>
      </c>
    </row>
    <row r="1861" spans="1:15" x14ac:dyDescent="0.25">
      <c r="A1861" t="s">
        <v>4662</v>
      </c>
      <c r="B1861" t="s">
        <v>4663</v>
      </c>
      <c r="C1861" s="2">
        <v>185.50213000000002</v>
      </c>
      <c r="D1861" s="2">
        <v>179.93706610000001</v>
      </c>
      <c r="E1861" s="2">
        <v>174.538954117</v>
      </c>
      <c r="F1861" s="2">
        <v>169.30278549349001</v>
      </c>
      <c r="G1861" s="2">
        <v>164.2237019286853</v>
      </c>
      <c r="H1861" s="2">
        <v>159.29699087082474</v>
      </c>
      <c r="I1861" s="2">
        <v>154.51808114470001</v>
      </c>
      <c r="J1861" s="2">
        <v>149.882538710359</v>
      </c>
      <c r="K1861" s="2">
        <v>145.38606254904823</v>
      </c>
      <c r="L1861" s="2">
        <v>141.02448067257677</v>
      </c>
      <c r="M1861" s="2">
        <v>136.79374625239947</v>
      </c>
      <c r="N1861" s="2">
        <v>132.68993386482748</v>
      </c>
      <c r="O1861" s="2">
        <v>128.70923584888266</v>
      </c>
    </row>
    <row r="1862" spans="1:15" x14ac:dyDescent="0.25">
      <c r="A1862" t="s">
        <v>4664</v>
      </c>
      <c r="B1862" t="s">
        <v>4665</v>
      </c>
      <c r="C1862" s="2">
        <v>181.29575199999999</v>
      </c>
      <c r="D1862" s="2">
        <v>175.85687944</v>
      </c>
      <c r="E1862" s="2">
        <v>170.5811730568</v>
      </c>
      <c r="F1862" s="2">
        <v>165.46373786509599</v>
      </c>
      <c r="G1862" s="2">
        <v>160.49982572914311</v>
      </c>
      <c r="H1862" s="2">
        <v>155.68483095726882</v>
      </c>
      <c r="I1862" s="2">
        <v>151.01428602855074</v>
      </c>
      <c r="J1862" s="2">
        <v>146.48385744769422</v>
      </c>
      <c r="K1862" s="2">
        <v>142.08934172426339</v>
      </c>
      <c r="L1862" s="2">
        <v>137.82666147253548</v>
      </c>
      <c r="M1862" s="2">
        <v>133.69186162835942</v>
      </c>
      <c r="N1862" s="2">
        <v>129.68110577950864</v>
      </c>
      <c r="O1862" s="2">
        <v>125.79067260612338</v>
      </c>
    </row>
    <row r="1863" spans="1:15" x14ac:dyDescent="0.25">
      <c r="A1863" t="s">
        <v>4666</v>
      </c>
      <c r="B1863" t="s">
        <v>4667</v>
      </c>
      <c r="C1863" s="2">
        <v>167.60339200000004</v>
      </c>
      <c r="D1863" s="2">
        <v>162.57529024000004</v>
      </c>
      <c r="E1863" s="2">
        <v>157.69803153280003</v>
      </c>
      <c r="F1863" s="2">
        <v>152.96709058681603</v>
      </c>
      <c r="G1863" s="2">
        <v>148.37807786921155</v>
      </c>
      <c r="H1863" s="2">
        <v>143.9267355331352</v>
      </c>
      <c r="I1863" s="2">
        <v>139.60893346714113</v>
      </c>
      <c r="J1863" s="2">
        <v>135.42066546312688</v>
      </c>
      <c r="K1863" s="2">
        <v>131.35804549923307</v>
      </c>
      <c r="L1863" s="2">
        <v>127.41730413425607</v>
      </c>
      <c r="M1863" s="2">
        <v>123.59478501022839</v>
      </c>
      <c r="N1863" s="2">
        <v>119.88694145992153</v>
      </c>
      <c r="O1863" s="2">
        <v>116.29033321612388</v>
      </c>
    </row>
    <row r="1864" spans="1:15" x14ac:dyDescent="0.25">
      <c r="A1864" t="s">
        <v>4668</v>
      </c>
      <c r="B1864" t="s">
        <v>4669</v>
      </c>
      <c r="C1864" s="2">
        <v>158.76256000000001</v>
      </c>
      <c r="D1864" s="2">
        <v>153.99968319999999</v>
      </c>
      <c r="E1864" s="2">
        <v>149.37969270399998</v>
      </c>
      <c r="F1864" s="2">
        <v>144.89830192287997</v>
      </c>
      <c r="G1864" s="2">
        <v>140.55135286519356</v>
      </c>
      <c r="H1864" s="2">
        <v>136.33481227923775</v>
      </c>
      <c r="I1864" s="2">
        <v>132.24476791086062</v>
      </c>
      <c r="J1864" s="2">
        <v>128.27742487353478</v>
      </c>
      <c r="K1864" s="2">
        <v>124.42910212732873</v>
      </c>
      <c r="L1864" s="2">
        <v>120.69622906350887</v>
      </c>
      <c r="M1864" s="2">
        <v>117.0753421916036</v>
      </c>
      <c r="N1864" s="2">
        <v>113.56308192585549</v>
      </c>
      <c r="O1864" s="2">
        <v>110.15618946807982</v>
      </c>
    </row>
    <row r="1865" spans="1:15" x14ac:dyDescent="0.25">
      <c r="A1865" t="s">
        <v>4670</v>
      </c>
      <c r="B1865" t="s">
        <v>4671</v>
      </c>
      <c r="C1865" s="2">
        <v>134.010558</v>
      </c>
      <c r="D1865" s="2">
        <v>129.99024126</v>
      </c>
      <c r="E1865" s="2">
        <v>126.0905340222</v>
      </c>
      <c r="F1865" s="2">
        <v>122.307818001534</v>
      </c>
      <c r="G1865" s="2">
        <v>118.63858346148798</v>
      </c>
      <c r="H1865" s="2">
        <v>115.07942595764334</v>
      </c>
      <c r="I1865" s="2">
        <v>111.62704317891404</v>
      </c>
      <c r="J1865" s="2">
        <v>108.27823188354661</v>
      </c>
      <c r="K1865" s="2">
        <v>105.02988492704021</v>
      </c>
      <c r="L1865" s="2">
        <v>101.878988379229</v>
      </c>
      <c r="M1865" s="2">
        <v>98.822618727852131</v>
      </c>
      <c r="N1865" s="2">
        <v>95.857940166016562</v>
      </c>
      <c r="O1865" s="2">
        <v>92.982201961036068</v>
      </c>
    </row>
    <row r="1866" spans="1:15" x14ac:dyDescent="0.25">
      <c r="A1866" t="s">
        <v>4672</v>
      </c>
      <c r="B1866" t="s">
        <v>4673</v>
      </c>
      <c r="C1866" s="2">
        <v>94.854253999999997</v>
      </c>
      <c r="D1866" s="2">
        <v>92.008626379999995</v>
      </c>
      <c r="E1866" s="2">
        <v>89.24836758859999</v>
      </c>
      <c r="F1866" s="2">
        <v>86.570916560941981</v>
      </c>
      <c r="G1866" s="2">
        <v>83.973789064113717</v>
      </c>
      <c r="H1866" s="2">
        <v>81.454575392190307</v>
      </c>
      <c r="I1866" s="2">
        <v>79.010938130424591</v>
      </c>
      <c r="J1866" s="2">
        <v>76.640609986511848</v>
      </c>
      <c r="K1866" s="2">
        <v>74.341391686916495</v>
      </c>
      <c r="L1866" s="2">
        <v>72.111149936309005</v>
      </c>
      <c r="M1866" s="2">
        <v>69.947815438219735</v>
      </c>
      <c r="N1866" s="2">
        <v>67.849380975073146</v>
      </c>
      <c r="O1866" s="2">
        <v>65.813899545820945</v>
      </c>
    </row>
    <row r="1867" spans="1:15" x14ac:dyDescent="0.25">
      <c r="A1867" t="s">
        <v>4674</v>
      </c>
      <c r="B1867" t="s">
        <v>4675</v>
      </c>
      <c r="C1867" s="2">
        <v>86.372682000000012</v>
      </c>
      <c r="D1867" s="2">
        <v>83.781501540000008</v>
      </c>
      <c r="E1867" s="2">
        <v>81.268056493800003</v>
      </c>
      <c r="F1867" s="2">
        <v>78.830014798985999</v>
      </c>
      <c r="G1867" s="2">
        <v>76.465114355016411</v>
      </c>
      <c r="H1867" s="2">
        <v>74.171160924365921</v>
      </c>
      <c r="I1867" s="2">
        <v>71.946026096634938</v>
      </c>
      <c r="J1867" s="2">
        <v>69.787645313735894</v>
      </c>
      <c r="K1867" s="2">
        <v>67.694015954323817</v>
      </c>
      <c r="L1867" s="2">
        <v>65.663195475694096</v>
      </c>
      <c r="M1867" s="2">
        <v>63.693299611423271</v>
      </c>
      <c r="N1867" s="2">
        <v>61.782500623080573</v>
      </c>
      <c r="O1867" s="2">
        <v>59.929025604388151</v>
      </c>
    </row>
    <row r="1868" spans="1:15" x14ac:dyDescent="0.25">
      <c r="A1868" t="s">
        <v>4676</v>
      </c>
      <c r="B1868" t="s">
        <v>4677</v>
      </c>
      <c r="C1868" s="2">
        <v>81.27169600000002</v>
      </c>
      <c r="D1868" s="2">
        <v>78.833545120000011</v>
      </c>
      <c r="E1868" s="2">
        <v>76.468538766400002</v>
      </c>
      <c r="F1868" s="2">
        <v>74.174482603407995</v>
      </c>
      <c r="G1868" s="2">
        <v>71.949248125305758</v>
      </c>
      <c r="H1868" s="2">
        <v>69.79077068154659</v>
      </c>
      <c r="I1868" s="2">
        <v>67.697047561100192</v>
      </c>
      <c r="J1868" s="2">
        <v>65.666136134267191</v>
      </c>
      <c r="K1868" s="2">
        <v>63.696152050239171</v>
      </c>
      <c r="L1868" s="2">
        <v>61.785267488731996</v>
      </c>
      <c r="M1868" s="2">
        <v>59.931709464070032</v>
      </c>
      <c r="N1868" s="2">
        <v>58.133758180147929</v>
      </c>
      <c r="O1868" s="2">
        <v>56.389745434743489</v>
      </c>
    </row>
    <row r="1869" spans="1:15" x14ac:dyDescent="0.25">
      <c r="A1869" t="s">
        <v>4678</v>
      </c>
      <c r="B1869" t="s">
        <v>4679</v>
      </c>
      <c r="C1869" s="2">
        <v>49.874395999999997</v>
      </c>
      <c r="D1869" s="2">
        <v>48.378164119999994</v>
      </c>
      <c r="E1869" s="2">
        <v>46.92681919639999</v>
      </c>
      <c r="F1869" s="2">
        <v>45.519014620507988</v>
      </c>
      <c r="G1869" s="2">
        <v>44.153444181892745</v>
      </c>
      <c r="H1869" s="2">
        <v>42.82884085643596</v>
      </c>
      <c r="I1869" s="2">
        <v>41.543975630742878</v>
      </c>
      <c r="J1869" s="2">
        <v>40.297656361820593</v>
      </c>
      <c r="K1869" s="2">
        <v>39.088726670965976</v>
      </c>
      <c r="L1869" s="2">
        <v>37.916064870836998</v>
      </c>
      <c r="M1869" s="2">
        <v>36.778582924711884</v>
      </c>
      <c r="N1869" s="2">
        <v>35.675225436970528</v>
      </c>
      <c r="O1869" s="2">
        <v>34.604968673861414</v>
      </c>
    </row>
    <row r="1870" spans="1:15" x14ac:dyDescent="0.25">
      <c r="A1870" t="s">
        <v>3922</v>
      </c>
    </row>
    <row r="1871" spans="1:15" x14ac:dyDescent="0.25">
      <c r="A1871" t="s">
        <v>4019</v>
      </c>
    </row>
    <row r="1872" spans="1:15" x14ac:dyDescent="0.25">
      <c r="A1872" t="s">
        <v>4011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 para aprovação</vt:lpstr>
      <vt:lpstr>Base MLB</vt:lpstr>
      <vt:lpstr>Planilha CP Meli</vt:lpstr>
      <vt:lpstr>Boa forma</vt:lpstr>
      <vt:lpstr>Base com preços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Ortola Paco4</dc:creator>
  <cp:lastModifiedBy>Francisco Ortola Paco4</cp:lastModifiedBy>
  <dcterms:created xsi:type="dcterms:W3CDTF">2026-03-13T12:39:49Z</dcterms:created>
  <dcterms:modified xsi:type="dcterms:W3CDTF">2026-08-14T15:11:59Z</dcterms:modified>
</cp:coreProperties>
</file>